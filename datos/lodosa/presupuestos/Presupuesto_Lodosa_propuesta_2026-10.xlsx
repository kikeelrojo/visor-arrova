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<sst xmlns="http://schemas.openxmlformats.org/spreadsheetml/2006/main" count="2883" uniqueCount="1247">
  <si>
    <t xml:space="preserve">RESUMEN DE PRESUPUESTO</t>
  </si>
  <si>
    <t xml:space="preserve">VIVIENDA UNIFAMILIAR EN LODOSA · C. ANCHA 34</t>
  </si>
  <si>
    <t xml:space="preserve">Propuesta para el proyecto de ejecución · octubre de 2026, con las mediciones del modelo BIM del 14-oct y la opción 3 de cubiertas del IFC final (21-oct), con la estructura del ingeniero (23-oct) y el IFC del 24-oct (muros bajo rasante y revoco), con las cotas definitivas (IFC del 27-oct, con el V12 a sus medidas)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</si>
  <si>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</si>
  <si>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</si>
  <si>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</si>
  <si>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</si>
  <si>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</si>
  <si>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</si>
  <si>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</si>
  <si>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</si>
  <si>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</si>
  <si>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</si>
  <si>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</si>
  <si>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</si>
  <si>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</si>
  <si>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</si>
  <si>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</si>
  <si>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</si>
  <si>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</si>
  <si>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</si>
  <si>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</si>
  <si>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</si>
  <si>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</si>
  <si>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</si>
  <si>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</si>
  <si>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</si>
  <si>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</si>
  <si>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</si>
  <si>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</si>
  <si>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</si>
  <si>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</si>
  <si>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</si>
  <si>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</si>
  <si>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</si>
  <si>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</si>
  <si>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</si>
  <si>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</si>
  <si>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</si>
  <si>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</si>
  <si>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</si>
  <si>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</si>
  <si>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</si>
  <si>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</si>
  <si>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</si>
  <si>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</si>
  <si>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</si>
  <si>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</si>
  <si>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</si>
  <si>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</si>
  <si>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</si>
  <si>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</si>
  <si>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</si>
  <si>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</si>
  <si>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</si>
  <si>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</si>
  <si>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</si>
  <si>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</si>
  <si>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</si>
  <si>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</si>
  <si>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</si>
  <si>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</si>
  <si>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</si>
  <si>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</si>
  <si>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</si>
  <si>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</si>
  <si>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</si>
  <si>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</si>
  <si>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</si>
  <si>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</si>
  <si>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</si>
  <si>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</si>
  <si>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</si>
  <si>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</si>
  <si>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</si>
  <si>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</si>
  <si>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</si>
  <si>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</si>
  <si>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</si>
  <si>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</si>
  <si>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</si>
  <si>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</si>
  <si>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</si>
  <si>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</si>
  <si>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</si>
  <si>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</si>
  <si>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</si>
  <si>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</si>
  <si>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</si>
  <si>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</si>
  <si>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</si>
  <si>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</si>
  <si>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</si>
  <si>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</si>
  <si>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</si>
  <si>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</si>
  <si>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</si>
  <si>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</si>
  <si>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</si>
  <si>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</si>
  <si>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</si>
  <si>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</si>
  <si>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</si>
  <si>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</si>
  <si>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</si>
  <si>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</si>
  <si>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</si>
  <si>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</si>
  <si>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</si>
  <si>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</si>
  <si>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</si>
  <si>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</si>
  <si>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</si>
  <si>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</si>
  <si>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</si>
  <si>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</si>
  <si>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</si>
  <si>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</si>
  <si>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</si>
  <si>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</si>
  <si>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</si>
  <si>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</si>
  <si>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</si>
  <si>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</si>
  <si>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</si>
  <si>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</si>
  <si>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</si>
  <si>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</si>
  <si>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</si>
  <si>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</si>
  <si>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</si>
  <si>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</si>
  <si>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</si>
  <si>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</si>
  <si>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</si>
  <si>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</si>
  <si>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</si>
  <si>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</si>
  <si>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</si>
  <si>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</si>
  <si>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</si>
  <si>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</si>
  <si>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</si>
  <si>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</si>
  <si>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</si>
  <si>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</si>
  <si>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</si>
  <si>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</si>
  <si>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</si>
  <si>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</si>
  <si>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</si>
  <si>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</si>
  <si>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</si>
  <si>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</si>
  <si>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</si>
  <si>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</si>
  <si>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</si>
  <si>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</si>
  <si>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</si>
  <si>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</si>
  <si>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</si>
  <si>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</si>
  <si>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</si>
  <si>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</si>
  <si>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</si>
  <si>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</si>
  <si>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</si>
  <si>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</si>
  <si>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</si>
  <si>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</si>
  <si>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</si>
  <si>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</si>
  <si>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</si>
  <si>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</si>
  <si>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</si>
  <si>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</si>
  <si>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</si>
  <si>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</si>
  <si>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</si>
  <si>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</si>
  <si>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</si>
  <si>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</si>
  <si>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</si>
  <si>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</si>
  <si>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</si>
  <si>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</si>
  <si>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</si>
  <si>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</si>
  <si>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</si>
  <si>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</si>
  <si>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</si>
  <si>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</si>
  <si>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</si>
  <si>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</si>
  <si>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</si>
  <si>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</si>
  <si>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</si>
  <si>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zapatas y vigas de atado, vertido y nivelado.</t>
  </si>
  <si>
    <t xml:space="preserve">Medición del IFC con la estructura del ingeniero (lodosa_bim_20261024-0000.ifc): planta de zapatas corridas 43,43 + aisladas 4,71 + vigas de atado 8,37 m²</t>
  </si>
  <si>
    <t xml:space="preserve">05.01.02</t>
  </si>
  <si>
    <t xml:space="preserve">ZAPATAS Y VIGAS DE ATADO DE HORMIGÓN ARMADO HA-25</t>
  </si>
  <si>
    <t xml:space="preserve">Zapatas corridas bajo los muros (ZC-1 80×50 excéntricas en las medianeras, ZC-2 70×40), zapatas aisladas bajo los pilares (Z-P6 130×130×50, Z-P7 110×110×50, Z-P8 y Z-P9 120×120×50) y vigas de atado y centradoras 40×40 (VA-1 40×50 bajo el portón), de hormigón armado HA-25/B/20/XC2 con acero B 500 S según el cuadro de cimentación del plano LO-E1, incluso encofrado donde sea necesario, vertido, vibrado y curado.</t>
  </si>
  <si>
    <t xml:space="preserve">Medición del IFC (lodosa_bim_20261024-0000.ifc): zapatas corridas 20,71 m³ (ZC-1 80×50 excéntricas en medianeras, ZC-2 70×40, trazadas bajo los muros con zócalo) + aisladas 2,35 m³ + vigas de atado 3,51 m³</t>
  </si>
  <si>
    <t xml:space="preserve">Mismo precio que la zapata corrida de la propuesta; contrastar con el aparejador</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</si>
  <si>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</si>
  <si>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</si>
  <si>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</si>
  <si>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</si>
  <si>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</si>
  <si>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</si>
  <si>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</si>
  <si>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</si>
  <si>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</si>
  <si>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</si>
  <si>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Medición del IFC de Vectorworks del 27-oct-2026 (cotas definitivas +3,42 / +6,48 / +9,64)</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</si>
  <si>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</si>
  <si>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</si>
  <si>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</si>
  <si>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</si>
  <si>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</si>
  <si>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05.02.02</t>
  </si>
  <si>
    <t xml:space="preserve">VIGAS DE HORMIGÓN ARMADO HA-25 (PLANAS Y DESCOLGADAS)</t>
  </si>
  <si>
    <t xml:space="preserve">Vigas de hormigón armado HA-25/B/20/XC1 con acero B 500 S, planas de 40×25 embebidas en el forjado y descolgadas de 30×45, 30×55 y 25×30, según los cuadros de vigas de los planos LO-E1 y LO-E2 (alternativa de hormigón armado de cada viga; en el garaje es la que exige R 90), incluso encofrado, armado, vertido, vibrado y curado.</t>
  </si>
  <si>
    <t xml:space="preserve">Cuadros de vigas (luz + 0,30 m de apoyos): 40×25 67,76 m; 30×45 38,05 m; 30×55 41,60 m; 25×30 5,20 m</t>
  </si>
  <si>
    <t xml:space="preserve">Precio de referencia de mercado (Navarra, 2026); contrastar con el aparejador</t>
  </si>
  <si>
    <t xml:space="preserve">05.02.03</t>
  </si>
  <si>
    <t xml:space="preserve">kg</t>
  </si>
  <si>
    <t xml:space="preserve">ACERO S275 EN PILARES DE TUBO #140.140.6 (P-1 A P-9)</t>
  </si>
  <si>
    <t xml:space="preserve">Pilares de tubo de acero conformado en frío #140.140.6 S275 (UNE-EN 10219) rellenos de mortero y embebidos en los muros, con placa base 200×300×15, cartelas y 4 pernos Ø16, placa de cabeza 200×260×12 y rigidizadores (detalles D1 a D3 del plano LO-E3), imprimación anticorrosiva, montaje y nivelación.</t>
  </si>
  <si>
    <t xml:space="preserve">9 pilares, 70,0 m de zapata a su último forjado × 24,6 kg/m + placas, cartelas y pernos 120 kg</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</si>
  <si>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</si>
  <si>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</si>
  <si>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</si>
  <si>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</si>
  <si>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</si>
  <si>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</si>
  <si>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</si>
  <si>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</si>
  <si>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</si>
  <si>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</si>
  <si>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</si>
  <si>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</si>
  <si>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</si>
  <si>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</si>
  <si>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</si>
  <si>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DE 10 MM SOBRE ZANCAS LATERALES</t>
  </si>
  <si>
    <t xml:space="preserve">Peldaño y meseta de chapa lisa de acero S275 de 10 mm, de 0,93 m de largo entre zancas y 27 cm de huella, atornillado a los angulares soldados a las zancas laterales, con acabado antideslizante de clase 2, imprimación y lacado; sin empotrar en los muros (plano LO-E3). Contrahuella de 18 cm: 19 de planta baja a primera y 17 de primera a segunda.</t>
  </si>
  <si>
    <t xml:space="preserve">Planta baja a primera: 17 peldaños (5 + 12) y meseta de 0,93 × 0,96 m (3,5 peldaños)</t>
  </si>
  <si>
    <t xml:space="preserve">Planta primera a segunda: 15 peldaños (3 + 12) y meseta de 0,93 × 0,96 m (3,5 peldaños)</t>
  </si>
  <si>
    <t xml:space="preserve">Chapa de 10 mm (≈ 20 kg por peldaño) cortada, soldada a angulares y lacada; Precio de referencia de mercado (Navarra, 2026); contrastar con el aparejador</t>
  </si>
  <si>
    <t xml:space="preserve">05.02.09</t>
  </si>
  <si>
    <t xml:space="preserve">BOVEDILLA DE HORMIGÓN Y YESO PROYECTADO EN EL TECHO DEL GARAJE (REI 90)</t>
  </si>
  <si>
    <t xml:space="preserve">Suplemento por bovedilla de hormigón en lugar de EPS en el forjado del techo del garaje y revestimiento inferior de yeso proyectado de 15 mm, para REI 90 (memoria estructural, ap. 9; DB-SI 6).</t>
  </si>
  <si>
    <t xml:space="preserve">Techo del garaje</t>
  </si>
  <si>
    <t xml:space="preserve">05.02.10</t>
  </si>
  <si>
    <t xml:space="preserve">ZANCAS DE PLETINA 200×12 S275 DE LA ESCALERA</t>
  </si>
  <si>
    <t xml:space="preserve">Zancas laterales de la escalera de pletina de acero S275 de 200×12 mm, dos por tramo (la del muro, adosada sin empotrar), con placas de apoyo ancladas a los brochales del hueco, angulares de apoyo de los peldaños, imprimación anticorrosiva y montaje (plano LO-E3).</t>
  </si>
  <si>
    <t xml:space="preserve">Medidas en pendiente en el BIM: planta baja a primera 2 × 1,62 + 2 × 3,89 m; primera a segunda 2 × 0,97 + 2 × 3,89 m = 20,76 m × 18,84 kg/m + placas y angulares (10 %)</t>
  </si>
  <si>
    <t xml:space="preserve">Precio de referencia de mercado (Navarra, 2026); contrastar con el aparejador (acero en taller con soldadura y montaje)</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</si>
  <si>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</si>
  <si>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</si>
  <si>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</si>
  <si>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</si>
  <si>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05.02.12</t>
  </si>
  <si>
    <t xml:space="preserve">PIEZA DE POLICARBONATO RÍGIDO BAJO PELDAÑO</t>
  </si>
  <si>
    <t xml:space="preserve">Pieza de policarbonato compacto incoloro de 10 mm de espesor, 7 cm de alto y 0,93 m de largo, atornillada con tornillería de acero inoxidable bajo el borde de cada peldaño y de cada meseta, para que el hueco libre entre peldaños quede en 10 cm (tabica abierta de 17 cm bajo la chapa de 10 mm).</t>
  </si>
  <si>
    <t xml:space="preserve">Bajo los 32 peldaños y el borde de las 2 mesetas</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</si>
  <si>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</si>
  <si>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</si>
  <si>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</si>
  <si>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</si>
  <si>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</si>
  <si>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</si>
  <si>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</si>
  <si>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Medición del IFC final de Vectorworks, opción 3 de cubiertas (21-oct-2026)</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</si>
  <si>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</si>
  <si>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</si>
  <si>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</si>
  <si>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</si>
  <si>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</si>
  <si>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</si>
  <si>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</si>
  <si>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</si>
  <si>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</si>
  <si>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</si>
  <si>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</si>
  <si>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</si>
  <si>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</si>
  <si>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</si>
  <si>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</si>
  <si>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</si>
  <si>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</si>
  <si>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</si>
  <si>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</si>
  <si>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</si>
  <si>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</si>
  <si>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</si>
  <si>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</si>
  <si>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</si>
  <si>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</si>
  <si>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</si>
  <si>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</si>
  <si>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</si>
  <si>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</si>
  <si>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</si>
  <si>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</si>
  <si>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</si>
  <si>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</si>
  <si>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</si>
  <si>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</si>
  <si>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</si>
  <si>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</si>
  <si>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</si>
  <si>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</si>
  <si>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</si>
  <si>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</si>
  <si>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</si>
  <si>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</si>
  <si>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</si>
  <si>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</si>
  <si>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</si>
  <si>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</si>
  <si>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</si>
  <si>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</si>
  <si>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</si>
  <si>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</si>
  <si>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</si>
  <si>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</si>
  <si>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</si>
  <si>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</si>
  <si>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</si>
  <si>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</si>
  <si>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</si>
  <si>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</si>
  <si>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</si>
  <si>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</si>
  <si>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</si>
  <si>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</si>
  <si>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</si>
  <si>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</si>
  <si>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</si>
  <si>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</si>
  <si>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</si>
  <si>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</si>
  <si>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</si>
  <si>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</si>
  <si>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</si>
  <si>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10 CM EN CUBIERTA PLANA</t>
  </si>
  <si>
    <t xml:space="preserve">Aislamiento de poliestireno extruido de 10 cm sobre el forjado de la cubierta plana, bajo la lámina antiimpacto y el mortero de pendientes; se completa con 4 cm de lana mineral sobre el falso techo de planta segunda bajo la terraza (09.04). No hay cubierta invertida: patio, porche, terraza y cubierta plana son forjado de viguetas + XPS + lámina antiimpacto + mortero de pendientes + lámina de betún modificado + mortero de protección + microcemento exterior (Enrique, 14-oct).</t>
  </si>
  <si>
    <t xml:space="preserve">Mismo precio que el 07.01 (XPS 10 cm)</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</si>
  <si>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</si>
  <si>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</si>
  <si>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</si>
  <si>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</si>
  <si>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</si>
  <si>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</si>
  <si>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</si>
  <si>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</si>
  <si>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</si>
  <si>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</si>
  <si>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 3 cm en la terraza en cubierta),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</si>
  <si>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</si>
  <si>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</si>
  <si>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</si>
  <si>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</si>
  <si>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</si>
  <si>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</si>
  <si>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</si>
  <si>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</si>
  <si>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</si>
  <si>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</si>
  <si>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</si>
  <si>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</si>
  <si>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</si>
  <si>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</si>
  <si>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</si>
  <si>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</si>
  <si>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</si>
  <si>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</si>
  <si>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</si>
  <si>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</si>
  <si>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</si>
  <si>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</si>
  <si>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</si>
  <si>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</si>
  <si>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+ 8,82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</si>
  <si>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</si>
  <si>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</si>
  <si>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</si>
  <si>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</si>
  <si>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</si>
  <si>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</si>
  <si>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</si>
  <si>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</si>
  <si>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</si>
  <si>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</si>
  <si>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</si>
  <si>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</si>
  <si>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</si>
  <si>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</si>
  <si>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</si>
  <si>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</si>
  <si>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</si>
  <si>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</si>
  <si>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</si>
  <si>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09.04</t>
  </si>
  <si>
    <t xml:space="preserve">LANA MINERAL DE 4 CM SOBRE EL FALSO TECHO BAJO LA TERRAZA EN CUBIERTA</t>
  </si>
  <si>
    <t xml:space="preserve">Panel de lana mineral de 40 mm (λ ≤ 0,035 W/mK, UNE-EN 13162) sobre la placa del falso techo de planta segunda bajo la terraza en cubierta, colocado sin juntas abiertas y continuo hasta los muros; completa el aislamiento de la cubierta plana (XPS 10 cm, 07.09).</t>
  </si>
  <si>
    <t xml:space="preserve">Igual que el XPS de la cubierta plana (07.09)</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</si>
  <si>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</si>
  <si>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</si>
  <si>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</si>
  <si>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</si>
  <si>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</si>
  <si>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</si>
  <si>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</si>
  <si>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</si>
  <si>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</si>
  <si>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</si>
  <si>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</si>
  <si>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</si>
  <si>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</si>
  <si>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</si>
  <si>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</si>
  <si>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</si>
  <si>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</si>
  <si>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</si>
  <si>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</si>
  <si>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</si>
  <si>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</si>
  <si>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</si>
  <si>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</si>
  <si>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</si>
  <si>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</si>
  <si>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</si>
  <si>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</si>
  <si>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</si>
  <si>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</si>
  <si>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</si>
  <si>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</si>
  <si>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</si>
  <si>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</si>
  <si>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</si>
  <si>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</si>
  <si>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</si>
  <si>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</si>
  <si>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</si>
  <si>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</si>
  <si>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</si>
  <si>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</si>
  <si>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</si>
  <si>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</si>
  <si>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</si>
  <si>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</si>
  <si>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</si>
  <si>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</si>
  <si>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</si>
  <si>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</si>
  <si>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</si>
  <si>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</si>
  <si>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</si>
  <si>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</si>
  <si>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</si>
  <si>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</si>
  <si>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</si>
  <si>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</si>
  <si>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</si>
  <si>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</si>
  <si>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</si>
  <si>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</si>
  <si>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</si>
  <si>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</si>
  <si>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</si>
  <si>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</si>
  <si>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</si>
  <si>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</si>
  <si>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</si>
  <si>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</si>
  <si>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</si>
  <si>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</si>
  <si>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</si>
  <si>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</si>
  <si>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</si>
  <si>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</si>
  <si>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</si>
  <si>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</si>
  <si>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</si>
  <si>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</si>
  <si>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</si>
  <si>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</si>
  <si>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</si>
  <si>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</si>
  <si>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</si>
  <si>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</si>
  <si>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</si>
  <si>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</si>
  <si>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</si>
  <si>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</si>
  <si>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</si>
  <si>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</si>
  <si>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</si>
  <si>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</si>
  <si>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</si>
  <si>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</si>
  <si>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</si>
  <si>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</si>
  <si>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</si>
  <si>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</si>
  <si>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</si>
  <si>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</si>
  <si>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</si>
  <si>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2,74 × 2,02/1,20,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</si>
  <si>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2,74 m de largo, alféizar a +9,60, a nivel de la terraza, y cabeza en el plano del faldón (de 2,02 a 1,20 m de alto), con travesaño a +10,17; fijos y hoja practicable de 0,60 m. Acristalamiento 44.1 / 16 argón / 44.1 con capa de control solar (g ≤ 0,35, tipo SGG Cool-Lite) en lugar de estor. Precio unitario = superficie × 690 €/m² (4,40 m²) + suplemento del vidrio de control solar (45 €/m²).</t>
  </si>
  <si>
    <t xml:space="preserve">Medición del IFC de Vectorworks con las cotas definitivas (27-oct-2026)</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</si>
  <si>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</si>
  <si>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</si>
  <si>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</si>
  <si>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</si>
  <si>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</si>
  <si>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</si>
  <si>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</si>
  <si>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</si>
  <si>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</si>
  <si>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</si>
  <si>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</si>
  <si>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</si>
  <si>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</si>
  <si>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</si>
  <si>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</si>
  <si>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</si>
  <si>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</si>
  <si>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</si>
  <si>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</si>
  <si>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</si>
  <si>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</si>
  <si>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</si>
  <si>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</si>
  <si>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</si>
  <si>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de la escalera de 1,10 m de altura sobre la línea de peldaños, de acero lacado, con barrotes redondos macizos verticales de Ø 15 mm cada 11,5 cm (hueco ≤ 10 cm) soldados a la zanca libre y pasamanos de chapa angular L 40 × 40 × 5 mm (plano LO-E3).</t>
  </si>
  <si>
    <t xml:space="preserve">Medida en pendiente en el BIM: tramo de planta baja a primera 3,89 m + arranque en planta baja 0,65 m + tramo de primera a segunda 3,89 m</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</si>
  <si>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</si>
  <si>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</si>
  <si>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</si>
  <si>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</si>
  <si>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</si>
  <si>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</si>
  <si>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</si>
  <si>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</si>
  <si>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</si>
  <si>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</si>
  <si>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</si>
  <si>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</si>
  <si>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</si>
  <si>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</si>
  <si>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</si>
  <si>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</si>
  <si>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</si>
  <si>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</si>
  <si>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</si>
  <si>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</si>
  <si>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</si>
  <si>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</si>
  <si>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</si>
  <si>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</si>
  <si>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</si>
  <si>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</si>
  <si>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</si>
  <si>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</si>
  <si>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</si>
  <si>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</si>
  <si>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</si>
  <si>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</si>
  <si>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</si>
  <si>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</si>
  <si>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</si>
  <si>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</si>
  <si>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</si>
  <si>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</si>
  <si>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</si>
  <si>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</si>
  <si>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</si>
  <si>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</si>
  <si>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</si>
  <si>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</si>
  <si>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</si>
  <si>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</si>
  <si>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</si>
  <si>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</si>
  <si>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</si>
  <si>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</si>
  <si>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</si>
  <si>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</si>
  <si>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</si>
  <si>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</si>
  <si>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</si>
  <si>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</si>
  <si>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</si>
  <si>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</si>
  <si>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</si>
  <si>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</si>
  <si>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</si>
  <si>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</si>
  <si>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</si>
  <si>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</si>
  <si>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</si>
  <si>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</si>
  <si>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</si>
  <si>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</si>
  <si>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</si>
  <si>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</si>
  <si>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</si>
  <si>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</si>
  <si>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</si>
  <si>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</si>
  <si>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</si>
  <si>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</si>
  <si>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</si>
  <si>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</si>
  <si>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</si>
  <si>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</si>
  <si>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</si>
  <si>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</si>
  <si>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</si>
  <si>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</si>
  <si>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</si>
  <si>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</si>
  <si>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</si>
  <si>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</si>
  <si>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</si>
  <si>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</si>
  <si>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</si>
  <si>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</si>
  <si>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</si>
  <si>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</si>
  <si>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</si>
  <si>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</si>
  <si>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</si>
  <si>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</si>
  <si>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</si>
  <si>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</si>
  <si>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</si>
  <si>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</si>
  <si>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</si>
  <si>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</si>
  <si>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</si>
  <si>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</si>
  <si>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</si>
  <si>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</si>
  <si>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</si>
  <si>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</si>
  <si>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</si>
  <si>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</si>
  <si>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</si>
  <si>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</si>
  <si>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</si>
  <si>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</si>
  <si>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</si>
  <si>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</si>
  <si>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</si>
  <si>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</si>
  <si>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</si>
  <si>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</si>
  <si>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</si>
  <si>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</si>
  <si>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</si>
  <si>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</si>
  <si>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</si>
  <si>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</si>
  <si>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</si>
  <si>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</si>
  <si>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</si>
  <si>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</si>
  <si>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</si>
  <si>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</si>
  <si>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</si>
  <si>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</si>
  <si>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</si>
  <si>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</si>
  <si>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</si>
  <si>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</si>
  <si>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</si>
  <si>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</si>
  <si>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</si>
  <si>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</si>
  <si>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</si>
  <si>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</si>
  <si>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</si>
  <si>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</si>
  <si>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</si>
  <si>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</si>
  <si>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</si>
  <si>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</si>
  <si>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</si>
  <si>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</si>
  <si>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</si>
  <si>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</si>
  <si>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</si>
  <si>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</si>
  <si>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</si>
  <si>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</si>
  <si>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</si>
  <si>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</si>
  <si>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</si>
  <si>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</si>
  <si>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</si>
  <si>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</si>
  <si>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</si>
  <si>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</si>
  <si>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</si>
  <si>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</si>
  <si>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</si>
  <si>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</si>
  <si>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</si>
  <si>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</si>
  <si>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</si>
  <si>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</si>
  <si>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</si>
  <si>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</si>
  <si>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</si>
  <si>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</si>
  <si>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</si>
  <si>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</si>
  <si>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</si>
  <si>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</si>
  <si>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</si>
  <si>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</si>
  <si>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</si>
  <si>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</si>
  <si>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</si>
  <si>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</si>
  <si>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</si>
  <si>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</si>
  <si>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</si>
  <si>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</si>
  <si>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</si>
  <si>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</si>
  <si>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</si>
  <si>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</si>
  <si>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</si>
  <si>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</si>
  <si>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</si>
  <si>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</si>
  <si>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</si>
  <si>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</si>
  <si>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</si>
  <si>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</si>
  <si>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</si>
  <si>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</si>
  <si>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</si>
  <si>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</si>
  <si>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</si>
  <si>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</si>
  <si>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</si>
  <si>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</si>
  <si>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</si>
  <si>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</si>
  <si>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</si>
  <si>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</si>
  <si>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</si>
  <si>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</si>
  <si>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</si>
  <si>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</si>
  <si>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</si>
  <si>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</si>
  <si>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</si>
  <si>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</si>
  <si>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</si>
  <si>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</si>
  <si>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</si>
  <si>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</si>
  <si>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</si>
  <si>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</si>
  <si>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</si>
  <si>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</si>
  <si>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</si>
  <si>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</si>
  <si>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</si>
  <si>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</si>
  <si>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</si>
  <si>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</si>
  <si>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</si>
  <si>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</si>
  <si>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</si>
  <si>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</si>
  <si>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</si>
  <si>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</si>
  <si>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</si>
  <si>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</si>
  <si>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</si>
  <si>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</si>
  <si>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</si>
  <si>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</si>
  <si>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</si>
  <si>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</si>
  <si>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</si>
  <si>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</si>
  <si>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</si>
  <si>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</si>
  <si>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</si>
  <si>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</si>
  <si>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</si>
  <si>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</si>
  <si>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</si>
  <si>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</si>
  <si>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</si>
  <si>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</si>
  <si>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</si>
  <si>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</si>
  <si>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</si>
  <si>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</si>
  <si>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</si>
  <si>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</si>
  <si>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</si>
  <si>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</si>
  <si>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</si>
  <si>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</si>
  <si>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</si>
  <si>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</si>
  <si>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</si>
  <si>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</si>
  <si>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</si>
  <si>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</si>
  <si>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</si>
  <si>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</si>
  <si>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</si>
  <si>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</si>
  <si>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</si>
  <si>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</si>
  <si>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</si>
  <si>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</si>
  <si>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</si>
  <si>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</si>
  <si>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</si>
  <si>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</si>
  <si>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</si>
  <si>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</si>
  <si>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</si>
  <si>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</si>
  <si>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</si>
  <si>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</si>
  <si>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</si>
  <si>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</si>
  <si>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</si>
  <si>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</si>
  <si>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</si>
  <si>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</si>
  <si>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</si>
  <si>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</si>
  <si>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</si>
  <si>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</si>
  <si>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</si>
  <si>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</si>
  <si>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</si>
  <si>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</si>
  <si>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</si>
  <si>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</si>
  <si>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</si>
  <si>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</si>
  <si>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</si>
  <si>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</si>
  <si>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</si>
  <si>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</si>
  <si>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</si>
  <si>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</si>
  <si>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</si>
  <si>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</si>
  <si>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</si>
  <si>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</si>
  <si>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Garaje</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</si>
  <si>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</si>
  <si>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</si>
  <si>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</si>
  <si>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</si>
  <si>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</si>
  <si>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</si>
  <si>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</si>
  <si>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</si>
  <si>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</si>
  <si>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</si>
  <si>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</si>
  <si>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</si>
  <si>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</si>
  <si>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</si>
  <si>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</si>
  <si>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</si>
  <si>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</si>
  <si>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</si>
  <si>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</si>
  <si>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</si>
  <si>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</si>
  <si>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</si>
  <si>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</si>
  <si>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</si>
  <si>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</si>
  <si>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</si>
  <si>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</si>
  <si>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</si>
  <si>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</si>
  <si>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</si>
  <si>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</si>
  <si>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</si>
  <si>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</si>
  <si>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</si>
  <si>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</si>
  <si>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</si>
  <si>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</si>
  <si>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</si>
  <si>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</si>
  <si>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</si>
  <si>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</si>
  <si>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</si>
  <si>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</si>
  <si>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</si>
  <si>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</si>
  <si>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</si>
  <si>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</si>
  <si>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</si>
  <si>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</si>
  <si>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</si>
  <si>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</si>
  <si>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</si>
  <si>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</si>
  <si>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</si>
  <si>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</si>
  <si>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</si>
  <si>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</si>
  <si>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</si>
  <si>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</si>
  <si>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</si>
  <si>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</si>
  <si>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</si>
  <si>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</si>
  <si>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</si>
  <si>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</si>
  <si>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</si>
  <si>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</si>
  <si>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</si>
  <si>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</si>
  <si>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</si>
  <si>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</si>
  <si>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</si>
  <si>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</si>
  <si>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</si>
  <si>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</si>
  <si>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</si>
  <si>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</si>
  <si>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</si>
  <si>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</si>
  <si>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</si>
  <si>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</si>
  <si>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</si>
  <si>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</si>
  <si>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</si>
  <si>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</si>
  <si>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</si>
  <si>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</si>
  <si>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</si>
  <si>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</si>
  <si>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</si>
  <si>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</si>
  <si>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</si>
  <si>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</si>
  <si>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</si>
  <si>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</si>
  <si>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</si>
  <si>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</si>
  <si>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</si>
  <si>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</si>
  <si>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</si>
  <si>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</si>
  <si>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</si>
  <si>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</si>
  <si>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</si>
  <si>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</si>
  <si>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</si>
  <si>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</si>
  <si>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</si>
  <si>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</si>
  <si>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</si>
  <si>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</si>
  <si>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</si>
  <si>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</si>
  <si>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</si>
  <si>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</si>
  <si>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</si>
  <si>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</si>
  <si>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</si>
  <si>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</si>
  <si>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</si>
  <si>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</si>
  <si>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</si>
  <si>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</si>
  <si>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</si>
  <si>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</si>
  <si>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</si>
  <si>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</si>
  <si>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</si>
  <si>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</si>
  <si>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</si>
  <si>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</si>
  <si>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</si>
  <si>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</si>
  <si>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</si>
  <si>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</si>
  <si>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</si>
  <si>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</si>
  <si>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</si>
  <si>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</si>
  <si>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</si>
  <si>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</si>
  <si>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</si>
  <si>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</si>
  <si>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</si>
  <si>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</si>
  <si>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</si>
  <si>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</si>
  <si>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</si>
  <si>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</si>
  <si>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</si>
  <si>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</si>
  <si>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</si>
  <si>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</si>
  <si>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</si>
  <si>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</si>
  <si>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</si>
  <si>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</si>
  <si>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</si>
  <si>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</si>
  <si>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</si>
  <si>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</si>
  <si>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</si>
  <si>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</si>
  <si>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</si>
  <si>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</si>
  <si>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</si>
  <si>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</si>
  <si>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</si>
  <si>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</si>
  <si>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</si>
  <si>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</si>
  <si>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</si>
  <si>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</si>
  <si>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</si>
  <si>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</si>
  <si>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</si>
  <si>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</si>
  <si>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</si>
  <si>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</si>
  <si>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</si>
  <si>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</si>
  <si>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</si>
  <si>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</si>
  <si>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</si>
  <si>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</si>
  <si>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</si>
  <si>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</si>
  <si>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</si>
  <si>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</si>
  <si>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</si>
  <si>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</si>
  <si>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</si>
  <si>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</si>
  <si>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</si>
  <si>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</si>
  <si>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</si>
  <si>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</si>
  <si>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</si>
  <si>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</si>
  <si>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</si>
  <si>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</si>
  <si>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</si>
  <si>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</si>
  <si>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</si>
  <si>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</si>
  <si>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</si>
  <si>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</si>
  <si>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</si>
  <si>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</si>
  <si>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</si>
  <si>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</si>
  <si>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</si>
  <si>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</si>
  <si>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</si>
  <si>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</si>
  <si>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</si>
  <si>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</si>
  <si>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</si>
  <si>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</si>
  <si>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</si>
  <si>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</si>
  <si>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</si>
  <si>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</si>
  <si>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</si>
  <si>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</si>
  <si>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</si>
  <si>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</si>
  <si>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</si>
  <si>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</si>
  <si>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</si>
  <si>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</si>
  <si>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</si>
  <si>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</si>
  <si>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</si>
  <si>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</si>
  <si>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</si>
  <si>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</si>
  <si>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</si>
  <si>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</si>
  <si>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</si>
  <si>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</si>
  <si>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</si>
  <si>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</si>
  <si>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</si>
  <si>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</si>
  <si>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</si>
  <si>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</si>
  <si>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</si>
  <si>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</si>
  <si>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</si>
  <si>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</si>
  <si>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</si>
  <si>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</si>
  <si>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</si>
  <si>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</si>
  <si>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</si>
  <si>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</si>
  <si>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</si>
  <si>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</si>
  <si>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</si>
  <si>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</si>
  <si>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</si>
  <si>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</si>
  <si>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</si>
  <si>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</si>
  <si>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</si>
  <si>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</si>
  <si>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</si>
  <si>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</si>
  <si>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</si>
  <si>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</si>
  <si>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</si>
  <si>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</si>
  <si>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</si>
  <si>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</si>
  <si>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</si>
  <si>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</si>
  <si>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</si>
  <si>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</si>
  <si>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</si>
  <si>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</si>
  <si>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</si>
  <si>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</si>
  <si>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</si>
  <si>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</si>
  <si>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</si>
  <si>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</si>
  <si>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</si>
  <si>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</si>
  <si>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</si>
  <si>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</si>
  <si>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</si>
  <si>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</si>
  <si>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</si>
  <si>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</si>
  <si>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</si>
  <si>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</si>
  <si>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Estructura del ingeniero (memoria estructural, documento 04_3, y planos LO-E1 a LO-E3, 23-oct-2026): zapatas corridas y aisladas y vigas de atado del cuadro de cimentación, medidas en el BIM/IFC (lodosa_bim_20261024-0000.ifc, 24-oct); vigas en su alternativa de hormigón armado (la de acero queda para las vigas cuyo descuelgue no se admita, a decidir con el ingeniero); nueve pilares de tubo #140.140.6 S275; escalera de zancas de pletina 200×12 con peldaños de chapa sin empotrar; techo del garaje con bovedilla de hormigón y yeso proyectado (REI 90). Forjados y zunchos, del modelo BIM. Quedan por cerrar con el ingeniero el forjado de la terraza de segunda (15+5 en arquitectura, 20+5 en la estructura) y las vigas de limatesa de la cubierta, sin cuadro.</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</si>
  <si>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</si>
  <si>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</si>
  <si>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</si>
  <si>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</si>
  <si>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</si>
  <si>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</si>
  <si>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</si>
  <si>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</si>
  <si>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</si>
  <si>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</si>
  <si>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</si>
  <si>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</si>
  <si>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</si>
  <si>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</si>
  <si>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</si>
  <si>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(lodosa_bim_20261023-0021.ifc,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</si>
  <si>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</si>
  <si>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</si>
  <si>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forjados y zunchos del BIM; cimentación, vigas, pilares y escalera de los planos de estructura LO-E1 a LO-E3 (23-oct). Criterios de Enrique del 14-oct: alicatado hasta 2,28 m, zócalo 0,32/0,21 m, sin cubierta invertida, forjado 20+5 (15+5 en la terraza de segunda), barrera de vapor en cubierta plana, patio y porche, XPS 10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</si>
  <si>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</si>
  <si>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</si>
  <si>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</si>
  <si>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</si>
  <si>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</si>
  <si>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</si>
  <si>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</si>
  <si>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</si>
  <si>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 · BIM 24-oct: + muros de hormigón bajo rasante (MC) de la cara superior de la cimentación al suelo de planta baja, 23 tramos, 74,05 m de eje: 14.37 m³ (al precio del zócalo)</t>
  </si>
  <si>
    <t xml:space="preserve">Superficie de estancias y escalera de planta baja (garaje incluido) · Cotas definitivas (+3,42 / +6,48 / +9,64) y modelo del 27-oct (IFC 20261027-2215): -0,28</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</si>
  <si>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 · Cotas definitivas (+3,42 / +6,48 / +9,64) y modelo del 27-oct (IFC 20261027-2215): +0,80</t>
  </si>
  <si>
    <t xml:space="preserve">Partida rehecha el 23-oct con la estructura del ingeniero: vigas de hormigón armado de los cuadros de LO-E1/LO-E2 (antes losa maciza del garaje, que ya no existe); no se mide en el BIM</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</si>
  <si>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 · Cotas definitivas (+3,42 / +6,48 / +9,64) y modelo del 27-oct (IFC 20261027-2215): -0,46</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</si>
  <si>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 · Cotas definitivas (+3,42 / +6,48 / +9,64) y modelo del 27-oct (IFC 20261027-2215): +0,07</t>
  </si>
  <si>
    <t xml:space="preserve">Partida rehecha el 23-oct con la estructura del ingeniero: zancas de la escalera (antes pilar de hormigón 27×81, que pasa a ser el pilar metálico P-6 de 05.02.03); no se mide en el BIM</t>
  </si>
  <si>
    <t xml:space="preserve">Forjado de la terraza de planta segunda en el BIM (15+5, Enrique 14-oct) · Partida nueva · Cotas definitivas (+3,42 / +6,48 / +9,64) y modelo del 27-oct (IFC 20261027-2215): +0,02</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</si>
  <si>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 · Cotas definitivas (+3,42 / +6,48 / +9,64) y modelo del 27-oct (IFC 20261027-2215): +2,27</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</si>
  <si>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</si>
  <si>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 · Cotas definitivas (+3,42 / +6,48 / +9,64) y modelo del 27-oct (IFC 20261027-2215): -5,45</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</si>
  <si>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 · Cotas definitivas (+3,42 / +6,48 / +9,64) y modelo del 27-oct (IFC 20261027-2215): -1,69</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</si>
  <si>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 · Cotas definitivas (+3,42 / +6,48 / +9,64) y modelo del 27-oct (IFC 20261027-2215): -2,69</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</si>
  <si>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 · Cotas definitivas (+3,42 / +6,48 / +9,64) y modelo del 27-oct (IFC 20261027-2215): -8,26</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</si>
  <si>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</si>
  <si>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 · Cotas definitivas (+3,42 / +6,48 / +9,64) y modelo del 27-oct (IFC 20261027-2215): +0,07</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</si>
  <si>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 · Cotas definitivas (+3,42 / +6,48 / +9,64) y modelo del 27-oct (IFC 20261027-2215): +0,07</t>
  </si>
  <si>
    <t xml:space="preserve">XPS 10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 · Cotas definitivas (+3,42 / +6,48 / +9,64) y modelo del 27-oct (IFC 20261027-2215): +0,13</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</si>
  <si>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 · Cotas definitivas (+3,42 / +6,48 / +9,64) y modelo del 27-oct (IFC 20261027-2215): +0,13</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</si>
  <si>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 · Cotas definitivas (+3,42 / +6,48 / +9,64) y modelo del 27-oct (IFC 20261027-2215): +0,10</t>
  </si>
  <si>
    <t xml:space="preserve">Suelo de planta baja dentro de la envolvente (sin garaje) · Cotas definitivas (+3,42 / +6,48 / +9,64) y modelo del 27-oct (IFC 20261027-2215): -0,27</t>
  </si>
  <si>
    <t xml:space="preserve">XPS 4 cm en todos los forjados: interiores, patio y porche y terraza (la cubierta plana lleva 10 cm, ver 07.09, y lana mineral de 4 cm en el falso techo, 09.04) · Cotas definitivas (+3,42 / +6,48 / +9,64) y modelo del 27-oct (IFC 20261027-2215): -0,63</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</si>
  <si>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 · Cotas definitivas (+3,42 / +6,48 / +9,64) y modelo del 27-oct (IFC 20261027-2215): -0,50</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</si>
  <si>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 · Cotas definitivas (+3,42 / +6,48 / +9,64) y modelo del 27-oct (IFC 20261027-2215): +0,13</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</si>
  <si>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 · Cotas definitivas (+3,42 / +6,48 / +9,64) y modelo del 27-oct (IFC 20261027-2215): +0,27</t>
  </si>
  <si>
    <t xml:space="preserve">Longitud de los bordes libres del falso techo en el BIM × altura hasta la cara inferior del forjado (0,86 m en baja, 0,42 m en primera y 0,41 m en segunda) · Partida nueva · Opción 3 de cubiertas, IFC final (21-oct): tabicas del IFC: 22,30 m², sin cambios · Cotas definitivas (+3,42 / +6,48 / +9,64) y modelo del 27-oct (IFC 20261027-2215): -0,95</t>
  </si>
  <si>
    <t xml:space="preserve">Forjados interiores y suelo de planta baja (sin garaje) · Cotas definitivas (+3,42 / +6,48 / +9,64) y modelo del 27-oct (IFC 20261027-2215): -0,90</t>
  </si>
  <si>
    <t xml:space="preserve">Suelos interiores sin baños ni aseos · Cotas definitivas (+3,42 / +6,48 / +9,64) y modelo del 27-oct (IFC 20261027-2215): -0,89</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</si>
  <si>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 · Cotas definitivas (+3,42 / +6,48 / +9,64) y modelo del 27-oct (IFC 20261027-2215): +0,13</t>
  </si>
  <si>
    <t xml:space="preserve">Baños y aseos · Cotas definitivas (+3,42 / +6,48 / +9,64) y modelo del 27-oct (IFC 20261027-2215): -0,01</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</si>
  <si>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 · Cotas definitivas (+3,42 / +6,48 / +9,64) y modelo del 27-oct (IFC 20261027-2215): +0,13</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</si>
  <si>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 · IFC 24-oct 11:33–11:50 (captura «mortero»): revoco de la cámara bajo el faldón C. del Peso (5,39 m²), esquinas cerradas y pared del patio en un solo paño: 316.10 m² · Cotas definitivas (+3,42 / +6,48 / +9,64) y modelo del 27-oct (IFC 20261027-2215): +1,01</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</si>
  <si>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 · Cotas definitivas (+3,42 / +6,48 / +9,64) y modelo del 27-oct (IFC 20261027-2215): -25,08</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</si>
  <si>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 · Cotas definitivas (+3,42 / +6,48 / +9,64) y modelo del 27-oct (IFC 20261027-2215): +0,04</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</si>
  <si>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</si>
  <si>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</si>
  <si>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</si>
  <si>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</si>
  <si>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</si>
  <si>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</si>
  <si>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</si>
  <si>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</si>
  <si>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</si>
  <si>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</si>
  <si>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</si>
  <si>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</si>
  <si>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</si>
  <si>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</si>
  <si>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 · Cotas definitivas (+3,42 / +6,48 / +9,64) y modelo del 27-oct (IFC 20261027-2215): -24,81</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</si>
  <si>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 · IFC 24-oct 11:33–11:50 (captura «mortero»): revoco de la cámara bajo el faldón C. del Peso (5,39 m²), esquinas cerradas y pared del patio en un solo paño: 316.10 m² · Cotas definitivas (+3,42 / +6,48 / +9,64) y modelo del 27-oct (IFC 20261027-2215): +1,01</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</si>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</sst>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0.00"/>
    <numFmt numFmtId="169" formatCode="#,##0.00;\-#,##0.00;\-"/>
    <numFmt numFmtId="170" formatCode="@"/>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false"/>
    </xf>
    <xf numFmtId="166"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10" fillId="0" borderId="2" xfId="0" applyFont="true" applyBorder="tru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7" fontId="11"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5" fontId="11" fillId="0" borderId="0" xfId="0" applyFont="tru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left" vertical="bottom" textRotation="0" wrapText="false" indent="0" shrinkToFit="false"/>
      <protection locked="true" hidden="false"/>
    </xf>
    <xf numFmtId="164" fontId="5" fillId="0" borderId="1" xfId="0" applyFont="true" applyBorder="true" applyAlignment="true" applyProtection="true">
      <alignment horizontal="right" vertical="bottom" textRotation="0" wrapText="fals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2" shrinkToFit="false"/>
      <protection locked="true" hidden="false"/>
    </xf>
    <xf numFmtId="168" fontId="11" fillId="0" borderId="0" xfId="0" applyFont="true" applyBorder="false" applyAlignment="true" applyProtection="true">
      <alignment horizontal="general"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9" fontId="5" fillId="0" borderId="3" xfId="0" applyFont="true" applyBorder="true" applyAlignment="true" applyProtection="true">
      <alignment horizontal="general" vertical="bottom" textRotation="0" wrapText="false" indent="0" shrinkToFit="false"/>
      <protection locked="true" hidden="false"/>
    </xf>
    <xf numFmtId="169" fontId="11" fillId="0" borderId="3"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right" vertical="bottom" textRotation="0" wrapText="false" indent="0" shrinkToFit="false"/>
      <protection locked="true" hidden="false"/>
    </xf>
    <xf numFmtId="168" fontId="9" fillId="0" borderId="0" xfId="0" applyFont="true" applyBorder="false" applyAlignment="true" applyProtection="true">
      <alignment horizontal="general" vertical="bottom" textRotation="0" wrapText="false" indent="0" shrinkToFit="false"/>
      <protection locked="true" hidden="false"/>
    </xf>
    <xf numFmtId="169" fontId="13" fillId="0" borderId="0" xfId="0" applyFont="true" applyBorder="false" applyAlignment="true" applyProtection="true">
      <alignment horizontal="general" vertical="bottom" textRotation="0" wrapText="false" indent="0" shrinkToFit="false"/>
      <protection locked="true" hidden="false"/>
    </xf>
    <xf numFmtId="170"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9" fontId="11" fillId="0" borderId="0" xfId="0" applyFont="true" applyBorder="false" applyAlignment="true" applyProtection="true">
      <alignment horizontal="general" vertical="bottom" textRotation="0" wrapText="false" indent="0" shrinkToFit="false"/>
      <protection locked="true" hidden="false"/>
    </xf>
    <xf numFmtId="171" fontId="8" fillId="0" borderId="0" xfId="0" applyFont="true" applyBorder="false" applyAlignment="true" applyProtection="true">
      <alignment horizontal="general" vertical="bottom" textRotation="0" wrapText="false" indent="0" shrinkToFit="false"/>
      <protection locked="true" hidden="false"/>
    </xf>
    <xf numFmtId="169" fontId="9" fillId="0" borderId="0" xfId="0" applyFont="true" applyBorder="false" applyAlignment="true" applyProtection="true">
      <alignment horizontal="general" vertical="bottom" textRotation="0" wrapText="false" indent="0" shrinkToFit="false"/>
      <protection locked="true" hidden="false"/>
    </xf>
    <xf numFmtId="169" fontId="5"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0.00402939444431547</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0.0132284632696574</v>
      </c>
    </row>
    <row r="9" customFormat="false" ht="15" hidden="false" customHeight="true" outlineLevel="0" collapsed="false">
      <c r="A9" s="3" t="s">
        <v>13</v>
      </c>
      <c r="B9" s="3" t="s">
        <v>14</v>
      </c>
      <c r="C9" s="6" t="n">
        <f aca="false">Presupuesto!K101</f>
        <v>6481.94</v>
      </c>
      <c r="D9" s="7" t="n">
        <f aca="false">IF($C$41=0,0,C9/$C$41)</f>
        <v>0.0170607440227227</v>
      </c>
    </row>
    <row r="10" customFormat="false" ht="15" hidden="false" customHeight="true" outlineLevel="0" collapsed="false">
      <c r="A10" s="3" t="s">
        <v>15</v>
      </c>
      <c r="B10" s="3" t="s">
        <v>16</v>
      </c>
      <c r="C10" s="6" t="n">
        <f aca="false">Presupuesto!K179</f>
        <v>88997.73</v>
      </c>
      <c r="D10" s="7" t="n">
        <f aca="false">IF($C$41=0,0,C10/$C$41)</f>
        <v>0.234245841543333</v>
      </c>
    </row>
    <row r="11" customFormat="false" ht="15" hidden="false" customHeight="true" outlineLevel="0" collapsed="false">
      <c r="A11" s="8" t="s">
        <v>17</v>
      </c>
      <c r="B11" s="8" t="s">
        <v>18</v>
      </c>
      <c r="C11" s="9" t="n">
        <f aca="false">SUMIFS(Presupuesto!$K$5:$K$1296,Presupuesto!$M$5:$M$1296,"P",Presupuesto!$O$5:$O$1296,"05.01")</f>
        <v>23789.17</v>
      </c>
    </row>
    <row r="12" customFormat="false" ht="15" hidden="false" customHeight="true" outlineLevel="0" collapsed="false">
      <c r="A12" s="8" t="s">
        <v>19</v>
      </c>
      <c r="B12" s="8" t="s">
        <v>20</v>
      </c>
      <c r="C12" s="9" t="n">
        <f aca="false">SUMIFS(Presupuesto!$K$5:$K$1296,Presupuesto!$M$5:$M$1296,"P",Presupuesto!$O$5:$O$1296,"05.02")</f>
        <v>65208.56</v>
      </c>
    </row>
    <row r="13" customFormat="false" ht="15" hidden="false" customHeight="true" outlineLevel="0" collapsed="false">
      <c r="A13" s="3" t="s">
        <v>21</v>
      </c>
      <c r="B13" s="3" t="s">
        <v>22</v>
      </c>
      <c r="C13" s="6" t="n">
        <f aca="false">Presupuesto!K258</f>
        <v>55551</v>
      </c>
      <c r="D13" s="7" t="n">
        <f aca="false">IF($C$41=0,0,C13/$C$41)</f>
        <v>0.146212614002331</v>
      </c>
    </row>
    <row r="14" customFormat="false" ht="15" hidden="false" customHeight="true" outlineLevel="0" collapsed="false">
      <c r="A14" s="3" t="s">
        <v>23</v>
      </c>
      <c r="B14" s="3" t="s">
        <v>24</v>
      </c>
      <c r="C14" s="6" t="n">
        <f aca="false">Presupuesto!K315</f>
        <v>14192.06</v>
      </c>
      <c r="D14" s="7" t="n">
        <f aca="false">IF($C$41=0,0,C14/$C$41)</f>
        <v>0.0373541104692611</v>
      </c>
    </row>
    <row r="15" customFormat="false" ht="15" hidden="false" customHeight="true" outlineLevel="0" collapsed="false">
      <c r="A15" s="3" t="s">
        <v>25</v>
      </c>
      <c r="B15" s="3" t="s">
        <v>26</v>
      </c>
      <c r="C15" s="6" t="n">
        <f aca="false">Presupuesto!K351</f>
        <v>7524.45</v>
      </c>
      <c r="D15" s="7" t="n">
        <f aca="false">IF($C$41=0,0,C15/$C$41)</f>
        <v>0.0198046750450908</v>
      </c>
    </row>
    <row r="16" customFormat="false" ht="15" hidden="false" customHeight="true" outlineLevel="0" collapsed="false">
      <c r="A16" s="3" t="s">
        <v>27</v>
      </c>
      <c r="B16" s="3" t="s">
        <v>28</v>
      </c>
      <c r="C16" s="6" t="n">
        <f aca="false">Presupuesto!K370</f>
        <v>3915.38</v>
      </c>
      <c r="D16" s="7" t="n">
        <f aca="false">IF($C$41=0,0,C16/$C$41)</f>
        <v>0.0103054480497641</v>
      </c>
    </row>
    <row r="17" customFormat="false" ht="15" hidden="false" customHeight="true" outlineLevel="0" collapsed="false">
      <c r="A17" s="3" t="s">
        <v>29</v>
      </c>
      <c r="B17" s="3" t="s">
        <v>30</v>
      </c>
      <c r="C17" s="6" t="n">
        <f aca="false">Presupuesto!K411</f>
        <v>21717.17</v>
      </c>
      <c r="D17" s="7" t="n">
        <f aca="false">IF($C$41=0,0,C17/$C$41)</f>
        <v>0.0571605226626525</v>
      </c>
    </row>
    <row r="18" customFormat="false" ht="15" hidden="false" customHeight="true" outlineLevel="0" collapsed="false">
      <c r="A18" s="3" t="s">
        <v>31</v>
      </c>
      <c r="B18" s="3" t="s">
        <v>32</v>
      </c>
      <c r="C18" s="6" t="n">
        <f aca="false">Presupuesto!K442</f>
        <v>28419.03</v>
      </c>
      <c r="D18" s="7" t="n">
        <f aca="false">IF($C$41=0,0,C18/$C$41)</f>
        <v>0.0748001055554476</v>
      </c>
    </row>
    <row r="19" customFormat="false" ht="15" hidden="false" customHeight="true" outlineLevel="0" collapsed="false">
      <c r="A19" s="3" t="s">
        <v>33</v>
      </c>
      <c r="B19" s="3" t="s">
        <v>34</v>
      </c>
      <c r="C19" s="6" t="n">
        <f aca="false">Presupuesto!K461</f>
        <v>10570.72</v>
      </c>
      <c r="D19" s="7" t="n">
        <f aca="false">IF($C$41=0,0,C19/$C$41)</f>
        <v>0.0278225883078023</v>
      </c>
    </row>
    <row r="20" customFormat="false" ht="15" hidden="false" customHeight="true" outlineLevel="0" collapsed="false">
      <c r="A20" s="3" t="s">
        <v>35</v>
      </c>
      <c r="B20" s="3" t="s">
        <v>36</v>
      </c>
      <c r="C20" s="6" t="n">
        <f aca="false">Presupuesto!K529</f>
        <v>52914.46</v>
      </c>
      <c r="D20" s="7" t="n">
        <f aca="false">IF($C$41=0,0,C20/$C$41)</f>
        <v>0.139273127668661</v>
      </c>
    </row>
    <row r="21" customFormat="false" ht="15" hidden="false" customHeight="true" outlineLevel="0" collapsed="false">
      <c r="A21" s="3" t="s">
        <v>37</v>
      </c>
      <c r="B21" s="3" t="s">
        <v>38</v>
      </c>
      <c r="C21" s="6" t="n">
        <f aca="false">Presupuesto!K561</f>
        <v>19920.45</v>
      </c>
      <c r="D21" s="7" t="n">
        <f aca="false">IF($C$41=0,0,C21/$C$41)</f>
        <v>0.0524314785800929</v>
      </c>
    </row>
    <row r="22" customFormat="false" ht="15" hidden="false" customHeight="true" outlineLevel="0" collapsed="false">
      <c r="A22" s="3" t="s">
        <v>39</v>
      </c>
      <c r="B22" s="3" t="s">
        <v>40</v>
      </c>
      <c r="C22" s="6" t="n">
        <f aca="false">Presupuesto!K573</f>
        <v>8852.15</v>
      </c>
      <c r="D22" s="7" t="n">
        <f aca="false">IF($C$41=0,0,C22/$C$41)</f>
        <v>0.0232992383762801</v>
      </c>
    </row>
    <row r="23" customFormat="false" ht="15" hidden="false" customHeight="true" outlineLevel="0" collapsed="false">
      <c r="A23" s="3" t="s">
        <v>41</v>
      </c>
      <c r="B23" s="3" t="s">
        <v>42</v>
      </c>
      <c r="C23" s="6" t="n">
        <f aca="false">Presupuesto!K970</f>
        <v>45949.51</v>
      </c>
      <c r="D23" s="7" t="n">
        <f aca="false">IF($C$41=0,0,C23/$C$41)</f>
        <v>0.120941080614683</v>
      </c>
    </row>
    <row r="24" customFormat="false" ht="15" hidden="false" customHeight="true" outlineLevel="0" collapsed="false">
      <c r="A24" s="8" t="s">
        <v>43</v>
      </c>
      <c r="B24" s="8" t="s">
        <v>44</v>
      </c>
      <c r="C24" s="9" t="n">
        <f aca="false">SUMIFS(Presupuesto!$K$5:$K$1296,Presupuesto!$M$5:$M$1296,"P",Presupuesto!$O$5:$O$1296,"16.01")</f>
        <v>8549.61</v>
      </c>
    </row>
    <row r="25" customFormat="false" ht="15" hidden="false" customHeight="true" outlineLevel="0" collapsed="false">
      <c r="A25" s="8" t="s">
        <v>45</v>
      </c>
      <c r="B25" s="8" t="s">
        <v>46</v>
      </c>
      <c r="C25" s="9" t="n">
        <f aca="false">SUMIFS(Presupuesto!$K$5:$K$1296,Presupuesto!$M$5:$M$1296,"P",Presupuesto!$O$5:$O$1296,"16.02")</f>
        <v>149.49</v>
      </c>
    </row>
    <row r="26" customFormat="false" ht="15" hidden="false" customHeight="true" outlineLevel="0" collapsed="false">
      <c r="A26" s="8" t="s">
        <v>47</v>
      </c>
      <c r="B26" s="8" t="s">
        <v>48</v>
      </c>
      <c r="C26" s="9" t="n">
        <f aca="false">SUMIFS(Presupuesto!$K$5:$K$1296,Presupuesto!$M$5:$M$1296,"P",Presupuesto!$O$5:$O$1296,"16.03")</f>
        <v>18015.07</v>
      </c>
    </row>
    <row r="27" customFormat="false" ht="15" hidden="false" customHeight="true" outlineLevel="0" collapsed="false">
      <c r="A27" s="8" t="s">
        <v>49</v>
      </c>
      <c r="B27" s="8" t="s">
        <v>50</v>
      </c>
      <c r="C27" s="9" t="n">
        <f aca="false">SUMIFS(Presupuesto!$K$5:$K$1296,Presupuesto!$M$5:$M$1296,"P",Presupuesto!$O$5:$O$1296,"16.04")</f>
        <v>4031.5</v>
      </c>
    </row>
    <row r="28" customFormat="false" ht="15" hidden="false" customHeight="true" outlineLevel="0" collapsed="false">
      <c r="A28" s="8" t="s">
        <v>51</v>
      </c>
      <c r="B28" s="8" t="s">
        <v>52</v>
      </c>
      <c r="C28" s="9" t="n">
        <f aca="false">SUMIFS(Presupuesto!$K$5:$K$1296,Presupuesto!$M$5:$M$1296,"P",Presupuesto!$O$5:$O$1296,"16.05")</f>
        <v>12525.53</v>
      </c>
    </row>
    <row r="29" customFormat="false" ht="15" hidden="false" customHeight="true" outlineLevel="0" collapsed="false">
      <c r="A29" s="8" t="s">
        <v>53</v>
      </c>
      <c r="B29" s="8" t="s">
        <v>54</v>
      </c>
      <c r="C29" s="9" t="n">
        <f aca="false">SUMIFS(Presupuesto!$K$5:$K$1296,Presupuesto!$M$5:$M$1296,"P",Presupuesto!$O$5:$O$1296,"16.06")</f>
        <v>2678.31</v>
      </c>
    </row>
    <row r="30" customFormat="false" ht="15" hidden="false" customHeight="true" outlineLevel="0" collapsed="false">
      <c r="A30" s="3" t="s">
        <v>55</v>
      </c>
      <c r="B30" s="3" t="s">
        <v>56</v>
      </c>
      <c r="C30" s="6" t="n">
        <f aca="false">Presupuesto!K987</f>
        <v>1524.5</v>
      </c>
      <c r="D30" s="7" t="n">
        <f aca="false">IF($C$41=0,0,C30/$C$41)</f>
        <v>0.0040125493698863</v>
      </c>
    </row>
    <row r="31" customFormat="false" ht="15" hidden="false" customHeight="true" outlineLevel="0" collapsed="false">
      <c r="A31" s="8" t="s">
        <v>57</v>
      </c>
      <c r="B31" s="8" t="s">
        <v>58</v>
      </c>
      <c r="C31" s="9" t="n">
        <f aca="false">SUMIFS(Presupuesto!$K$5:$K$1296,Presupuesto!$M$5:$M$1296,"P",Presupuesto!$O$5:$O$1296,"18.01")</f>
        <v>500</v>
      </c>
    </row>
    <row r="32" customFormat="false" ht="15" hidden="false" customHeight="true" outlineLevel="0" collapsed="false">
      <c r="A32" s="8" t="s">
        <v>59</v>
      </c>
      <c r="B32" s="8" t="s">
        <v>60</v>
      </c>
      <c r="C32" s="9" t="n">
        <f aca="false">SUMIFS(Presupuesto!$K$5:$K$1296,Presupuesto!$M$5:$M$1296,"P",Presupuesto!$O$5:$O$1296,"18.02")</f>
        <v>1024.5</v>
      </c>
    </row>
    <row r="33" customFormat="false" ht="15" hidden="false" customHeight="true" outlineLevel="0" collapsed="false">
      <c r="A33" s="3" t="s">
        <v>61</v>
      </c>
      <c r="B33" s="3" t="s">
        <v>62</v>
      </c>
      <c r="C33" s="6" t="n">
        <f aca="false">Presupuesto!K1022</f>
        <v>2750.04</v>
      </c>
      <c r="D33" s="7" t="n">
        <f aca="false">IF($C$41=0,0,C33/$C$41)</f>
        <v>0.00723822320049992</v>
      </c>
    </row>
    <row r="34" customFormat="false" ht="15" hidden="false" customHeight="true" outlineLevel="0" collapsed="false">
      <c r="A34" s="3" t="s">
        <v>63</v>
      </c>
      <c r="B34" s="3" t="s">
        <v>64</v>
      </c>
      <c r="C34" s="6" t="n">
        <f aca="false">Presupuesto!K1294</f>
        <v>4095.6</v>
      </c>
      <c r="D34" s="7" t="n">
        <f aca="false">IF($C$41=0,0,C34/$C$41)</f>
        <v>0.0107797948175181</v>
      </c>
    </row>
    <row r="35" customFormat="false" ht="15" hidden="false" customHeight="true" outlineLevel="0" collapsed="false">
      <c r="A35" s="8" t="s">
        <v>65</v>
      </c>
      <c r="B35" s="8" t="s">
        <v>66</v>
      </c>
      <c r="C35" s="9" t="n">
        <f aca="false">SUMIFS(Presupuesto!$K$5:$K$1296,Presupuesto!$M$5:$M$1296,"P",Presupuesto!$O$5:$O$1296,"20.01")</f>
        <v>3346.11</v>
      </c>
    </row>
    <row r="36" customFormat="false" ht="15" hidden="false" customHeight="true" outlineLevel="0" collapsed="false">
      <c r="A36" s="8" t="s">
        <v>67</v>
      </c>
      <c r="B36" s="8" t="s">
        <v>68</v>
      </c>
      <c r="C36" s="9" t="n">
        <f aca="false">SUMIFS(Presupuesto!$K$5:$K$1296,Presupuesto!$M$5:$M$1296,"P",Presupuesto!$O$5:$O$1296,"20.02")</f>
        <v>113.7</v>
      </c>
    </row>
    <row r="37" customFormat="false" ht="15" hidden="false" customHeight="true" outlineLevel="0" collapsed="false">
      <c r="A37" s="8" t="s">
        <v>69</v>
      </c>
      <c r="B37" s="8" t="s">
        <v>70</v>
      </c>
      <c r="C37" s="9" t="n">
        <f aca="false">SUMIFS(Presupuesto!$K$5:$K$1296,Presupuesto!$M$5:$M$1296,"P",Presupuesto!$O$5:$O$1296,"20.03")</f>
        <v>333.5</v>
      </c>
    </row>
    <row r="38" customFormat="false" ht="15" hidden="false" customHeight="true" outlineLevel="0" collapsed="false">
      <c r="A38" s="8" t="s">
        <v>71</v>
      </c>
      <c r="B38" s="8" t="s">
        <v>72</v>
      </c>
      <c r="C38" s="9" t="n">
        <f aca="false">SUMIFS(Presupuesto!$K$5:$K$1296,Presupuesto!$M$5:$M$1296,"P",Presupuesto!$O$5:$O$1296,"20.04")</f>
        <v>122.3</v>
      </c>
    </row>
    <row r="39" customFormat="false" ht="15" hidden="false" customHeight="true" outlineLevel="0" collapsed="false">
      <c r="A39" s="8" t="s">
        <v>73</v>
      </c>
      <c r="B39" s="8" t="s">
        <v>74</v>
      </c>
      <c r="C39" s="9" t="n">
        <f aca="false">SUMIFS(Presupuesto!$K$5:$K$1296,Presupuesto!$M$5:$M$1296,"P",Presupuesto!$O$5:$O$1296,"20.05")</f>
        <v>179.99</v>
      </c>
    </row>
    <row r="41" customFormat="false" ht="15" hidden="false" customHeight="true" outlineLevel="0" collapsed="false">
      <c r="B41" s="10" t="s">
        <v>75</v>
      </c>
      <c r="C41" s="11" t="n">
        <f aca="false">C6+C7+C8+C9+C10+C13+C14+C15+C16+C17+C18+C19+C20+C21+C22+C23+C30+C33+C34</f>
        <v>379933.02</v>
      </c>
    </row>
    <row r="43" customFormat="false" ht="15" hidden="false" customHeight="true" outlineLevel="0" collapsed="false">
      <c r="B43" s="8" t="s">
        <v>76</v>
      </c>
      <c r="C43" s="12" t="n">
        <f aca="false">ROUND(C41*D43,2)</f>
        <v>18996.65</v>
      </c>
      <c r="D43" s="13" t="n">
        <v>0.05</v>
      </c>
    </row>
    <row r="44" customFormat="false" ht="15" hidden="false" customHeight="true" outlineLevel="0" collapsed="false">
      <c r="B44" s="8" t="s">
        <v>77</v>
      </c>
      <c r="C44" s="12" t="n">
        <f aca="false">ROUND(C41*D44,2)</f>
        <v>18996.65</v>
      </c>
      <c r="D44" s="13" t="n">
        <v>0.05</v>
      </c>
    </row>
    <row r="45" customFormat="false" ht="15" hidden="false" customHeight="true" outlineLevel="0" collapsed="false">
      <c r="B45" s="3" t="s">
        <v>78</v>
      </c>
      <c r="C45" s="14" t="n">
        <f aca="false">C41+C43+C44</f>
        <v>417926.32</v>
      </c>
    </row>
    <row r="46" customFormat="false" ht="15" hidden="false" customHeight="true" outlineLevel="0" collapsed="false">
      <c r="B46" s="8" t="s">
        <v>79</v>
      </c>
      <c r="C46" s="12" t="n">
        <f aca="false">ROUND(C45*D46,2)</f>
        <v>41792.63</v>
      </c>
      <c r="D46" s="13" t="n">
        <v>0.1</v>
      </c>
    </row>
    <row r="47" customFormat="false" ht="15" hidden="false" customHeight="true" outlineLevel="0" collapsed="false">
      <c r="B47" s="10" t="s">
        <v>80</v>
      </c>
      <c r="C47" s="11" t="n">
        <f aca="false">C45+C46</f>
        <v>459718.95</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1081.87544848795</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3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56.51</v>
      </c>
      <c r="F107" s="24"/>
      <c r="G107" s="24" t="n">
        <v>0.1</v>
      </c>
      <c r="H107" s="25" t="n">
        <f aca="false">IF(COUNT(D107:G107)=0,0,D107*IF(E107="",1,E107)*IF(F107="",1,F107)*IF(G107="",1,G107))</f>
        <v>5.651</v>
      </c>
      <c r="M107" s="21"/>
      <c r="N107" s="21"/>
      <c r="O107" s="21"/>
    </row>
    <row r="108" customFormat="false" ht="18.75" hidden="false" customHeight="true" outlineLevel="0" collapsed="false">
      <c r="H108" s="26"/>
      <c r="I108" s="27" t="n">
        <f aca="false">ROUND(SUM(H107:H107),2)</f>
        <v>5.65</v>
      </c>
      <c r="J108" s="28" t="n">
        <v>98</v>
      </c>
      <c r="K108" s="27" t="n">
        <f aca="false">ROUND(I108*J108,2)</f>
        <v>553.7</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26.57</v>
      </c>
      <c r="F111" s="24"/>
      <c r="G111" s="24"/>
      <c r="H111" s="25" t="n">
        <f aca="false">IF(COUNT(D111:G111)=0,0,D111*IF(E111="",1,E111)*IF(F111="",1,F111)*IF(G111="",1,G111))</f>
        <v>26.57</v>
      </c>
      <c r="M111" s="21"/>
      <c r="N111" s="21"/>
      <c r="O111" s="21"/>
    </row>
    <row r="112" customFormat="false" ht="27.75" hidden="false" customHeight="true" outlineLevel="0" collapsed="false">
      <c r="H112" s="26"/>
      <c r="I112" s="27" t="n">
        <f aca="false">ROUND(SUM(H111:H111),2)</f>
        <v>26.57</v>
      </c>
      <c r="J112" s="28" t="n">
        <v>185</v>
      </c>
      <c r="K112" s="27" t="n">
        <f aca="false">ROUND(I112*J112,2)</f>
        <v>4915.45</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27.71</v>
      </c>
      <c r="F115" s="24"/>
      <c r="G115" s="24"/>
      <c r="H115" s="25" t="n">
        <f aca="false">IF(COUNT(D115:G115)=0,0,D115*IF(E115="",1,E115)*IF(F115="",1,F115)*IF(G115="",1,G115))</f>
        <v>27.71</v>
      </c>
      <c r="M115" s="21"/>
      <c r="N115" s="21"/>
      <c r="O115" s="21"/>
    </row>
    <row r="116" customFormat="false" ht="15" hidden="false" customHeight="true" outlineLevel="0" collapsed="false">
      <c r="H116" s="26"/>
      <c r="I116" s="27" t="n">
        <f aca="false">ROUND(SUM(H115:H115),2)</f>
        <v>27.71</v>
      </c>
      <c r="J116" s="28" t="n">
        <v>365.9</v>
      </c>
      <c r="K116" s="27" t="n">
        <f aca="false">ROUND(I116*J116,2)</f>
        <v>10139.09</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214</v>
      </c>
      <c r="D123" s="24" t="n">
        <v>1</v>
      </c>
      <c r="E123" s="31" t="n">
        <f aca="false">'Mediciones BIM'!E7</f>
        <v>109.16</v>
      </c>
      <c r="H123" s="25" t="n">
        <f aca="false">IF(COUNT(D123:G123)=0,0,D123*IF(E123="",1,E123)*IF(F123="",1,F123)*IF(G123="",1,G123))</f>
        <v>109.16</v>
      </c>
      <c r="M123" s="21"/>
      <c r="N123" s="21"/>
      <c r="O123" s="21"/>
    </row>
    <row r="124" customFormat="false" ht="15" hidden="false" customHeight="true" outlineLevel="0" collapsed="false">
      <c r="H124" s="26"/>
      <c r="I124" s="27" t="n">
        <f aca="false">ROUND(SUM(H123:H123),2)</f>
        <v>109.16</v>
      </c>
      <c r="J124" s="28" t="n">
        <v>60.2</v>
      </c>
      <c r="K124" s="27" t="n">
        <f aca="false">ROUND(I124*J124,2)</f>
        <v>6571.43</v>
      </c>
      <c r="L124" s="29" t="s">
        <v>109</v>
      </c>
      <c r="M124" s="21" t="s">
        <v>110</v>
      </c>
      <c r="N124" s="21" t="s">
        <v>15</v>
      </c>
      <c r="O124" s="21" t="s">
        <v>192</v>
      </c>
    </row>
    <row r="125" customFormat="false" ht="15" hidden="false" customHeight="true" outlineLevel="0" collapsed="false">
      <c r="A125" s="3" t="s">
        <v>215</v>
      </c>
      <c r="C125" s="3" t="s">
        <v>216</v>
      </c>
      <c r="M125" s="21" t="s">
        <v>194</v>
      </c>
      <c r="N125" s="21" t="s">
        <v>15</v>
      </c>
      <c r="O125" s="21" t="s">
        <v>215</v>
      </c>
    </row>
    <row r="126" customFormat="false" ht="15" hidden="false" customHeight="true" outlineLevel="0" collapsed="false">
      <c r="A126" s="3" t="s">
        <v>217</v>
      </c>
      <c r="B126" s="3" t="s">
        <v>153</v>
      </c>
      <c r="C126" s="3" t="s">
        <v>218</v>
      </c>
      <c r="M126" s="21"/>
      <c r="N126" s="21"/>
      <c r="O126" s="21"/>
    </row>
    <row r="127" customFormat="false" ht="36" hidden="false" customHeight="true" outlineLevel="0" collapsed="false">
      <c r="C127" s="22" t="s">
        <v>219</v>
      </c>
      <c r="M127" s="21"/>
      <c r="N127" s="21"/>
      <c r="O127" s="21"/>
    </row>
    <row r="128" customFormat="false" ht="15" hidden="false" customHeight="true" outlineLevel="0" collapsed="false">
      <c r="C128" s="23" t="s">
        <v>214</v>
      </c>
      <c r="D128" s="24" t="n">
        <v>1</v>
      </c>
      <c r="E128" s="31" t="n">
        <f aca="false">'Mediciones BIM'!E8</f>
        <v>244.83</v>
      </c>
      <c r="H128" s="25" t="n">
        <f aca="false">IF(COUNT(D128:G128)=0,0,D128*IF(E128="",1,E128)*IF(F128="",1,F128)*IF(G128="",1,G128))</f>
        <v>244.83</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244.83</v>
      </c>
      <c r="J131" s="28" t="n">
        <v>74</v>
      </c>
      <c r="K131" s="27" t="n">
        <f aca="false">ROUND(I131*J131,2)</f>
        <v>18117.42</v>
      </c>
      <c r="L131" s="29" t="s">
        <v>138</v>
      </c>
      <c r="M131" s="21" t="s">
        <v>110</v>
      </c>
      <c r="N131" s="21" t="s">
        <v>15</v>
      </c>
      <c r="O131" s="21" t="s">
        <v>215</v>
      </c>
    </row>
    <row r="132" customFormat="false" ht="15" hidden="false" customHeight="true" outlineLevel="0" collapsed="false">
      <c r="A132" s="3" t="s">
        <v>220</v>
      </c>
      <c r="B132" s="3" t="s">
        <v>134</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223</v>
      </c>
      <c r="D134" s="24" t="n">
        <v>1</v>
      </c>
      <c r="E134" s="31" t="n">
        <v>19.17</v>
      </c>
      <c r="H134" s="25" t="n">
        <f aca="false">IF(COUNT(D134:G134)=0,0,D134*IF(E134="",1,E134)*IF(F134="",1,F134)*IF(G134="",1,G134))</f>
        <v>19.17</v>
      </c>
      <c r="M134" s="21"/>
      <c r="N134" s="21"/>
      <c r="O134" s="21"/>
    </row>
    <row r="135" customFormat="false" ht="18.75" hidden="false" customHeight="true" outlineLevel="0" collapsed="false">
      <c r="H135" s="26"/>
      <c r="I135" s="27" t="n">
        <f aca="false">ROUND(SUM(H134:H134),2)</f>
        <v>19.17</v>
      </c>
      <c r="J135" s="28" t="n">
        <v>420</v>
      </c>
      <c r="K135" s="27" t="n">
        <f aca="false">ROUND(I135*J135,2)</f>
        <v>8051.4</v>
      </c>
      <c r="L135" s="29" t="s">
        <v>224</v>
      </c>
      <c r="M135" s="21" t="s">
        <v>110</v>
      </c>
      <c r="N135" s="21" t="s">
        <v>15</v>
      </c>
      <c r="O135" s="21" t="s">
        <v>215</v>
      </c>
    </row>
    <row r="136" customFormat="false" ht="15" hidden="false" customHeight="true" outlineLevel="0" collapsed="false">
      <c r="A136" s="3" t="s">
        <v>225</v>
      </c>
      <c r="B136" s="3" t="s">
        <v>226</v>
      </c>
      <c r="C136" s="3" t="s">
        <v>227</v>
      </c>
      <c r="M136" s="21"/>
      <c r="N136" s="21"/>
      <c r="O136" s="21"/>
    </row>
    <row r="137" customFormat="false" ht="24" hidden="false" customHeight="true" outlineLevel="0" collapsed="false">
      <c r="C137" s="22" t="s">
        <v>228</v>
      </c>
      <c r="M137" s="21"/>
      <c r="N137" s="21"/>
      <c r="O137" s="21"/>
    </row>
    <row r="138" customFormat="false" ht="15" hidden="false" customHeight="true" outlineLevel="0" collapsed="false">
      <c r="C138" s="23" t="s">
        <v>229</v>
      </c>
      <c r="D138" s="24" t="n">
        <v>1</v>
      </c>
      <c r="E138" s="24" t="n">
        <v>1842</v>
      </c>
      <c r="F138" s="24"/>
      <c r="G138" s="24"/>
      <c r="H138" s="25" t="n">
        <f aca="false">IF(COUNT(D138:G138)=0,0,D138*IF(E138="",1,E138)*IF(F138="",1,F138)*IF(G138="",1,G138))</f>
        <v>1842</v>
      </c>
      <c r="M138" s="21"/>
      <c r="N138" s="21"/>
      <c r="O138" s="21"/>
    </row>
    <row r="139" customFormat="false" ht="18.75" hidden="false" customHeight="true" outlineLevel="0" collapsed="false">
      <c r="H139" s="26"/>
      <c r="I139" s="27" t="n">
        <f aca="false">ROUND(SUM(H138:H138),2)</f>
        <v>1842</v>
      </c>
      <c r="J139" s="28" t="n">
        <v>2.7</v>
      </c>
      <c r="K139" s="27" t="n">
        <f aca="false">ROUND(I139*J139,2)</f>
        <v>4973.4</v>
      </c>
      <c r="L139" s="29" t="s">
        <v>224</v>
      </c>
      <c r="M139" s="21" t="s">
        <v>110</v>
      </c>
      <c r="N139" s="21" t="s">
        <v>15</v>
      </c>
      <c r="O139" s="21" t="s">
        <v>215</v>
      </c>
    </row>
    <row r="140" customFormat="false" ht="15" hidden="false" customHeight="true" outlineLevel="0" collapsed="false">
      <c r="A140" s="3" t="s">
        <v>230</v>
      </c>
      <c r="B140" s="3" t="s">
        <v>158</v>
      </c>
      <c r="C140" s="3" t="s">
        <v>231</v>
      </c>
      <c r="M140" s="21"/>
      <c r="N140" s="21"/>
      <c r="O140" s="21"/>
    </row>
    <row r="141" customFormat="false" ht="24" hidden="false" customHeight="true" outlineLevel="0" collapsed="false">
      <c r="C141" s="22" t="s">
        <v>232</v>
      </c>
      <c r="M141" s="21"/>
      <c r="N141" s="21"/>
      <c r="O141" s="21"/>
    </row>
    <row r="142" customFormat="false" ht="15" hidden="false" customHeight="true" outlineLevel="0" collapsed="false">
      <c r="C142" s="23" t="s">
        <v>214</v>
      </c>
      <c r="D142" s="24" t="n">
        <v>1</v>
      </c>
      <c r="E142" s="31" t="n">
        <f aca="false">'Mediciones BIM'!E10</f>
        <v>217.53</v>
      </c>
      <c r="H142" s="25" t="n">
        <f aca="false">IF(COUNT(D142:G142)=0,0,D142*IF(E142="",1,E142)*IF(F142="",1,F142)*IF(G142="",1,G142))</f>
        <v>217.53</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217.53</v>
      </c>
      <c r="J145" s="28" t="n">
        <v>46</v>
      </c>
      <c r="K145" s="27" t="n">
        <f aca="false">ROUND(I145*J145,2)</f>
        <v>10006.38</v>
      </c>
      <c r="L145" s="29" t="s">
        <v>138</v>
      </c>
      <c r="M145" s="21" t="s">
        <v>110</v>
      </c>
      <c r="N145" s="21" t="s">
        <v>15</v>
      </c>
      <c r="O145" s="21" t="s">
        <v>215</v>
      </c>
    </row>
    <row r="146" customFormat="false" ht="15" hidden="false" customHeight="true" outlineLevel="0" collapsed="false">
      <c r="A146" s="3" t="s">
        <v>233</v>
      </c>
      <c r="B146" s="3" t="s">
        <v>158</v>
      </c>
      <c r="C146" s="3" t="s">
        <v>234</v>
      </c>
      <c r="M146" s="21"/>
      <c r="N146" s="21"/>
      <c r="O146" s="21"/>
    </row>
    <row r="147" customFormat="false" ht="24" hidden="false" customHeight="true" outlineLevel="0" collapsed="false">
      <c r="C147" s="22" t="s">
        <v>235</v>
      </c>
      <c r="M147" s="21"/>
      <c r="N147" s="21"/>
      <c r="O147" s="21"/>
    </row>
    <row r="148" customFormat="false" ht="15" hidden="false" customHeight="true" outlineLevel="0" collapsed="false">
      <c r="C148" s="23" t="s">
        <v>236</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215</v>
      </c>
    </row>
    <row r="150" customFormat="false" ht="15" hidden="false" customHeight="true" outlineLevel="0" collapsed="false">
      <c r="A150" s="3" t="s">
        <v>237</v>
      </c>
      <c r="B150" s="3" t="s">
        <v>134</v>
      </c>
      <c r="C150" s="3" t="s">
        <v>238</v>
      </c>
      <c r="M150" s="21"/>
      <c r="N150" s="21"/>
      <c r="O150" s="21"/>
    </row>
    <row r="151" customFormat="false" ht="24" hidden="false" customHeight="true" outlineLevel="0" collapsed="false">
      <c r="C151" s="22" t="s">
        <v>239</v>
      </c>
      <c r="M151" s="21"/>
      <c r="N151" s="21"/>
      <c r="O151" s="21"/>
    </row>
    <row r="152" customFormat="false" ht="15" hidden="false" customHeight="true" outlineLevel="0" collapsed="false">
      <c r="C152" s="23" t="s">
        <v>240</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215</v>
      </c>
    </row>
    <row r="154" customFormat="false" ht="15" hidden="false" customHeight="true" outlineLevel="0" collapsed="false">
      <c r="A154" s="3" t="s">
        <v>241</v>
      </c>
      <c r="B154" s="3" t="s">
        <v>153</v>
      </c>
      <c r="C154" s="3" t="s">
        <v>242</v>
      </c>
      <c r="M154" s="21"/>
      <c r="N154" s="21"/>
      <c r="O154" s="21"/>
    </row>
    <row r="155" customFormat="false" ht="24" hidden="false" customHeight="true" outlineLevel="0" collapsed="false">
      <c r="C155" s="22" t="s">
        <v>243</v>
      </c>
      <c r="M155" s="21"/>
      <c r="N155" s="21"/>
      <c r="O155" s="21"/>
    </row>
    <row r="156" customFormat="false" ht="15" hidden="false" customHeight="true" outlineLevel="0" collapsed="false">
      <c r="C156" s="23" t="s">
        <v>214</v>
      </c>
      <c r="D156" s="24" t="n">
        <v>1</v>
      </c>
      <c r="E156" s="31" t="n">
        <f aca="false">'Mediciones BIM'!E11</f>
        <v>82.13</v>
      </c>
      <c r="H156" s="25" t="n">
        <f aca="false">IF(COUNT(D156:G156)=0,0,D156*IF(E156="",1,E156)*IF(F156="",1,F156)*IF(G156="",1,G156))</f>
        <v>82.13</v>
      </c>
      <c r="M156" s="21"/>
      <c r="N156" s="21"/>
      <c r="O156" s="21"/>
    </row>
    <row r="157" customFormat="false" ht="18.75" hidden="false" customHeight="true" outlineLevel="0" collapsed="false">
      <c r="H157" s="26"/>
      <c r="I157" s="27" t="n">
        <f aca="false">ROUND(SUM(H156:H156),2)</f>
        <v>82.13</v>
      </c>
      <c r="J157" s="28" t="n">
        <v>108</v>
      </c>
      <c r="K157" s="27" t="n">
        <f aca="false">ROUND(I157*J157,2)</f>
        <v>8870.04</v>
      </c>
      <c r="L157" s="29" t="s">
        <v>138</v>
      </c>
      <c r="M157" s="21" t="s">
        <v>110</v>
      </c>
      <c r="N157" s="21" t="s">
        <v>15</v>
      </c>
      <c r="O157" s="21" t="s">
        <v>215</v>
      </c>
    </row>
    <row r="158" customFormat="false" ht="15" hidden="false" customHeight="true" outlineLevel="0" collapsed="false">
      <c r="A158" s="3" t="s">
        <v>244</v>
      </c>
      <c r="B158" s="3" t="s">
        <v>105</v>
      </c>
      <c r="C158" s="3" t="s">
        <v>245</v>
      </c>
      <c r="M158" s="21"/>
      <c r="N158" s="21"/>
      <c r="O158" s="21"/>
    </row>
    <row r="159" customFormat="false" ht="24" hidden="false" customHeight="true" outlineLevel="0" collapsed="false">
      <c r="C159" s="22" t="s">
        <v>246</v>
      </c>
      <c r="M159" s="21"/>
      <c r="N159" s="21"/>
      <c r="O159" s="21"/>
    </row>
    <row r="160" customFormat="false" ht="15" hidden="false" customHeight="true" outlineLevel="0" collapsed="false">
      <c r="C160" s="23" t="s">
        <v>247</v>
      </c>
      <c r="D160" s="24" t="n">
        <v>20.5</v>
      </c>
      <c r="H160" s="25" t="n">
        <f aca="false">IF(COUNT(D160:G160)=0,0,D160*IF(E160="",1,E160)*IF(F160="",1,F160)*IF(G160="",1,G160))</f>
        <v>20.5</v>
      </c>
      <c r="M160" s="21"/>
      <c r="N160" s="21"/>
      <c r="O160" s="21"/>
    </row>
    <row r="161" customFormat="false" ht="15" hidden="false" customHeight="true" outlineLevel="0" collapsed="false">
      <c r="C161" s="23" t="s">
        <v>248</v>
      </c>
      <c r="D161" s="24" t="n">
        <v>18.5</v>
      </c>
      <c r="H161" s="25" t="n">
        <f aca="false">IF(COUNT(D161:G161)=0,0,D161*IF(E161="",1,E161)*IF(F161="",1,F161)*IF(G161="",1,G161))</f>
        <v>18.5</v>
      </c>
      <c r="M161" s="21"/>
      <c r="N161" s="21"/>
      <c r="O161" s="21"/>
    </row>
    <row r="162" customFormat="false" ht="18.75" hidden="false" customHeight="true" outlineLevel="0" collapsed="false">
      <c r="H162" s="26"/>
      <c r="I162" s="27" t="n">
        <f aca="false">ROUND(SUM(H160:H161),2)</f>
        <v>39</v>
      </c>
      <c r="J162" s="28" t="n">
        <v>150</v>
      </c>
      <c r="K162" s="27" t="n">
        <f aca="false">ROUND(I162*J162,2)</f>
        <v>5850</v>
      </c>
      <c r="L162" s="29" t="s">
        <v>249</v>
      </c>
      <c r="M162" s="21" t="s">
        <v>110</v>
      </c>
      <c r="N162" s="21" t="s">
        <v>15</v>
      </c>
      <c r="O162" s="21" t="s">
        <v>215</v>
      </c>
    </row>
    <row r="163" customFormat="false" ht="15" hidden="false" customHeight="true" outlineLevel="0" collapsed="false">
      <c r="A163" s="3" t="s">
        <v>250</v>
      </c>
      <c r="B163" s="3" t="s">
        <v>153</v>
      </c>
      <c r="C163" s="3" t="s">
        <v>251</v>
      </c>
      <c r="M163" s="21"/>
      <c r="N163" s="21"/>
      <c r="O163" s="21"/>
    </row>
    <row r="164" customFormat="false" ht="36" hidden="false" customHeight="true" outlineLevel="0" collapsed="false">
      <c r="C164" s="22" t="s">
        <v>252</v>
      </c>
      <c r="M164" s="21"/>
      <c r="N164" s="21"/>
      <c r="O164" s="21"/>
    </row>
    <row r="165" customFormat="false" ht="15" hidden="false" customHeight="true" outlineLevel="0" collapsed="false">
      <c r="C165" s="23" t="s">
        <v>253</v>
      </c>
      <c r="D165" s="24" t="n">
        <v>1</v>
      </c>
      <c r="E165" s="24" t="n">
        <v>49.52</v>
      </c>
      <c r="H165" s="25" t="n">
        <f aca="false">IF(COUNT(D165:G165)=0,0,D165*IF(E165="",1,E165)*IF(F165="",1,F165)*IF(G165="",1,G165))</f>
        <v>49.52</v>
      </c>
      <c r="M165" s="21"/>
      <c r="N165" s="21"/>
      <c r="O165" s="21"/>
    </row>
    <row r="166" customFormat="false" ht="27.75" hidden="false" customHeight="true" outlineLevel="0" collapsed="false">
      <c r="H166" s="26"/>
      <c r="I166" s="27" t="n">
        <f aca="false">ROUND(SUM(H165:H165),2)</f>
        <v>49.52</v>
      </c>
      <c r="J166" s="28" t="n">
        <v>24</v>
      </c>
      <c r="K166" s="27" t="n">
        <f aca="false">ROUND(I166*J166,2)</f>
        <v>1188.48</v>
      </c>
      <c r="L166" s="29" t="s">
        <v>224</v>
      </c>
      <c r="M166" s="21" t="s">
        <v>110</v>
      </c>
      <c r="N166" s="21" t="s">
        <v>15</v>
      </c>
      <c r="O166" s="21" t="s">
        <v>215</v>
      </c>
    </row>
    <row r="167" customFormat="false" ht="15" hidden="false" customHeight="true" outlineLevel="0" collapsed="false">
      <c r="A167" s="3" t="s">
        <v>254</v>
      </c>
      <c r="B167" s="3" t="s">
        <v>226</v>
      </c>
      <c r="C167" s="3" t="s">
        <v>255</v>
      </c>
      <c r="M167" s="21"/>
      <c r="N167" s="21"/>
      <c r="O167" s="21"/>
    </row>
    <row r="168" customFormat="false" ht="24" hidden="false" customHeight="true" outlineLevel="0" collapsed="false">
      <c r="C168" s="22" t="s">
        <v>256</v>
      </c>
      <c r="M168" s="21"/>
      <c r="N168" s="21"/>
      <c r="O168" s="21"/>
    </row>
    <row r="169" customFormat="false" ht="15" hidden="false" customHeight="true" outlineLevel="0" collapsed="false">
      <c r="C169" s="23" t="s">
        <v>257</v>
      </c>
      <c r="D169" s="24" t="n">
        <v>1</v>
      </c>
      <c r="E169" s="31" t="n">
        <v>430</v>
      </c>
      <c r="F169" s="24"/>
      <c r="G169" s="24"/>
      <c r="H169" s="25" t="n">
        <f aca="false">IF(COUNT(D169:G169)=0,0,D169*IF(E169="",1,E169)*IF(F169="",1,F169)*IF(G169="",1,G169))</f>
        <v>430</v>
      </c>
      <c r="M169" s="21"/>
      <c r="N169" s="21"/>
      <c r="O169" s="21"/>
    </row>
    <row r="170" customFormat="false" ht="15" hidden="false" customHeight="true" outlineLevel="0" collapsed="false">
      <c r="H170" s="26"/>
      <c r="I170" s="27" t="n">
        <f aca="false">ROUND(SUM(H169:H169),2)</f>
        <v>430</v>
      </c>
      <c r="J170" s="28" t="n">
        <v>3.2</v>
      </c>
      <c r="K170" s="27" t="n">
        <f aca="false">ROUND(I170*J170,2)</f>
        <v>1376</v>
      </c>
      <c r="L170" s="29" t="s">
        <v>258</v>
      </c>
      <c r="M170" s="21" t="s">
        <v>110</v>
      </c>
      <c r="N170" s="21" t="s">
        <v>15</v>
      </c>
      <c r="O170" s="21" t="s">
        <v>215</v>
      </c>
    </row>
    <row r="171" customFormat="false" ht="15" hidden="false" customHeight="true" outlineLevel="0" collapsed="false">
      <c r="A171" s="3" t="s">
        <v>259</v>
      </c>
      <c r="B171" s="3" t="s">
        <v>153</v>
      </c>
      <c r="C171" s="3" t="s">
        <v>260</v>
      </c>
      <c r="M171" s="21"/>
      <c r="N171" s="21"/>
      <c r="O171" s="21"/>
    </row>
    <row r="172" customFormat="false" ht="36" hidden="false" customHeight="true" outlineLevel="0" collapsed="false">
      <c r="C172" s="22" t="s">
        <v>261</v>
      </c>
      <c r="M172" s="21"/>
      <c r="N172" s="21"/>
      <c r="O172" s="21"/>
    </row>
    <row r="173" customFormat="false" ht="15" hidden="false" customHeight="true" outlineLevel="0" collapsed="false">
      <c r="C173" s="23" t="s">
        <v>214</v>
      </c>
      <c r="D173" s="24" t="n">
        <v>1</v>
      </c>
      <c r="E173" s="31" t="n">
        <f aca="false">'Mediciones BIM'!E13</f>
        <v>11.08</v>
      </c>
      <c r="H173" s="25" t="n">
        <f aca="false">IF(COUNT(D173:G173)=0,0,D173*IF(E173="",1,E173)*IF(F173="",1,F173)*IF(G173="",1,G173))</f>
        <v>11.08</v>
      </c>
      <c r="M173" s="21"/>
      <c r="N173" s="21"/>
      <c r="O173" s="21"/>
    </row>
    <row r="174" customFormat="false" ht="15" hidden="false" customHeight="true" outlineLevel="0" collapsed="false">
      <c r="C174" s="23"/>
      <c r="D174" s="24"/>
      <c r="E174" s="24"/>
      <c r="H174" s="25"/>
      <c r="I174" s="1" t="n">
        <f aca="false">ROUND(SUM(H173:H173),2)</f>
        <v>11.08</v>
      </c>
      <c r="J174" s="1" t="n">
        <v>68</v>
      </c>
      <c r="K174" s="1" t="n">
        <f aca="false">ROUND(I174*J174,2)</f>
        <v>753.44</v>
      </c>
      <c r="L174" s="1" t="s">
        <v>262</v>
      </c>
      <c r="M174" s="21" t="s">
        <v>110</v>
      </c>
      <c r="N174" s="21" t="s">
        <v>15</v>
      </c>
      <c r="O174" s="21" t="s">
        <v>215</v>
      </c>
    </row>
    <row r="175" customFormat="false" ht="15" hidden="false" customHeight="true" outlineLevel="0" collapsed="false">
      <c r="A175" s="3" t="s">
        <v>263</v>
      </c>
      <c r="B175" s="3" t="s">
        <v>105</v>
      </c>
      <c r="C175" s="3" t="s">
        <v>264</v>
      </c>
      <c r="M175" s="21"/>
      <c r="N175" s="21"/>
      <c r="O175" s="21"/>
    </row>
    <row r="176" customFormat="false" ht="15" hidden="false" customHeight="true" outlineLevel="0" collapsed="false">
      <c r="C176" s="22" t="s">
        <v>265</v>
      </c>
      <c r="M176" s="21"/>
      <c r="N176" s="21"/>
      <c r="O176" s="21"/>
    </row>
    <row r="177" customFormat="false" ht="15" hidden="false" customHeight="true" outlineLevel="0" collapsed="false">
      <c r="C177" s="23" t="s">
        <v>266</v>
      </c>
      <c r="D177" s="24" t="n">
        <v>34</v>
      </c>
      <c r="E177" s="31"/>
      <c r="F177" s="24"/>
      <c r="G177" s="24"/>
      <c r="H177" s="25" t="n">
        <f aca="false">IF(COUNT(D177:G177)=0,0,D177*IF(E177="",1,E177)*IF(F177="",1,F177)*IF(G177="",1,G177))</f>
        <v>34</v>
      </c>
      <c r="M177" s="21"/>
      <c r="N177" s="21"/>
      <c r="O177" s="21"/>
    </row>
    <row r="178" customFormat="false" ht="15" hidden="false" customHeight="true" outlineLevel="0" collapsed="false">
      <c r="H178" s="26"/>
      <c r="I178" s="27" t="n">
        <f aca="false">ROUND(SUM(H177:H177),2)</f>
        <v>34</v>
      </c>
      <c r="J178" s="28" t="n">
        <v>35</v>
      </c>
      <c r="K178" s="27" t="n">
        <f aca="false">ROUND(I178*J178,2)</f>
        <v>1190</v>
      </c>
      <c r="L178" s="29" t="s">
        <v>224</v>
      </c>
      <c r="M178" s="21" t="s">
        <v>110</v>
      </c>
      <c r="N178" s="21" t="s">
        <v>15</v>
      </c>
      <c r="O178" s="21" t="s">
        <v>215</v>
      </c>
    </row>
    <row r="179" customFormat="false" ht="15" hidden="false" customHeight="true" outlineLevel="0" collapsed="false">
      <c r="C179" s="30" t="s">
        <v>267</v>
      </c>
      <c r="K179" s="11" t="n">
        <f aca="false">SUMIFS($K$5:$K$178,$M$5:$M$178,"P",$N$5:$N$178,"05")</f>
        <v>88997.73</v>
      </c>
      <c r="M179" s="21"/>
      <c r="N179" s="21"/>
      <c r="O179" s="21"/>
    </row>
    <row r="180" customFormat="false" ht="15" hidden="false" customHeight="true" outlineLevel="0" collapsed="false">
      <c r="M180" s="21"/>
      <c r="N180" s="21"/>
      <c r="O180" s="21"/>
    </row>
    <row r="181" customFormat="false" ht="15" hidden="false" customHeight="true" outlineLevel="0" collapsed="false">
      <c r="A181" s="19" t="s">
        <v>21</v>
      </c>
      <c r="B181" s="20"/>
      <c r="C181" s="19" t="s">
        <v>22</v>
      </c>
      <c r="D181" s="20"/>
      <c r="E181" s="20"/>
      <c r="F181" s="20"/>
      <c r="G181" s="20"/>
      <c r="H181" s="20"/>
      <c r="I181" s="20"/>
      <c r="J181" s="20"/>
      <c r="K181" s="20"/>
      <c r="L181" s="20"/>
      <c r="M181" s="21" t="s">
        <v>103</v>
      </c>
      <c r="N181" s="21" t="s">
        <v>21</v>
      </c>
      <c r="O181" s="21"/>
    </row>
    <row r="182" customFormat="false" ht="15" hidden="false" customHeight="true" outlineLevel="0" collapsed="false">
      <c r="A182" s="3" t="s">
        <v>268</v>
      </c>
      <c r="B182" s="3" t="s">
        <v>153</v>
      </c>
      <c r="C182" s="3" t="s">
        <v>269</v>
      </c>
      <c r="M182" s="21"/>
      <c r="N182" s="21"/>
      <c r="O182" s="21"/>
    </row>
    <row r="183" customFormat="false" ht="36" hidden="false" customHeight="true" outlineLevel="0" collapsed="false">
      <c r="C183" s="22" t="s">
        <v>270</v>
      </c>
      <c r="M183" s="21"/>
      <c r="N183" s="21"/>
      <c r="O183" s="21"/>
    </row>
    <row r="184" customFormat="false" ht="15" hidden="false" customHeight="true" outlineLevel="0" collapsed="false">
      <c r="C184" s="23" t="s">
        <v>214</v>
      </c>
      <c r="D184" s="24" t="n">
        <v>1</v>
      </c>
      <c r="E184" s="31" t="n">
        <f aca="false">'Mediciones BIM'!E14</f>
        <v>83.88</v>
      </c>
      <c r="G184" s="24"/>
      <c r="H184" s="25" t="n">
        <f aca="false">IF(COUNT(D184:G184)=0,0,D184*IF(E184="",1,E184)*IF(F184="",1,F184)*IF(G184="",1,G184))</f>
        <v>83.88</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5" hidden="false" customHeight="true" outlineLevel="0" collapsed="false">
      <c r="C188" s="23"/>
      <c r="D188" s="24"/>
      <c r="E188" s="24"/>
      <c r="H188" s="25" t="n">
        <f aca="false">IF(COUNT(D188:G188)=0,0,D188*IF(E188="",1,E188)*IF(F188="",1,F188)*IF(G188="",1,G188))</f>
        <v>0</v>
      </c>
      <c r="M188" s="21"/>
      <c r="N188" s="21"/>
      <c r="O188" s="21"/>
    </row>
    <row r="189" customFormat="false" ht="15" hidden="false" customHeight="true" outlineLevel="0" collapsed="false">
      <c r="C189" s="23"/>
      <c r="D189" s="24"/>
      <c r="E189" s="24"/>
      <c r="G189" s="24"/>
      <c r="H189" s="25" t="n">
        <f aca="false">IF(COUNT(D189:G189)=0,0,D189*IF(E189="",1,E189)*IF(F189="",1,F189)*IF(G189="",1,G189))</f>
        <v>0</v>
      </c>
      <c r="M189" s="21"/>
      <c r="N189" s="21"/>
      <c r="O189" s="21"/>
    </row>
    <row r="190" customFormat="false" ht="15" hidden="false" customHeight="true" outlineLevel="0" collapsed="false">
      <c r="C190" s="23"/>
      <c r="D190" s="24"/>
      <c r="E190" s="24"/>
      <c r="G190" s="24"/>
      <c r="H190" s="25" t="n">
        <f aca="false">IF(COUNT(D190:G190)=0,0,D190*IF(E190="",1,E190)*IF(F190="",1,F190)*IF(G190="",1,G190))</f>
        <v>0</v>
      </c>
      <c r="M190" s="21"/>
      <c r="N190" s="21"/>
      <c r="O190" s="21"/>
    </row>
    <row r="191" customFormat="false" ht="15" hidden="false" customHeight="true" outlineLevel="0" collapsed="false">
      <c r="C191" s="23"/>
      <c r="D191" s="24"/>
      <c r="E191" s="24"/>
      <c r="H191" s="25" t="n">
        <f aca="false">IF(COUNT(D191:G191)=0,0,D191*IF(E191="",1,E191)*IF(F191="",1,F191)*IF(G191="",1,G191))</f>
        <v>0</v>
      </c>
      <c r="M191" s="21"/>
      <c r="N191" s="21"/>
      <c r="O191" s="21"/>
    </row>
    <row r="192" customFormat="false" ht="18.75" hidden="false" customHeight="true" outlineLevel="0" collapsed="false">
      <c r="H192" s="26"/>
      <c r="I192" s="27" t="n">
        <f aca="false">ROUND(SUM(H184:H191),2)</f>
        <v>83.88</v>
      </c>
      <c r="J192" s="28" t="n">
        <v>82</v>
      </c>
      <c r="K192" s="27" t="n">
        <f aca="false">ROUND(I192*J192,2)</f>
        <v>6878.16</v>
      </c>
      <c r="L192" s="29" t="s">
        <v>138</v>
      </c>
      <c r="M192" s="21" t="s">
        <v>110</v>
      </c>
      <c r="N192" s="21" t="s">
        <v>21</v>
      </c>
      <c r="O192" s="21"/>
    </row>
    <row r="193" customFormat="false" ht="15" hidden="false" customHeight="true" outlineLevel="0" collapsed="false">
      <c r="A193" s="3" t="s">
        <v>271</v>
      </c>
      <c r="B193" s="3" t="s">
        <v>153</v>
      </c>
      <c r="C193" s="3" t="s">
        <v>272</v>
      </c>
      <c r="M193" s="21"/>
      <c r="N193" s="21"/>
      <c r="O193" s="21"/>
    </row>
    <row r="194" customFormat="false" ht="36" hidden="false" customHeight="true" outlineLevel="0" collapsed="false">
      <c r="C194" s="22" t="s">
        <v>273</v>
      </c>
      <c r="M194" s="21"/>
      <c r="N194" s="21"/>
      <c r="O194" s="21"/>
    </row>
    <row r="195" customFormat="false" ht="15" hidden="false" customHeight="true" outlineLevel="0" collapsed="false">
      <c r="C195" s="23" t="s">
        <v>274</v>
      </c>
      <c r="D195" s="24" t="n">
        <v>1</v>
      </c>
      <c r="E195" s="31" t="n">
        <f aca="false">'Mediciones BIM'!E15</f>
        <v>83.8</v>
      </c>
      <c r="G195" s="24"/>
      <c r="H195" s="25" t="n">
        <f aca="false">IF(COUNT(D195:G195)=0,0,D195*IF(E195="",1,E195)*IF(F195="",1,F195)*IF(G195="",1,G195))</f>
        <v>83.8</v>
      </c>
      <c r="M195" s="21"/>
      <c r="N195" s="21"/>
      <c r="O195" s="21"/>
    </row>
    <row r="196" customFormat="false" ht="15" hidden="false" customHeight="true" outlineLevel="0" collapsed="false">
      <c r="C196" s="23"/>
      <c r="D196" s="24"/>
      <c r="E196" s="24"/>
      <c r="G196" s="24"/>
      <c r="H196" s="25" t="n">
        <f aca="false">IF(COUNT(D196:G196)=0,0,D196*IF(E196="",1,E196)*IF(F196="",1,F196)*IF(G196="",1,G196))</f>
        <v>0</v>
      </c>
      <c r="M196" s="21"/>
      <c r="N196" s="21"/>
      <c r="O196" s="21"/>
    </row>
    <row r="197" customFormat="false" ht="15" hidden="false" customHeight="true" outlineLevel="0" collapsed="false">
      <c r="C197" s="23"/>
      <c r="D197" s="24"/>
      <c r="E197" s="24"/>
      <c r="G197" s="24"/>
      <c r="H197" s="25" t="n">
        <f aca="false">IF(COUNT(D197:G197)=0,0,D197*IF(E197="",1,E197)*IF(F197="",1,F197)*IF(G197="",1,G197))</f>
        <v>0</v>
      </c>
      <c r="M197" s="21"/>
      <c r="N197" s="21"/>
      <c r="O197" s="21"/>
    </row>
    <row r="198" customFormat="false" ht="15" hidden="false" customHeight="true" outlineLevel="0" collapsed="false">
      <c r="C198" s="23"/>
      <c r="D198" s="24"/>
      <c r="E198" s="24"/>
      <c r="H198" s="25" t="n">
        <f aca="false">IF(COUNT(D198:G198)=0,0,D198*IF(E198="",1,E198)*IF(F198="",1,F198)*IF(G198="",1,G198))</f>
        <v>0</v>
      </c>
      <c r="M198" s="21"/>
      <c r="N198" s="21"/>
      <c r="O198" s="21"/>
    </row>
    <row r="199" customFormat="false" ht="18.75" hidden="false" customHeight="true" outlineLevel="0" collapsed="false">
      <c r="H199" s="26"/>
      <c r="I199" s="27" t="n">
        <f aca="false">ROUND(SUM(H195:H198),2)</f>
        <v>83.8</v>
      </c>
      <c r="J199" s="28" t="n">
        <v>58</v>
      </c>
      <c r="K199" s="27" t="n">
        <f aca="false">ROUND(I199*J199,2)</f>
        <v>4860.4</v>
      </c>
      <c r="L199" s="29" t="s">
        <v>138</v>
      </c>
      <c r="M199" s="21" t="s">
        <v>110</v>
      </c>
      <c r="N199" s="21" t="s">
        <v>21</v>
      </c>
      <c r="O199" s="21"/>
    </row>
    <row r="200" customFormat="false" ht="15" hidden="false" customHeight="true" outlineLevel="0" collapsed="false">
      <c r="A200" s="3" t="s">
        <v>275</v>
      </c>
      <c r="B200" s="3" t="s">
        <v>153</v>
      </c>
      <c r="C200" s="3" t="s">
        <v>276</v>
      </c>
      <c r="M200" s="21"/>
      <c r="N200" s="21"/>
      <c r="O200" s="21"/>
    </row>
    <row r="201" customFormat="false" ht="36" hidden="false" customHeight="true" outlineLevel="0" collapsed="false">
      <c r="C201" s="22" t="s">
        <v>277</v>
      </c>
      <c r="M201" s="21"/>
      <c r="N201" s="21"/>
      <c r="O201" s="21"/>
    </row>
    <row r="202" customFormat="false" ht="15" hidden="false" customHeight="true" outlineLevel="0" collapsed="false">
      <c r="C202" s="23" t="s">
        <v>214</v>
      </c>
      <c r="D202" s="24" t="n">
        <v>1</v>
      </c>
      <c r="E202" s="31" t="n">
        <f aca="false">'Mediciones BIM'!E16</f>
        <v>369.19</v>
      </c>
      <c r="G202" s="24"/>
      <c r="H202" s="25" t="n">
        <f aca="false">IF(COUNT(D202:G202)=0,0,D202*IF(E202="",1,E202)*IF(F202="",1,F202)*IF(G202="",1,G202))</f>
        <v>369.19</v>
      </c>
      <c r="M202" s="21"/>
      <c r="N202" s="21"/>
      <c r="O202" s="21"/>
    </row>
    <row r="203" customFormat="false" ht="15" hidden="false" customHeight="true" outlineLevel="0" collapsed="false">
      <c r="C203" s="23"/>
      <c r="D203" s="24"/>
      <c r="E203" s="24"/>
      <c r="G203" s="24"/>
      <c r="H203" s="25" t="n">
        <f aca="false">IF(COUNT(D203:G203)=0,0,D203*IF(E203="",1,E203)*IF(F203="",1,F203)*IF(G203="",1,G203))</f>
        <v>0</v>
      </c>
      <c r="M203" s="21"/>
      <c r="N203" s="21"/>
      <c r="O203" s="21"/>
    </row>
    <row r="204" customFormat="false" ht="15" hidden="false" customHeight="true" outlineLevel="0" collapsed="false">
      <c r="C204" s="23"/>
      <c r="D204" s="24"/>
      <c r="E204" s="24"/>
      <c r="G204" s="24"/>
      <c r="H204" s="25" t="n">
        <f aca="false">IF(COUNT(D204:G204)=0,0,D204*IF(E204="",1,E204)*IF(F204="",1,F204)*IF(G204="",1,G204))</f>
        <v>0</v>
      </c>
      <c r="M204" s="21"/>
      <c r="N204" s="21"/>
      <c r="O204" s="21"/>
    </row>
    <row r="205" customFormat="false" ht="15" hidden="false" customHeight="true" outlineLevel="0" collapsed="false">
      <c r="C205" s="23"/>
      <c r="D205" s="24"/>
      <c r="E205" s="24"/>
      <c r="G205" s="24"/>
      <c r="H205" s="25" t="n">
        <f aca="false">IF(COUNT(D205:G205)=0,0,D205*IF(E205="",1,E205)*IF(F205="",1,F205)*IF(G205="",1,G205))</f>
        <v>0</v>
      </c>
      <c r="M205" s="21"/>
      <c r="N205" s="21"/>
      <c r="O205" s="21"/>
    </row>
    <row r="206" customFormat="false" ht="15" hidden="false" customHeight="true" outlineLevel="0" collapsed="false">
      <c r="C206" s="23"/>
      <c r="D206" s="24"/>
      <c r="E206" s="24"/>
      <c r="G206" s="24"/>
      <c r="H206" s="25" t="n">
        <f aca="false">IF(COUNT(D206:G206)=0,0,D206*IF(E206="",1,E206)*IF(F206="",1,F206)*IF(G206="",1,G206))</f>
        <v>0</v>
      </c>
      <c r="M206" s="21"/>
      <c r="N206" s="21"/>
      <c r="O206" s="21"/>
    </row>
    <row r="207" customFormat="false" ht="18.75" hidden="false" customHeight="true" outlineLevel="0" collapsed="false">
      <c r="H207" s="26"/>
      <c r="I207" s="27" t="n">
        <f aca="false">ROUND(SUM(H202:H206),2)</f>
        <v>369.19</v>
      </c>
      <c r="J207" s="28" t="n">
        <v>54</v>
      </c>
      <c r="K207" s="27" t="n">
        <f aca="false">ROUND(I207*J207,2)</f>
        <v>19936.26</v>
      </c>
      <c r="L207" s="29" t="s">
        <v>138</v>
      </c>
      <c r="M207" s="21" t="s">
        <v>110</v>
      </c>
      <c r="N207" s="21" t="s">
        <v>21</v>
      </c>
      <c r="O207" s="21"/>
    </row>
    <row r="208" customFormat="false" ht="15" hidden="false" customHeight="true" outlineLevel="0" collapsed="false">
      <c r="A208" s="3" t="s">
        <v>278</v>
      </c>
      <c r="B208" s="3" t="s">
        <v>153</v>
      </c>
      <c r="C208" s="3" t="s">
        <v>279</v>
      </c>
      <c r="M208" s="21"/>
      <c r="N208" s="21"/>
      <c r="O208" s="21"/>
    </row>
    <row r="209" customFormat="false" ht="24" hidden="false" customHeight="true" outlineLevel="0" collapsed="false">
      <c r="C209" s="22" t="s">
        <v>280</v>
      </c>
      <c r="M209" s="21"/>
      <c r="N209" s="21"/>
      <c r="O209" s="21"/>
    </row>
    <row r="210" customFormat="false" ht="15" hidden="false" customHeight="true" outlineLevel="0" collapsed="false">
      <c r="C210" s="23" t="s">
        <v>214</v>
      </c>
      <c r="D210" s="24" t="n">
        <v>1</v>
      </c>
      <c r="E210" s="31" t="n">
        <f aca="false">'Mediciones BIM'!E17</f>
        <v>326.37</v>
      </c>
      <c r="G210" s="24"/>
      <c r="H210" s="25" t="n">
        <f aca="false">IF(COUNT(D210:G210)=0,0,D210*IF(E210="",1,E210)*IF(F210="",1,F210)*IF(G210="",1,G210))</f>
        <v>326.37</v>
      </c>
      <c r="M210" s="21"/>
      <c r="N210" s="21"/>
      <c r="O210" s="21"/>
    </row>
    <row r="211" customFormat="false" ht="15" hidden="false" customHeight="true" outlineLevel="0" collapsed="false">
      <c r="C211" s="23"/>
      <c r="D211" s="24"/>
      <c r="E211" s="24"/>
      <c r="G211" s="24"/>
      <c r="H211" s="25" t="n">
        <f aca="false">IF(COUNT(D211:G211)=0,0,D211*IF(E211="",1,E211)*IF(F211="",1,F211)*IF(G211="",1,G211))</f>
        <v>0</v>
      </c>
      <c r="M211" s="21"/>
      <c r="N211" s="21"/>
      <c r="O211" s="21"/>
    </row>
    <row r="212" customFormat="false" ht="15" hidden="false" customHeight="true" outlineLevel="0" collapsed="false">
      <c r="C212" s="23"/>
      <c r="D212" s="24"/>
      <c r="E212" s="24"/>
      <c r="G212" s="24"/>
      <c r="H212" s="25" t="n">
        <f aca="false">IF(COUNT(D212:G212)=0,0,D212*IF(E212="",1,E212)*IF(F212="",1,F212)*IF(G212="",1,G212))</f>
        <v>0</v>
      </c>
      <c r="M212" s="21"/>
      <c r="N212" s="21"/>
      <c r="O212" s="21"/>
    </row>
    <row r="213" customFormat="false" ht="18.75" hidden="false" customHeight="true" outlineLevel="0" collapsed="false">
      <c r="H213" s="26"/>
      <c r="I213" s="27" t="n">
        <f aca="false">ROUND(SUM(H210:H212),2)</f>
        <v>326.37</v>
      </c>
      <c r="J213" s="28" t="n">
        <v>4.8</v>
      </c>
      <c r="K213" s="27" t="n">
        <f aca="false">ROUND(I213*J213,2)</f>
        <v>1566.58</v>
      </c>
      <c r="L213" s="29" t="s">
        <v>138</v>
      </c>
      <c r="M213" s="21" t="s">
        <v>110</v>
      </c>
      <c r="N213" s="21" t="s">
        <v>21</v>
      </c>
      <c r="O213" s="21"/>
    </row>
    <row r="214" customFormat="false" ht="15" hidden="false" customHeight="true" outlineLevel="0" collapsed="false">
      <c r="A214" s="3" t="s">
        <v>281</v>
      </c>
      <c r="B214" s="3" t="s">
        <v>153</v>
      </c>
      <c r="C214" s="3" t="s">
        <v>282</v>
      </c>
      <c r="M214" s="21"/>
      <c r="N214" s="21"/>
      <c r="O214" s="21"/>
    </row>
    <row r="215" customFormat="false" ht="24" hidden="false" customHeight="true" outlineLevel="0" collapsed="false">
      <c r="C215" s="22" t="s">
        <v>283</v>
      </c>
      <c r="M215" s="21"/>
      <c r="N215" s="21"/>
      <c r="O215" s="21"/>
    </row>
    <row r="216" customFormat="false" ht="15" hidden="false" customHeight="true" outlineLevel="0" collapsed="false">
      <c r="C216" s="23" t="s">
        <v>214</v>
      </c>
      <c r="D216" s="24" t="n">
        <v>1</v>
      </c>
      <c r="E216" s="31" t="n">
        <f aca="false">'Mediciones BIM'!E18</f>
        <v>96.78</v>
      </c>
      <c r="G216" s="24"/>
      <c r="H216" s="25" t="n">
        <f aca="false">IF(COUNT(D216:G216)=0,0,D216*IF(E216="",1,E216)*IF(F216="",1,F216)*IF(G216="",1,G216))</f>
        <v>96.78</v>
      </c>
      <c r="M216" s="21"/>
      <c r="N216" s="21"/>
      <c r="O216" s="21"/>
    </row>
    <row r="217" customFormat="false" ht="15" hidden="false" customHeight="true" outlineLevel="0" collapsed="false">
      <c r="C217" s="23"/>
      <c r="D217" s="24"/>
      <c r="E217" s="24"/>
      <c r="G217" s="24"/>
      <c r="H217" s="25" t="n">
        <f aca="false">IF(COUNT(D217:G217)=0,0,D217*IF(E217="",1,E217)*IF(F217="",1,F217)*IF(G217="",1,G217))</f>
        <v>0</v>
      </c>
      <c r="M217" s="21"/>
      <c r="N217" s="21"/>
      <c r="O217" s="21"/>
    </row>
    <row r="218" customFormat="false" ht="15" hidden="false" customHeight="true" outlineLevel="0" collapsed="false">
      <c r="C218" s="23"/>
      <c r="D218" s="24"/>
      <c r="E218" s="24"/>
      <c r="G218" s="24"/>
      <c r="H218" s="25" t="n">
        <f aca="false">IF(COUNT(D218:G218)=0,0,D218*IF(E218="",1,E218)*IF(F218="",1,F218)*IF(G218="",1,G218))</f>
        <v>0</v>
      </c>
      <c r="M218" s="21"/>
      <c r="N218" s="21"/>
      <c r="O218" s="21"/>
    </row>
    <row r="219" customFormat="false" ht="18.75" hidden="false" customHeight="true" outlineLevel="0" collapsed="false">
      <c r="H219" s="26"/>
      <c r="I219" s="27" t="n">
        <f aca="false">ROUND(SUM(H216:H218),2)</f>
        <v>96.78</v>
      </c>
      <c r="J219" s="28" t="n">
        <v>34</v>
      </c>
      <c r="K219" s="27" t="n">
        <f aca="false">ROUND(I219*J219,2)</f>
        <v>3290.52</v>
      </c>
      <c r="L219" s="29" t="s">
        <v>138</v>
      </c>
      <c r="M219" s="21" t="s">
        <v>110</v>
      </c>
      <c r="N219" s="21" t="s">
        <v>21</v>
      </c>
      <c r="O219" s="21"/>
    </row>
    <row r="220" customFormat="false" ht="15" hidden="false" customHeight="true" outlineLevel="0" collapsed="false">
      <c r="A220" s="3" t="s">
        <v>284</v>
      </c>
      <c r="B220" s="3" t="s">
        <v>153</v>
      </c>
      <c r="C220" s="3" t="s">
        <v>285</v>
      </c>
      <c r="M220" s="21"/>
      <c r="N220" s="21"/>
      <c r="O220" s="21"/>
    </row>
    <row r="221" customFormat="false" ht="24" hidden="false" customHeight="true" outlineLevel="0" collapsed="false">
      <c r="C221" s="22" t="s">
        <v>286</v>
      </c>
      <c r="M221" s="21"/>
      <c r="N221" s="21"/>
      <c r="O221" s="21"/>
    </row>
    <row r="222" customFormat="false" ht="15" hidden="false" customHeight="true" outlineLevel="0" collapsed="false">
      <c r="C222" s="23" t="s">
        <v>214</v>
      </c>
      <c r="D222" s="24" t="n">
        <v>1</v>
      </c>
      <c r="E222" s="31" t="n">
        <f aca="false">'Mediciones BIM'!E19</f>
        <v>103.72</v>
      </c>
      <c r="G222" s="24"/>
      <c r="H222" s="25" t="n">
        <f aca="false">IF(COUNT(D222:G222)=0,0,D222*IF(E222="",1,E222)*IF(F222="",1,F222)*IF(G222="",1,G222))</f>
        <v>103.72</v>
      </c>
      <c r="M222" s="21"/>
      <c r="N222" s="21"/>
      <c r="O222" s="21"/>
    </row>
    <row r="223" customFormat="false" ht="15" hidden="false" customHeight="true" outlineLevel="0" collapsed="false">
      <c r="C223" s="23"/>
      <c r="D223" s="24"/>
      <c r="E223" s="24"/>
      <c r="G223" s="24"/>
      <c r="H223" s="25" t="n">
        <f aca="false">IF(COUNT(D223:G223)=0,0,D223*IF(E223="",1,E223)*IF(F223="",1,F223)*IF(G223="",1,G223))</f>
        <v>0</v>
      </c>
      <c r="M223" s="21"/>
      <c r="N223" s="21"/>
      <c r="O223" s="21"/>
    </row>
    <row r="224" customFormat="false" ht="15" hidden="false" customHeight="true" outlineLevel="0" collapsed="false">
      <c r="C224" s="23"/>
      <c r="D224" s="24"/>
      <c r="E224" s="24"/>
      <c r="G224" s="24"/>
      <c r="H224" s="25" t="n">
        <f aca="false">IF(COUNT(D224:G224)=0,0,D224*IF(E224="",1,E224)*IF(F224="",1,F224)*IF(G224="",1,G224))</f>
        <v>0</v>
      </c>
      <c r="M224" s="21"/>
      <c r="N224" s="21"/>
      <c r="O224" s="21"/>
    </row>
    <row r="225" customFormat="false" ht="18.75" hidden="false" customHeight="true" outlineLevel="0" collapsed="false">
      <c r="H225" s="26"/>
      <c r="I225" s="27" t="n">
        <f aca="false">ROUND(SUM(H222:H224),2)</f>
        <v>103.72</v>
      </c>
      <c r="J225" s="28" t="n">
        <v>33</v>
      </c>
      <c r="K225" s="27" t="n">
        <f aca="false">ROUND(I225*J225,2)</f>
        <v>3422.76</v>
      </c>
      <c r="L225" s="29" t="s">
        <v>138</v>
      </c>
      <c r="M225" s="21" t="s">
        <v>110</v>
      </c>
      <c r="N225" s="21" t="s">
        <v>21</v>
      </c>
      <c r="O225" s="21"/>
    </row>
    <row r="226" customFormat="false" ht="15" hidden="false" customHeight="true" outlineLevel="0" collapsed="false">
      <c r="A226" s="3" t="s">
        <v>287</v>
      </c>
      <c r="B226" s="3" t="s">
        <v>158</v>
      </c>
      <c r="C226" s="3" t="s">
        <v>288</v>
      </c>
      <c r="M226" s="21"/>
      <c r="N226" s="21"/>
      <c r="O226" s="21"/>
    </row>
    <row r="227" customFormat="false" ht="24" hidden="false" customHeight="true" outlineLevel="0" collapsed="false">
      <c r="C227" s="22" t="s">
        <v>289</v>
      </c>
      <c r="M227" s="21"/>
      <c r="N227" s="21"/>
      <c r="O227" s="21"/>
    </row>
    <row r="228" customFormat="false" ht="15" hidden="false" customHeight="true" outlineLevel="0" collapsed="false">
      <c r="C228" s="23" t="s">
        <v>290</v>
      </c>
      <c r="D228" s="24" t="n">
        <v>4</v>
      </c>
      <c r="E228" s="24" t="n">
        <v>1.35</v>
      </c>
      <c r="H228" s="25" t="n">
        <f aca="false">IF(COUNT(D228:G228)=0,0,D228*IF(E228="",1,E228)*IF(F228="",1,F228)*IF(G228="",1,G228))</f>
        <v>5.4</v>
      </c>
      <c r="M228" s="21"/>
      <c r="N228" s="21"/>
      <c r="O228" s="21"/>
    </row>
    <row r="229" customFormat="false" ht="15" hidden="false" customHeight="true" outlineLevel="0" collapsed="false">
      <c r="C229" s="23" t="s">
        <v>291</v>
      </c>
      <c r="D229" s="24" t="n">
        <v>3</v>
      </c>
      <c r="E229" s="24" t="n">
        <v>1.35</v>
      </c>
      <c r="H229" s="25" t="n">
        <f aca="false">IF(COUNT(D229:G229)=0,0,D229*IF(E229="",1,E229)*IF(F229="",1,F229)*IF(G229="",1,G229))</f>
        <v>4.05</v>
      </c>
      <c r="M229" s="21"/>
      <c r="N229" s="21"/>
      <c r="O229" s="21"/>
    </row>
    <row r="230" customFormat="false" ht="15" hidden="false" customHeight="true" outlineLevel="0" collapsed="false">
      <c r="C230" s="23" t="s">
        <v>292</v>
      </c>
      <c r="D230" s="24" t="n">
        <v>1</v>
      </c>
      <c r="E230" s="24" t="n">
        <v>2.05</v>
      </c>
      <c r="H230" s="25" t="n">
        <f aca="false">IF(COUNT(D230:G230)=0,0,D230*IF(E230="",1,E230)*IF(F230="",1,F230)*IF(G230="",1,G230))</f>
        <v>2.05</v>
      </c>
      <c r="M230" s="21"/>
      <c r="N230" s="21"/>
      <c r="O230" s="21"/>
    </row>
    <row r="231" customFormat="false" ht="15" hidden="false" customHeight="true" outlineLevel="0" collapsed="false">
      <c r="C231" s="23" t="s">
        <v>293</v>
      </c>
      <c r="D231" s="24" t="n">
        <v>1</v>
      </c>
      <c r="E231" s="24" t="n">
        <v>5.6</v>
      </c>
      <c r="H231" s="25" t="n">
        <f aca="false">IF(COUNT(D231:G231)=0,0,D231*IF(E231="",1,E231)*IF(F231="",1,F231)*IF(G231="",1,G231))</f>
        <v>5.6</v>
      </c>
      <c r="M231" s="21"/>
      <c r="N231" s="21"/>
      <c r="O231" s="21"/>
    </row>
    <row r="232" customFormat="false" ht="18.75" hidden="false" customHeight="true" outlineLevel="0" collapsed="false">
      <c r="H232" s="26"/>
      <c r="I232" s="27" t="n">
        <f aca="false">ROUND(SUM(H228:H231),2)</f>
        <v>17.1</v>
      </c>
      <c r="J232" s="28" t="n">
        <v>52</v>
      </c>
      <c r="K232" s="27" t="n">
        <f aca="false">ROUND(I232*J232,2)</f>
        <v>889.2</v>
      </c>
      <c r="L232" s="29" t="s">
        <v>138</v>
      </c>
      <c r="M232" s="21" t="s">
        <v>110</v>
      </c>
      <c r="N232" s="21" t="s">
        <v>21</v>
      </c>
      <c r="O232" s="21"/>
    </row>
    <row r="233" customFormat="false" ht="15" hidden="false" customHeight="true" outlineLevel="0" collapsed="false">
      <c r="A233" s="3" t="s">
        <v>294</v>
      </c>
      <c r="B233" s="3" t="s">
        <v>158</v>
      </c>
      <c r="C233" s="3" t="s">
        <v>295</v>
      </c>
      <c r="M233" s="21"/>
      <c r="N233" s="21"/>
      <c r="O233" s="21"/>
    </row>
    <row r="234" customFormat="false" ht="24" hidden="false" customHeight="true" outlineLevel="0" collapsed="false">
      <c r="C234" s="22" t="s">
        <v>296</v>
      </c>
      <c r="M234" s="21"/>
      <c r="N234" s="21"/>
      <c r="O234" s="21"/>
    </row>
    <row r="235" customFormat="false" ht="15" hidden="false" customHeight="true" outlineLevel="0" collapsed="false">
      <c r="C235" s="23" t="s">
        <v>274</v>
      </c>
      <c r="D235" s="24" t="n">
        <v>1</v>
      </c>
      <c r="E235" s="31" t="n">
        <f aca="false">'Mediciones BIM'!E20</f>
        <v>43.78</v>
      </c>
      <c r="H235" s="25" t="n">
        <f aca="false">IF(COUNT(D235:G235)=0,0,D235*IF(E235="",1,E235)*IF(F235="",1,F235)*IF(G235="",1,G235))</f>
        <v>43.78</v>
      </c>
      <c r="M235" s="21"/>
      <c r="N235" s="21"/>
      <c r="O235" s="21"/>
    </row>
    <row r="236" customFormat="false" ht="15" hidden="false" customHeight="true" outlineLevel="0" collapsed="false">
      <c r="C236" s="23"/>
      <c r="D236" s="24"/>
      <c r="E236" s="24"/>
      <c r="H236" s="25" t="n">
        <f aca="false">IF(COUNT(D236:G236)=0,0,D236*IF(E236="",1,E236)*IF(F236="",1,F236)*IF(G236="",1,G236))</f>
        <v>0</v>
      </c>
      <c r="M236" s="21"/>
      <c r="N236" s="21"/>
      <c r="O236" s="21"/>
    </row>
    <row r="237" customFormat="false" ht="18.75" hidden="false" customHeight="true" outlineLevel="0" collapsed="false">
      <c r="H237" s="26"/>
      <c r="I237" s="27" t="n">
        <f aca="false">ROUND(SUM(H235:H236),2)</f>
        <v>43.78</v>
      </c>
      <c r="J237" s="28" t="n">
        <v>29</v>
      </c>
      <c r="K237" s="27" t="n">
        <f aca="false">ROUND(I237*J237,2)</f>
        <v>1269.62</v>
      </c>
      <c r="L237" s="29" t="s">
        <v>138</v>
      </c>
      <c r="M237" s="21" t="s">
        <v>110</v>
      </c>
      <c r="N237" s="21" t="s">
        <v>21</v>
      </c>
      <c r="O237" s="21"/>
    </row>
    <row r="238" customFormat="false" ht="15" hidden="false" customHeight="true" outlineLevel="0" collapsed="false">
      <c r="A238" s="3" t="s">
        <v>297</v>
      </c>
      <c r="B238" s="3" t="s">
        <v>105</v>
      </c>
      <c r="C238" s="3" t="s">
        <v>298</v>
      </c>
      <c r="M238" s="21"/>
      <c r="N238" s="21"/>
      <c r="O238" s="21"/>
    </row>
    <row r="239" customFormat="false" ht="12" hidden="false" customHeight="true" outlineLevel="0" collapsed="false">
      <c r="C239" s="22" t="s">
        <v>299</v>
      </c>
      <c r="M239" s="21"/>
      <c r="N239" s="21"/>
      <c r="O239" s="21"/>
    </row>
    <row r="240" customFormat="false" ht="15" hidden="false" customHeight="true" outlineLevel="0" collapsed="false">
      <c r="C240" s="23" t="s">
        <v>300</v>
      </c>
      <c r="D240" s="24" t="n">
        <v>25</v>
      </c>
      <c r="H240" s="25" t="n">
        <f aca="false">IF(COUNT(D240:G240)=0,0,D240*IF(E240="",1,E240)*IF(F240="",1,F240)*IF(G240="",1,G240))</f>
        <v>25</v>
      </c>
      <c r="M240" s="21"/>
      <c r="N240" s="21"/>
      <c r="O240" s="21"/>
    </row>
    <row r="241" customFormat="false" ht="15" hidden="false" customHeight="true" outlineLevel="0" collapsed="false">
      <c r="H241" s="26"/>
      <c r="I241" s="27" t="n">
        <f aca="false">ROUND(SUM(H240:H240),2)</f>
        <v>25</v>
      </c>
      <c r="J241" s="28" t="n">
        <v>27.01</v>
      </c>
      <c r="K241" s="27" t="n">
        <f aca="false">ROUND(I241*J241,2)</f>
        <v>675.25</v>
      </c>
      <c r="L241" s="29" t="s">
        <v>109</v>
      </c>
      <c r="M241" s="21" t="s">
        <v>110</v>
      </c>
      <c r="N241" s="21" t="s">
        <v>21</v>
      </c>
      <c r="O241" s="21"/>
    </row>
    <row r="242" customFormat="false" ht="15" hidden="false" customHeight="true" outlineLevel="0" collapsed="false">
      <c r="A242" s="3" t="s">
        <v>301</v>
      </c>
      <c r="B242" s="3" t="s">
        <v>105</v>
      </c>
      <c r="C242" s="3" t="s">
        <v>302</v>
      </c>
      <c r="M242" s="21"/>
      <c r="N242" s="21"/>
      <c r="O242" s="21"/>
    </row>
    <row r="243" customFormat="false" ht="12" hidden="false" customHeight="true" outlineLevel="0" collapsed="false">
      <c r="C243" s="22" t="s">
        <v>303</v>
      </c>
      <c r="M243" s="21"/>
      <c r="N243" s="21"/>
      <c r="O243" s="21"/>
    </row>
    <row r="244" customFormat="false" ht="15" hidden="false" customHeight="true" outlineLevel="0" collapsed="false">
      <c r="C244" s="23" t="s">
        <v>304</v>
      </c>
      <c r="D244" s="24" t="n">
        <v>10</v>
      </c>
      <c r="H244" s="25" t="n">
        <f aca="false">IF(COUNT(D244:G244)=0,0,D244*IF(E244="",1,E244)*IF(F244="",1,F244)*IF(G244="",1,G244))</f>
        <v>10</v>
      </c>
      <c r="M244" s="21"/>
      <c r="N244" s="21"/>
      <c r="O244" s="21"/>
    </row>
    <row r="245" customFormat="false" ht="15" hidden="false" customHeight="true" outlineLevel="0" collapsed="false">
      <c r="H245" s="26"/>
      <c r="I245" s="27" t="n">
        <f aca="false">ROUND(SUM(H244:H244),2)</f>
        <v>10</v>
      </c>
      <c r="J245" s="28" t="n">
        <v>21.55</v>
      </c>
      <c r="K245" s="27" t="n">
        <f aca="false">ROUND(I245*J245,2)</f>
        <v>215.5</v>
      </c>
      <c r="L245" s="29" t="s">
        <v>109</v>
      </c>
      <c r="M245" s="21" t="s">
        <v>110</v>
      </c>
      <c r="N245" s="21" t="s">
        <v>21</v>
      </c>
      <c r="O245" s="21"/>
    </row>
    <row r="246" customFormat="false" ht="15" hidden="false" customHeight="true" outlineLevel="0" collapsed="false">
      <c r="A246" s="3" t="s">
        <v>305</v>
      </c>
      <c r="B246" s="3" t="s">
        <v>105</v>
      </c>
      <c r="C246" s="3" t="s">
        <v>306</v>
      </c>
      <c r="M246" s="21"/>
      <c r="N246" s="21"/>
      <c r="O246" s="21"/>
    </row>
    <row r="247" customFormat="false" ht="12" hidden="false" customHeight="true" outlineLevel="0" collapsed="false">
      <c r="C247" s="22" t="s">
        <v>307</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3936.24</v>
      </c>
      <c r="K249" s="27" t="n">
        <f aca="false">ROUND(I249*J249,2)</f>
        <v>3936.24</v>
      </c>
      <c r="L249" s="29" t="s">
        <v>109</v>
      </c>
      <c r="M249" s="21" t="s">
        <v>110</v>
      </c>
      <c r="N249" s="21" t="s">
        <v>21</v>
      </c>
      <c r="O249" s="21"/>
    </row>
    <row r="250" customFormat="false" ht="15" hidden="false" customHeight="true" outlineLevel="0" collapsed="false">
      <c r="A250" s="3" t="s">
        <v>308</v>
      </c>
      <c r="B250" s="3" t="s">
        <v>105</v>
      </c>
      <c r="C250" s="3" t="s">
        <v>309</v>
      </c>
      <c r="M250" s="21"/>
      <c r="N250" s="21"/>
      <c r="O250" s="21"/>
    </row>
    <row r="251" customFormat="false" ht="12" hidden="false" customHeight="true" outlineLevel="0" collapsed="false">
      <c r="C251" s="22" t="s">
        <v>310</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3690.22</v>
      </c>
      <c r="K253" s="27" t="n">
        <f aca="false">ROUND(I253*J253,2)</f>
        <v>3690.22</v>
      </c>
      <c r="L253" s="29" t="s">
        <v>109</v>
      </c>
      <c r="M253" s="21" t="s">
        <v>110</v>
      </c>
      <c r="N253" s="21" t="s">
        <v>21</v>
      </c>
      <c r="O253" s="21"/>
    </row>
    <row r="254" customFormat="false" ht="15" hidden="false" customHeight="true" outlineLevel="0" collapsed="false">
      <c r="A254" s="3" t="s">
        <v>311</v>
      </c>
      <c r="B254" s="3" t="s">
        <v>105</v>
      </c>
      <c r="C254" s="3" t="s">
        <v>312</v>
      </c>
      <c r="M254" s="21"/>
      <c r="N254" s="21"/>
      <c r="O254" s="21"/>
    </row>
    <row r="255" customFormat="false" ht="24" hidden="false" customHeight="true" outlineLevel="0" collapsed="false">
      <c r="C255" s="22" t="s">
        <v>313</v>
      </c>
      <c r="M255" s="21"/>
      <c r="N255" s="21"/>
      <c r="O255" s="21"/>
    </row>
    <row r="256" customFormat="false" ht="15" hidden="false" customHeight="true" outlineLevel="0" collapsed="false">
      <c r="C256" s="23" t="s">
        <v>108</v>
      </c>
      <c r="D256" s="24" t="n">
        <v>1</v>
      </c>
      <c r="H256" s="25" t="n">
        <f aca="false">IF(COUNT(D256:G256)=0,0,D256*IF(E256="",1,E256)*IF(F256="",1,F256)*IF(G256="",1,G256))</f>
        <v>1</v>
      </c>
      <c r="M256" s="21"/>
      <c r="N256" s="21"/>
      <c r="O256" s="21"/>
    </row>
    <row r="257" customFormat="false" ht="15" hidden="false" customHeight="true" outlineLevel="0" collapsed="false">
      <c r="H257" s="26"/>
      <c r="I257" s="27" t="n">
        <f aca="false">ROUND(SUM(H256:H256),2)</f>
        <v>1</v>
      </c>
      <c r="J257" s="28" t="n">
        <v>4920.29</v>
      </c>
      <c r="K257" s="27" t="n">
        <f aca="false">ROUND(I257*J257,2)</f>
        <v>4920.29</v>
      </c>
      <c r="L257" s="29" t="s">
        <v>109</v>
      </c>
      <c r="M257" s="21" t="s">
        <v>110</v>
      </c>
      <c r="N257" s="21" t="s">
        <v>21</v>
      </c>
      <c r="O257" s="21"/>
    </row>
    <row r="258" customFormat="false" ht="15" hidden="false" customHeight="true" outlineLevel="0" collapsed="false">
      <c r="C258" s="30" t="s">
        <v>314</v>
      </c>
      <c r="K258" s="11" t="n">
        <f aca="false">SUMIFS($K$5:$K$257,$M$5:$M$257,"P",$N$5:$N$257,"06")</f>
        <v>55551</v>
      </c>
      <c r="M258" s="21"/>
      <c r="N258" s="21"/>
      <c r="O258" s="21"/>
    </row>
    <row r="259" customFormat="false" ht="15" hidden="false" customHeight="true" outlineLevel="0" collapsed="false">
      <c r="M259" s="21"/>
      <c r="N259" s="21"/>
      <c r="O259" s="21"/>
    </row>
    <row r="260" customFormat="false" ht="15" hidden="false" customHeight="true" outlineLevel="0" collapsed="false">
      <c r="A260" s="19" t="s">
        <v>23</v>
      </c>
      <c r="B260" s="20"/>
      <c r="C260" s="19" t="s">
        <v>24</v>
      </c>
      <c r="D260" s="20"/>
      <c r="E260" s="20"/>
      <c r="F260" s="20"/>
      <c r="G260" s="20"/>
      <c r="H260" s="20"/>
      <c r="I260" s="20"/>
      <c r="J260" s="20"/>
      <c r="K260" s="20"/>
      <c r="L260" s="20"/>
      <c r="M260" s="21" t="s">
        <v>103</v>
      </c>
      <c r="N260" s="21" t="s">
        <v>23</v>
      </c>
      <c r="O260" s="21"/>
    </row>
    <row r="261" customFormat="false" ht="15" hidden="false" customHeight="true" outlineLevel="0" collapsed="false">
      <c r="A261" s="3" t="s">
        <v>315</v>
      </c>
      <c r="B261" s="3" t="s">
        <v>153</v>
      </c>
      <c r="C261" s="3" t="s">
        <v>316</v>
      </c>
      <c r="M261" s="21"/>
      <c r="N261" s="21"/>
      <c r="O261" s="21"/>
    </row>
    <row r="262" customFormat="false" ht="24" hidden="false" customHeight="true" outlineLevel="0" collapsed="false">
      <c r="C262" s="22" t="s">
        <v>317</v>
      </c>
      <c r="M262" s="21"/>
      <c r="N262" s="21"/>
      <c r="O262" s="21"/>
    </row>
    <row r="263" customFormat="false" ht="15" hidden="false" customHeight="true" outlineLevel="0" collapsed="false">
      <c r="C263" s="23" t="s">
        <v>214</v>
      </c>
      <c r="D263" s="24" t="n">
        <v>1</v>
      </c>
      <c r="E263" s="31" t="n">
        <f aca="false">'Mediciones BIM'!E21</f>
        <v>82.13</v>
      </c>
      <c r="H263" s="25" t="n">
        <f aca="false">IF(COUNT(D263:G263)=0,0,D263*IF(E263="",1,E263)*IF(F263="",1,F263)*IF(G263="",1,G263))</f>
        <v>82.13</v>
      </c>
      <c r="M263" s="21"/>
      <c r="N263" s="21"/>
      <c r="O263" s="21"/>
    </row>
    <row r="264" customFormat="false" ht="18.75" hidden="false" customHeight="true" outlineLevel="0" collapsed="false">
      <c r="H264" s="26"/>
      <c r="I264" s="27" t="n">
        <f aca="false">ROUND(SUM(H263:H263),2)</f>
        <v>82.13</v>
      </c>
      <c r="J264" s="28" t="n">
        <v>17.5</v>
      </c>
      <c r="K264" s="27" t="n">
        <f aca="false">ROUND(I264*J264,2)</f>
        <v>1437.28</v>
      </c>
      <c r="L264" s="29" t="s">
        <v>138</v>
      </c>
      <c r="M264" s="21" t="s">
        <v>110</v>
      </c>
      <c r="N264" s="21" t="s">
        <v>23</v>
      </c>
      <c r="O264" s="21"/>
    </row>
    <row r="265" customFormat="false" ht="15" hidden="false" customHeight="true" outlineLevel="0" collapsed="false">
      <c r="A265" s="3" t="s">
        <v>318</v>
      </c>
      <c r="B265" s="3" t="s">
        <v>153</v>
      </c>
      <c r="C265" s="3" t="s">
        <v>319</v>
      </c>
      <c r="M265" s="21"/>
      <c r="N265" s="21"/>
      <c r="O265" s="21"/>
    </row>
    <row r="266" customFormat="false" ht="12" hidden="false" customHeight="true" outlineLevel="0" collapsed="false">
      <c r="C266" s="22" t="s">
        <v>320</v>
      </c>
      <c r="M266" s="21"/>
      <c r="N266" s="21"/>
      <c r="O266" s="21"/>
    </row>
    <row r="267" customFormat="false" ht="15" hidden="false" customHeight="true" outlineLevel="0" collapsed="false">
      <c r="C267" s="23" t="s">
        <v>321</v>
      </c>
      <c r="D267" s="24" t="n">
        <v>1</v>
      </c>
      <c r="E267" s="24" t="n">
        <f aca="false">'Mediciones BIM'!E22</f>
        <v>88.44</v>
      </c>
      <c r="H267" s="25" t="n">
        <f aca="false">IF(COUNT(D267:G267)=0,0,D267*IF(E267="",1,E267)*IF(F267="",1,F267)*IF(G267="",1,G267))</f>
        <v>88.44</v>
      </c>
      <c r="M267" s="21"/>
      <c r="N267" s="21"/>
      <c r="O267" s="21"/>
    </row>
    <row r="268" customFormat="false" ht="18.75" hidden="false" customHeight="true" outlineLevel="0" collapsed="false">
      <c r="H268" s="26"/>
      <c r="I268" s="27" t="n">
        <f aca="false">ROUND(SUM(H267:H267),2)</f>
        <v>88.44</v>
      </c>
      <c r="J268" s="28" t="n">
        <v>19.5</v>
      </c>
      <c r="K268" s="27" t="n">
        <f aca="false">ROUND(I268*J268,2)</f>
        <v>1724.58</v>
      </c>
      <c r="L268" s="29" t="s">
        <v>138</v>
      </c>
      <c r="M268" s="21" t="s">
        <v>110</v>
      </c>
      <c r="N268" s="21" t="s">
        <v>23</v>
      </c>
      <c r="O268" s="21"/>
    </row>
    <row r="269" customFormat="false" ht="15" hidden="false" customHeight="true" outlineLevel="0" collapsed="false">
      <c r="A269" s="3" t="s">
        <v>322</v>
      </c>
      <c r="B269" s="3" t="s">
        <v>153</v>
      </c>
      <c r="C269" s="3" t="s">
        <v>323</v>
      </c>
      <c r="M269" s="21"/>
      <c r="N269" s="21"/>
      <c r="O269" s="21"/>
    </row>
    <row r="270" customFormat="false" ht="48" hidden="false" customHeight="true" outlineLevel="0" collapsed="false">
      <c r="C270" s="22" t="s">
        <v>324</v>
      </c>
      <c r="M270" s="21"/>
      <c r="N270" s="21"/>
      <c r="O270" s="21"/>
    </row>
    <row r="271" customFormat="false" ht="15" hidden="false" customHeight="true" outlineLevel="0" collapsed="false">
      <c r="C271" s="23" t="s">
        <v>321</v>
      </c>
      <c r="D271" s="24" t="n">
        <v>1</v>
      </c>
      <c r="E271" s="24" t="n">
        <f aca="false">'Mediciones BIM'!E22</f>
        <v>88.44</v>
      </c>
      <c r="H271" s="25" t="n">
        <f aca="false">IF(COUNT(D271:G271)=0,0,D271*IF(E271="",1,E271)*IF(F271="",1,F271)*IF(G271="",1,G271))</f>
        <v>88.44</v>
      </c>
      <c r="M271" s="21"/>
      <c r="N271" s="21"/>
      <c r="O271" s="21"/>
    </row>
    <row r="272" customFormat="false" ht="15" hidden="false" customHeight="true" outlineLevel="0" collapsed="false">
      <c r="H272" s="26"/>
      <c r="I272" s="27" t="n">
        <f aca="false">ROUND(SUM(H271:H271),2)</f>
        <v>88.44</v>
      </c>
      <c r="J272" s="28" t="n">
        <v>3.9</v>
      </c>
      <c r="K272" s="27" t="n">
        <f aca="false">ROUND(I272*J272,2)</f>
        <v>344.92</v>
      </c>
      <c r="L272" s="29" t="s">
        <v>109</v>
      </c>
      <c r="M272" s="21" t="s">
        <v>110</v>
      </c>
      <c r="N272" s="21" t="s">
        <v>23</v>
      </c>
      <c r="O272" s="21"/>
    </row>
    <row r="273" customFormat="false" ht="15" hidden="false" customHeight="true" outlineLevel="0" collapsed="false">
      <c r="A273" s="3" t="s">
        <v>325</v>
      </c>
      <c r="B273" s="3" t="s">
        <v>153</v>
      </c>
      <c r="C273" s="3" t="s">
        <v>326</v>
      </c>
      <c r="M273" s="21"/>
      <c r="N273" s="21"/>
      <c r="O273" s="21"/>
    </row>
    <row r="274" customFormat="false" ht="24" hidden="false" customHeight="true" outlineLevel="0" collapsed="false">
      <c r="C274" s="22" t="s">
        <v>327</v>
      </c>
      <c r="M274" s="21"/>
      <c r="N274" s="21"/>
      <c r="O274" s="21"/>
    </row>
    <row r="275" customFormat="false" ht="15" hidden="false" customHeight="true" outlineLevel="0" collapsed="false">
      <c r="C275" s="23" t="s">
        <v>321</v>
      </c>
      <c r="D275" s="24" t="n">
        <v>1</v>
      </c>
      <c r="E275" s="24" t="n">
        <f aca="false">'Mediciones BIM'!E22</f>
        <v>88.44</v>
      </c>
      <c r="H275" s="25" t="n">
        <f aca="false">IF(COUNT(D275:G275)=0,0,D275*IF(E275="",1,E275)*IF(F275="",1,F275)*IF(G275="",1,G275))</f>
        <v>88.44</v>
      </c>
      <c r="M275" s="21"/>
      <c r="N275" s="21"/>
      <c r="O275" s="21"/>
    </row>
    <row r="276" customFormat="false" ht="18.75" hidden="false" customHeight="true" outlineLevel="0" collapsed="false">
      <c r="H276" s="26"/>
      <c r="I276" s="27" t="n">
        <f aca="false">ROUND(SUM(H275:H275),2)</f>
        <v>88.44</v>
      </c>
      <c r="J276" s="28" t="n">
        <v>9.5</v>
      </c>
      <c r="K276" s="27" t="n">
        <f aca="false">ROUND(I276*J276,2)</f>
        <v>840.18</v>
      </c>
      <c r="L276" s="29" t="s">
        <v>138</v>
      </c>
      <c r="M276" s="21" t="s">
        <v>110</v>
      </c>
      <c r="N276" s="21" t="s">
        <v>23</v>
      </c>
      <c r="O276" s="21"/>
    </row>
    <row r="277" customFormat="false" ht="15" hidden="false" customHeight="true" outlineLevel="0" collapsed="false">
      <c r="A277" s="3" t="s">
        <v>328</v>
      </c>
      <c r="B277" s="3" t="s">
        <v>329</v>
      </c>
      <c r="C277" s="3" t="s">
        <v>330</v>
      </c>
      <c r="M277" s="21"/>
      <c r="N277" s="21"/>
      <c r="O277" s="21"/>
    </row>
    <row r="278" customFormat="false" ht="24" hidden="false" customHeight="true" outlineLevel="0" collapsed="false">
      <c r="C278" s="22" t="s">
        <v>331</v>
      </c>
      <c r="M278" s="21"/>
      <c r="N278" s="21"/>
      <c r="O278" s="21"/>
    </row>
    <row r="279" customFormat="false" ht="15" hidden="false" customHeight="true" outlineLevel="0" collapsed="false">
      <c r="C279" s="23" t="s">
        <v>214</v>
      </c>
      <c r="D279" s="24" t="n">
        <v>1</v>
      </c>
      <c r="E279" s="31" t="n">
        <f aca="false">'Mediciones BIM'!E22</f>
        <v>88.44</v>
      </c>
      <c r="H279" s="25" t="n">
        <f aca="false">IF(COUNT(D279:G279)=0,0,D279*IF(E279="",1,E279)*IF(F279="",1,F279)*IF(G279="",1,G279))</f>
        <v>88.44</v>
      </c>
      <c r="M279" s="21"/>
      <c r="N279" s="21"/>
      <c r="O279" s="21"/>
    </row>
    <row r="280" customFormat="false" ht="15" hidden="false" customHeight="true" outlineLevel="0" collapsed="false">
      <c r="H280" s="26"/>
      <c r="I280" s="27" t="n">
        <f aca="false">ROUND(SUM(H279:H279),2)</f>
        <v>88.44</v>
      </c>
      <c r="J280" s="28" t="n">
        <v>36.12</v>
      </c>
      <c r="K280" s="27" t="n">
        <f aca="false">ROUND(I280*J280,2)</f>
        <v>3194.45</v>
      </c>
      <c r="L280" s="29" t="s">
        <v>109</v>
      </c>
      <c r="M280" s="21" t="s">
        <v>110</v>
      </c>
      <c r="N280" s="21" t="s">
        <v>23</v>
      </c>
      <c r="O280" s="21"/>
    </row>
    <row r="281" customFormat="false" ht="15" hidden="false" customHeight="true" outlineLevel="0" collapsed="false">
      <c r="A281" s="3" t="s">
        <v>332</v>
      </c>
      <c r="B281" s="3" t="s">
        <v>158</v>
      </c>
      <c r="C281" s="3" t="s">
        <v>333</v>
      </c>
      <c r="M281" s="21"/>
      <c r="N281" s="21"/>
      <c r="O281" s="21"/>
    </row>
    <row r="282" customFormat="false" ht="72" hidden="false" customHeight="true" outlineLevel="0" collapsed="false">
      <c r="C282" s="22" t="s">
        <v>334</v>
      </c>
      <c r="M282" s="21"/>
      <c r="N282" s="21"/>
      <c r="O282" s="21"/>
    </row>
    <row r="283" customFormat="false" ht="15" hidden="false" customHeight="true" outlineLevel="0" collapsed="false">
      <c r="C283" s="23" t="s">
        <v>335</v>
      </c>
      <c r="D283" s="24" t="n">
        <v>1</v>
      </c>
      <c r="E283" s="24" t="n">
        <v>29.67</v>
      </c>
      <c r="H283" s="25" t="n">
        <f aca="false">IF(COUNT(D283:G283)=0,0,D283*IF(E283="",1,E283)*IF(F283="",1,F283)*IF(G283="",1,G283))</f>
        <v>29.67</v>
      </c>
      <c r="M283" s="21"/>
      <c r="N283" s="21"/>
      <c r="O283" s="21"/>
    </row>
    <row r="284" customFormat="false" ht="15" hidden="false" customHeight="true" outlineLevel="0" collapsed="false">
      <c r="H284" s="26"/>
      <c r="I284" s="27" t="n">
        <f aca="false">ROUND(SUM(H283:H283),2)</f>
        <v>29.67</v>
      </c>
      <c r="J284" s="28" t="n">
        <v>48.79</v>
      </c>
      <c r="K284" s="27" t="n">
        <f aca="false">ROUND(I284*J284,2)</f>
        <v>1447.6</v>
      </c>
      <c r="L284" s="29" t="s">
        <v>109</v>
      </c>
      <c r="M284" s="21" t="s">
        <v>110</v>
      </c>
      <c r="N284" s="21" t="s">
        <v>23</v>
      </c>
      <c r="O284" s="21"/>
    </row>
    <row r="285" customFormat="false" ht="15" hidden="false" customHeight="true" outlineLevel="0" collapsed="false">
      <c r="A285" s="3" t="s">
        <v>336</v>
      </c>
      <c r="B285" s="3" t="s">
        <v>158</v>
      </c>
      <c r="C285" s="3" t="s">
        <v>337</v>
      </c>
      <c r="M285" s="21"/>
      <c r="N285" s="21"/>
      <c r="O285" s="21"/>
    </row>
    <row r="286" customFormat="false" ht="24" hidden="false" customHeight="true" outlineLevel="0" collapsed="false">
      <c r="C286" s="22" t="s">
        <v>338</v>
      </c>
      <c r="M286" s="21"/>
      <c r="N286" s="21"/>
      <c r="O286" s="21"/>
    </row>
    <row r="287" customFormat="false" ht="15" hidden="false" customHeight="true" outlineLevel="0" collapsed="false">
      <c r="C287" s="23" t="s">
        <v>339</v>
      </c>
      <c r="D287" s="24" t="n">
        <v>1</v>
      </c>
      <c r="E287" s="24" t="n">
        <v>9.5</v>
      </c>
      <c r="H287" s="25" t="n">
        <f aca="false">IF(COUNT(D287:G287)=0,0,D287*IF(E287="",1,E287)*IF(F287="",1,F287)*IF(G287="",1,G287))</f>
        <v>9.5</v>
      </c>
      <c r="M287" s="21"/>
      <c r="N287" s="21"/>
      <c r="O287" s="21"/>
    </row>
    <row r="288" customFormat="false" ht="15" hidden="false" customHeight="true" outlineLevel="0" collapsed="false">
      <c r="C288" s="23" t="s">
        <v>340</v>
      </c>
      <c r="D288" s="24" t="n">
        <v>1</v>
      </c>
      <c r="E288" s="24" t="n">
        <v>9.5</v>
      </c>
      <c r="H288" s="25" t="n">
        <f aca="false">IF(COUNT(D288:G288)=0,0,D288*IF(E288="",1,E288)*IF(F288="",1,F288)*IF(G288="",1,G288))</f>
        <v>9.5</v>
      </c>
      <c r="M288" s="21"/>
      <c r="N288" s="21"/>
      <c r="O288" s="21"/>
    </row>
    <row r="289" customFormat="false" ht="15" hidden="false" customHeight="true" outlineLevel="0" collapsed="false">
      <c r="C289" s="23" t="s">
        <v>341</v>
      </c>
      <c r="D289" s="24" t="n">
        <v>1</v>
      </c>
      <c r="E289" s="24" t="n">
        <v>8</v>
      </c>
      <c r="H289" s="25" t="n">
        <f aca="false">IF(COUNT(D289:G289)=0,0,D289*IF(E289="",1,E289)*IF(F289="",1,F289)*IF(G289="",1,G289))</f>
        <v>8</v>
      </c>
      <c r="M289" s="21"/>
      <c r="N289" s="21"/>
      <c r="O289" s="21"/>
    </row>
    <row r="290" customFormat="false" ht="18.75" hidden="false" customHeight="true" outlineLevel="0" collapsed="false">
      <c r="H290" s="26"/>
      <c r="I290" s="27" t="n">
        <f aca="false">ROUND(SUM(H287:H289),2)</f>
        <v>27</v>
      </c>
      <c r="J290" s="28" t="n">
        <v>44</v>
      </c>
      <c r="K290" s="27" t="n">
        <f aca="false">ROUND(I290*J290,2)</f>
        <v>1188</v>
      </c>
      <c r="L290" s="29" t="s">
        <v>138</v>
      </c>
      <c r="M290" s="21" t="s">
        <v>110</v>
      </c>
      <c r="N290" s="21" t="s">
        <v>23</v>
      </c>
      <c r="O290" s="21"/>
    </row>
    <row r="291" customFormat="false" ht="15" hidden="false" customHeight="true" outlineLevel="0" collapsed="false">
      <c r="A291" s="3" t="s">
        <v>342</v>
      </c>
      <c r="B291" s="3" t="s">
        <v>158</v>
      </c>
      <c r="C291" s="3" t="s">
        <v>343</v>
      </c>
      <c r="M291" s="21"/>
      <c r="N291" s="21"/>
      <c r="O291" s="21"/>
    </row>
    <row r="292" customFormat="false" ht="24" hidden="false" customHeight="true" outlineLevel="0" collapsed="false">
      <c r="C292" s="22" t="s">
        <v>344</v>
      </c>
      <c r="M292" s="21"/>
      <c r="N292" s="21"/>
      <c r="O292" s="21"/>
    </row>
    <row r="293" customFormat="false" ht="15" hidden="false" customHeight="true" outlineLevel="0" collapsed="false">
      <c r="C293" s="23" t="s">
        <v>345</v>
      </c>
      <c r="D293" s="24" t="n">
        <v>1</v>
      </c>
      <c r="E293" s="24" t="n">
        <v>45.59</v>
      </c>
      <c r="H293" s="25" t="n">
        <f aca="false">IF(COUNT(D293:G293)=0,0,D293*IF(E293="",1,E293)*IF(F293="",1,F293)*IF(G293="",1,G293))</f>
        <v>45.59</v>
      </c>
      <c r="M293" s="21"/>
      <c r="N293" s="21"/>
      <c r="O293" s="21"/>
    </row>
    <row r="294" customFormat="false" ht="18.75" hidden="false" customHeight="true" outlineLevel="0" collapsed="false">
      <c r="H294" s="26"/>
      <c r="I294" s="27" t="n">
        <f aca="false">ROUND(SUM(H293:H293),2)</f>
        <v>45.59</v>
      </c>
      <c r="J294" s="28" t="n">
        <v>40</v>
      </c>
      <c r="K294" s="27" t="n">
        <f aca="false">ROUND(I294*J294,2)</f>
        <v>1823.6</v>
      </c>
      <c r="L294" s="29" t="s">
        <v>138</v>
      </c>
      <c r="M294" s="21" t="s">
        <v>110</v>
      </c>
      <c r="N294" s="21" t="s">
        <v>23</v>
      </c>
      <c r="O294" s="21"/>
    </row>
    <row r="295" customFormat="false" ht="15" hidden="false" customHeight="true" outlineLevel="0" collapsed="false">
      <c r="A295" s="3" t="s">
        <v>346</v>
      </c>
      <c r="B295" s="3" t="s">
        <v>153</v>
      </c>
      <c r="C295" s="3" t="s">
        <v>347</v>
      </c>
      <c r="M295" s="21"/>
      <c r="N295" s="21"/>
      <c r="O295" s="21"/>
    </row>
    <row r="296" customFormat="false" ht="36" hidden="false" customHeight="true" outlineLevel="0" collapsed="false">
      <c r="C296" s="22" t="s">
        <v>348</v>
      </c>
      <c r="M296" s="21"/>
      <c r="N296" s="21"/>
      <c r="O296" s="21"/>
    </row>
    <row r="297" customFormat="false" ht="15" hidden="false" customHeight="true" outlineLevel="0" collapsed="false">
      <c r="C297" s="23" t="s">
        <v>214</v>
      </c>
      <c r="D297" s="24" t="n">
        <v>1</v>
      </c>
      <c r="E297" s="31" t="n">
        <f aca="false">'Mediciones BIM'!E23</f>
        <v>29.44</v>
      </c>
      <c r="H297" s="25" t="n">
        <f aca="false">IF(COUNT(D297:G297)=0,0,D297*IF(E297="",1,E297)*IF(F297="",1,F297)*IF(G297="",1,G297))</f>
        <v>29.44</v>
      </c>
      <c r="M297" s="21"/>
      <c r="N297" s="21"/>
      <c r="O297" s="21"/>
    </row>
    <row r="298" customFormat="false" ht="18.75" hidden="false" customHeight="true" outlineLevel="0" collapsed="false">
      <c r="H298" s="26"/>
      <c r="I298" s="27" t="n">
        <f aca="false">ROUND(SUM(H297:H297),2)</f>
        <v>29.44</v>
      </c>
      <c r="J298" s="28" t="n">
        <v>17.5</v>
      </c>
      <c r="K298" s="27" t="n">
        <f aca="false">ROUND(I298*J298,2)</f>
        <v>515.2</v>
      </c>
      <c r="L298" s="29" t="s">
        <v>349</v>
      </c>
      <c r="M298" s="21" t="s">
        <v>110</v>
      </c>
      <c r="N298" s="21" t="s">
        <v>23</v>
      </c>
      <c r="O298" s="21"/>
    </row>
    <row r="299" customFormat="false" ht="15" hidden="false" customHeight="true" outlineLevel="0" collapsed="false">
      <c r="A299" s="3" t="s">
        <v>350</v>
      </c>
      <c r="B299" s="3" t="s">
        <v>105</v>
      </c>
      <c r="C299" s="3" t="s">
        <v>351</v>
      </c>
      <c r="M299" s="21"/>
      <c r="N299" s="21"/>
      <c r="O299" s="21"/>
    </row>
    <row r="300" customFormat="false" ht="24" hidden="false" customHeight="true" outlineLevel="0" collapsed="false">
      <c r="C300" s="22" t="s">
        <v>352</v>
      </c>
      <c r="M300" s="21"/>
      <c r="N300" s="21"/>
      <c r="O300" s="21"/>
    </row>
    <row r="301" customFormat="false" ht="15" hidden="false" customHeight="true" outlineLevel="0" collapsed="false">
      <c r="C301" s="23" t="s">
        <v>353</v>
      </c>
      <c r="D301" s="24" t="n">
        <v>4</v>
      </c>
      <c r="H301" s="25" t="n">
        <f aca="false">IF(COUNT(D301:G301)=0,0,D301*IF(E301="",1,E301)*IF(F301="",1,F301)*IF(G301="",1,G301))</f>
        <v>4</v>
      </c>
      <c r="M301" s="21"/>
      <c r="N301" s="21"/>
      <c r="O301" s="21"/>
    </row>
    <row r="302" customFormat="false" ht="18.75" hidden="false" customHeight="true" outlineLevel="0" collapsed="false">
      <c r="H302" s="26"/>
      <c r="I302" s="27" t="n">
        <f aca="false">ROUND(SUM(H301:H301),2)</f>
        <v>4</v>
      </c>
      <c r="J302" s="28" t="n">
        <v>135</v>
      </c>
      <c r="K302" s="27" t="n">
        <f aca="false">ROUND(I302*J302,2)</f>
        <v>540</v>
      </c>
      <c r="L302" s="29" t="s">
        <v>138</v>
      </c>
      <c r="M302" s="21" t="s">
        <v>110</v>
      </c>
      <c r="N302" s="21" t="s">
        <v>23</v>
      </c>
      <c r="O302" s="21"/>
    </row>
    <row r="303" customFormat="false" ht="15" hidden="false" customHeight="true" outlineLevel="0" collapsed="false">
      <c r="A303" s="3" t="s">
        <v>354</v>
      </c>
      <c r="B303" s="3" t="s">
        <v>105</v>
      </c>
      <c r="C303" s="3" t="s">
        <v>355</v>
      </c>
      <c r="M303" s="21"/>
      <c r="N303" s="21"/>
      <c r="O303" s="21"/>
    </row>
    <row r="304" customFormat="false" ht="24" hidden="false" customHeight="true" outlineLevel="0" collapsed="false">
      <c r="C304" s="22" t="s">
        <v>356</v>
      </c>
      <c r="M304" s="21"/>
      <c r="N304" s="21"/>
      <c r="O304" s="21"/>
    </row>
    <row r="305" customFormat="false" ht="15" hidden="false" customHeight="true" outlineLevel="0" collapsed="false">
      <c r="C305" s="23" t="s">
        <v>357</v>
      </c>
      <c r="D305" s="24" t="n">
        <v>0</v>
      </c>
      <c r="H305" s="25" t="n">
        <f aca="false">IF(COUNT(D305:G305)=0,0,D305*IF(E305="",1,E305)*IF(F305="",1,F305)*IF(G305="",1,G305))</f>
        <v>0</v>
      </c>
      <c r="M305" s="21"/>
      <c r="N305" s="21"/>
      <c r="O305" s="21"/>
    </row>
    <row r="306" customFormat="false" ht="18.75" hidden="false" customHeight="true" outlineLevel="0" collapsed="false">
      <c r="H306" s="26"/>
      <c r="I306" s="27" t="n">
        <f aca="false">ROUND(SUM(H305:H305),2)</f>
        <v>0</v>
      </c>
      <c r="J306" s="28" t="n">
        <v>185</v>
      </c>
      <c r="K306" s="27" t="n">
        <f aca="false">ROUND(I306*J306,2)</f>
        <v>0</v>
      </c>
      <c r="L306" s="29" t="s">
        <v>138</v>
      </c>
      <c r="M306" s="21" t="s">
        <v>110</v>
      </c>
      <c r="N306" s="21" t="s">
        <v>23</v>
      </c>
      <c r="O306" s="21"/>
    </row>
    <row r="307" customFormat="false" ht="15" hidden="false" customHeight="true" outlineLevel="0" collapsed="false">
      <c r="A307" s="3" t="s">
        <v>358</v>
      </c>
      <c r="B307" s="3" t="s">
        <v>153</v>
      </c>
      <c r="C307" s="3" t="s">
        <v>359</v>
      </c>
      <c r="M307" s="21"/>
      <c r="N307" s="21"/>
      <c r="O307" s="21"/>
    </row>
    <row r="308" customFormat="false" ht="24" hidden="false" customHeight="true" outlineLevel="0" collapsed="false">
      <c r="C308" s="22" t="s">
        <v>360</v>
      </c>
      <c r="M308" s="21"/>
      <c r="N308" s="21"/>
      <c r="O308" s="21"/>
    </row>
    <row r="309" customFormat="false" ht="15" hidden="false" customHeight="true" outlineLevel="0" collapsed="false">
      <c r="C309" s="23" t="s">
        <v>214</v>
      </c>
      <c r="D309" s="24" t="n">
        <v>1</v>
      </c>
      <c r="E309" s="32" t="n">
        <f aca="false">'Mediciones BIM'!E24</f>
        <v>70.14</v>
      </c>
      <c r="H309" s="25" t="n">
        <f aca="false">IF(COUNT(D309:G309)=0,0,D309*IF(E309="",1,E309)*IF(F309="",1,F309)*IF(G309="",1,G309))</f>
        <v>70.14</v>
      </c>
      <c r="M309" s="21"/>
      <c r="N309" s="21"/>
      <c r="O309" s="21"/>
    </row>
    <row r="310" customFormat="false" ht="18.75" hidden="false" customHeight="true" outlineLevel="0" collapsed="false">
      <c r="H310" s="26"/>
      <c r="I310" s="27" t="n">
        <f aca="false">ROUND(SUM(H309:H309),2)</f>
        <v>70.14</v>
      </c>
      <c r="J310" s="28" t="n">
        <v>13</v>
      </c>
      <c r="K310" s="27" t="n">
        <f aca="false">ROUND(I310*J310,2)</f>
        <v>911.82</v>
      </c>
      <c r="L310" s="29" t="s">
        <v>138</v>
      </c>
      <c r="M310" s="21" t="s">
        <v>110</v>
      </c>
      <c r="N310" s="21" t="s">
        <v>23</v>
      </c>
      <c r="O310" s="21"/>
    </row>
    <row r="311" customFormat="false" ht="15" hidden="false" customHeight="true" outlineLevel="0" collapsed="false">
      <c r="A311" s="3" t="s">
        <v>361</v>
      </c>
      <c r="B311" s="3" t="s">
        <v>153</v>
      </c>
      <c r="C311" s="3" t="s">
        <v>362</v>
      </c>
      <c r="M311" s="21"/>
      <c r="N311" s="21"/>
      <c r="O311" s="21"/>
    </row>
    <row r="312" customFormat="false" ht="24" hidden="false" customHeight="true" outlineLevel="0" collapsed="false">
      <c r="C312" s="22" t="s">
        <v>363</v>
      </c>
      <c r="M312" s="21"/>
      <c r="N312" s="21"/>
      <c r="O312" s="21"/>
    </row>
    <row r="313" customFormat="false" ht="15" hidden="false" customHeight="true" outlineLevel="0" collapsed="false">
      <c r="C313" s="23" t="s">
        <v>214</v>
      </c>
      <c r="D313" s="24" t="n">
        <v>1</v>
      </c>
      <c r="E313" s="32" t="n">
        <f aca="false">'Mediciones BIM'!E25</f>
        <v>59.06</v>
      </c>
      <c r="H313" s="25" t="n">
        <f aca="false">IF(COUNT(D313:G313)=0,0,D313*IF(E313="",1,E313)*IF(F313="",1,F313)*IF(G313="",1,G313))</f>
        <v>59.06</v>
      </c>
      <c r="M313" s="21"/>
      <c r="N313" s="21"/>
      <c r="O313" s="21"/>
    </row>
    <row r="314" customFormat="false" ht="18.75" hidden="false" customHeight="true" outlineLevel="0" collapsed="false">
      <c r="H314" s="26"/>
      <c r="I314" s="27" t="n">
        <f aca="false">ROUND(SUM(H313:H313),2)</f>
        <v>59.06</v>
      </c>
      <c r="J314" s="28" t="n">
        <v>3.8</v>
      </c>
      <c r="K314" s="27" t="n">
        <f aca="false">ROUND(I314*J314,2)</f>
        <v>224.43</v>
      </c>
      <c r="L314" s="29" t="s">
        <v>138</v>
      </c>
      <c r="M314" s="21" t="s">
        <v>110</v>
      </c>
      <c r="N314" s="21" t="s">
        <v>23</v>
      </c>
      <c r="O314" s="21"/>
    </row>
    <row r="315" customFormat="false" ht="15" hidden="false" customHeight="true" outlineLevel="0" collapsed="false">
      <c r="C315" s="30" t="s">
        <v>364</v>
      </c>
      <c r="K315" s="11" t="n">
        <f aca="false">SUMIFS($K$5:$K$314,$M$5:$M$314,"P",$N$5:$N$314,"07")</f>
        <v>14192.06</v>
      </c>
      <c r="M315" s="21"/>
      <c r="N315" s="21"/>
      <c r="O315" s="21"/>
    </row>
    <row r="316" customFormat="false" ht="15" hidden="false" customHeight="true" outlineLevel="0" collapsed="false">
      <c r="M316" s="21"/>
      <c r="N316" s="21"/>
      <c r="O316" s="21"/>
    </row>
    <row r="317" customFormat="false" ht="15" hidden="false" customHeight="true" outlineLevel="0" collapsed="false">
      <c r="A317" s="19" t="s">
        <v>25</v>
      </c>
      <c r="B317" s="20"/>
      <c r="C317" s="19" t="s">
        <v>26</v>
      </c>
      <c r="D317" s="20"/>
      <c r="E317" s="20"/>
      <c r="F317" s="20"/>
      <c r="G317" s="20"/>
      <c r="H317" s="20"/>
      <c r="I317" s="20"/>
      <c r="J317" s="20"/>
      <c r="K317" s="20"/>
      <c r="L317" s="20"/>
      <c r="M317" s="21" t="s">
        <v>103</v>
      </c>
      <c r="N317" s="21" t="s">
        <v>25</v>
      </c>
      <c r="O317" s="21"/>
    </row>
    <row r="318" customFormat="false" ht="15" hidden="false" customHeight="true" outlineLevel="0" collapsed="false">
      <c r="A318" s="3" t="s">
        <v>365</v>
      </c>
      <c r="B318" s="3" t="s">
        <v>153</v>
      </c>
      <c r="C318" s="3" t="s">
        <v>366</v>
      </c>
      <c r="M318" s="21"/>
      <c r="N318" s="21"/>
      <c r="O318" s="21"/>
    </row>
    <row r="319" customFormat="false" ht="24" hidden="false" customHeight="true" outlineLevel="0" collapsed="false">
      <c r="C319" s="22" t="s">
        <v>367</v>
      </c>
      <c r="M319" s="21"/>
      <c r="N319" s="21"/>
      <c r="O319" s="21"/>
    </row>
    <row r="320" customFormat="false" ht="15" hidden="false" customHeight="true" outlineLevel="0" collapsed="false">
      <c r="C320" s="23" t="s">
        <v>214</v>
      </c>
      <c r="D320" s="24" t="n">
        <v>1</v>
      </c>
      <c r="E320" s="31" t="n">
        <f aca="false">'Mediciones BIM'!E26</f>
        <v>59.65</v>
      </c>
      <c r="H320" s="25" t="n">
        <f aca="false">IF(COUNT(D320:G320)=0,0,D320*IF(E320="",1,E320)*IF(F320="",1,F320)*IF(G320="",1,G320))</f>
        <v>59.65</v>
      </c>
      <c r="M320" s="21"/>
      <c r="N320" s="21"/>
      <c r="O320" s="21"/>
    </row>
    <row r="321" customFormat="false" ht="18.75" hidden="false" customHeight="true" outlineLevel="0" collapsed="false">
      <c r="H321" s="26"/>
      <c r="I321" s="27" t="n">
        <f aca="false">ROUND(SUM(H320:H320),2)</f>
        <v>59.65</v>
      </c>
      <c r="J321" s="28" t="n">
        <v>16.5</v>
      </c>
      <c r="K321" s="27" t="n">
        <f aca="false">ROUND(I321*J321,2)</f>
        <v>984.23</v>
      </c>
      <c r="L321" s="29" t="s">
        <v>138</v>
      </c>
      <c r="M321" s="21" t="s">
        <v>110</v>
      </c>
      <c r="N321" s="21" t="s">
        <v>25</v>
      </c>
      <c r="O321" s="21"/>
    </row>
    <row r="322" customFormat="false" ht="15" hidden="false" customHeight="true" outlineLevel="0" collapsed="false">
      <c r="A322" s="3" t="s">
        <v>368</v>
      </c>
      <c r="B322" s="3" t="s">
        <v>153</v>
      </c>
      <c r="C322" s="3" t="s">
        <v>369</v>
      </c>
      <c r="M322" s="21"/>
      <c r="N322" s="21"/>
      <c r="O322" s="21"/>
    </row>
    <row r="323" customFormat="false" ht="72" hidden="false" customHeight="true" outlineLevel="0" collapsed="false">
      <c r="C323" s="22" t="s">
        <v>370</v>
      </c>
      <c r="M323" s="21"/>
      <c r="N323" s="21"/>
      <c r="O323" s="21"/>
    </row>
    <row r="324" customFormat="false" ht="15" hidden="false" customHeight="true" outlineLevel="0" collapsed="false">
      <c r="C324" s="23" t="s">
        <v>214</v>
      </c>
      <c r="D324" s="24" t="n">
        <v>1</v>
      </c>
      <c r="E324" s="31" t="n">
        <f aca="false">'Mediciones BIM'!E27</f>
        <v>190.46</v>
      </c>
      <c r="H324" s="25" t="n">
        <f aca="false">IF(COUNT(D324:G324)=0,0,D324*IF(E324="",1,E324)*IF(F324="",1,F324)*IF(G324="",1,G324))</f>
        <v>190.46</v>
      </c>
      <c r="M324" s="21"/>
      <c r="N324" s="21"/>
      <c r="O324" s="21"/>
    </row>
    <row r="325" customFormat="false" ht="15" hidden="false" customHeight="true" outlineLevel="0" collapsed="false">
      <c r="C325" s="23"/>
      <c r="D325" s="24"/>
      <c r="E325" s="24"/>
      <c r="H325" s="25" t="n">
        <f aca="false">IF(COUNT(D325:G325)=0,0,D325*IF(E325="",1,E325)*IF(F325="",1,F325)*IF(G325="",1,G325))</f>
        <v>0</v>
      </c>
      <c r="M325" s="21"/>
      <c r="N325" s="21"/>
      <c r="O325" s="21"/>
    </row>
    <row r="326" customFormat="false" ht="15" hidden="false" customHeight="true" outlineLevel="0" collapsed="false">
      <c r="H326" s="26"/>
      <c r="I326" s="27" t="n">
        <f aca="false">ROUND(SUM(H324:H325),2)</f>
        <v>190.46</v>
      </c>
      <c r="J326" s="28" t="n">
        <v>7.47</v>
      </c>
      <c r="K326" s="27" t="n">
        <f aca="false">ROUND(I326*J326,2)</f>
        <v>1422.74</v>
      </c>
      <c r="L326" s="29" t="s">
        <v>109</v>
      </c>
      <c r="M326" s="21" t="s">
        <v>110</v>
      </c>
      <c r="N326" s="21" t="s">
        <v>25</v>
      </c>
      <c r="O326" s="21"/>
    </row>
    <row r="327" customFormat="false" ht="15" hidden="false" customHeight="true" outlineLevel="0" collapsed="false">
      <c r="A327" s="3" t="s">
        <v>371</v>
      </c>
      <c r="B327" s="3" t="s">
        <v>153</v>
      </c>
      <c r="C327" s="3" t="s">
        <v>372</v>
      </c>
      <c r="M327" s="21"/>
      <c r="N327" s="21"/>
      <c r="O327" s="21"/>
    </row>
    <row r="328" customFormat="false" ht="24" hidden="false" customHeight="true" outlineLevel="0" collapsed="false">
      <c r="C328" s="22" t="s">
        <v>373</v>
      </c>
      <c r="M328" s="21"/>
      <c r="N328" s="21"/>
      <c r="O328" s="21"/>
    </row>
    <row r="329" customFormat="false" ht="15" hidden="false" customHeight="true" outlineLevel="0" collapsed="false">
      <c r="C329" s="23" t="s">
        <v>214</v>
      </c>
      <c r="D329" s="24" t="n">
        <v>1</v>
      </c>
      <c r="E329" s="31" t="n">
        <f aca="false">'Mediciones BIM'!E28</f>
        <v>219.91</v>
      </c>
      <c r="H329" s="25" t="n">
        <f aca="false">IF(COUNT(D329:G329)=0,0,D329*IF(E329="",1,E329)*IF(F329="",1,F329)*IF(G329="",1,G329))</f>
        <v>219.91</v>
      </c>
      <c r="M329" s="21"/>
      <c r="N329" s="21"/>
      <c r="O329" s="21"/>
    </row>
    <row r="330" customFormat="false" ht="18.75" hidden="false" customHeight="true" outlineLevel="0" collapsed="false">
      <c r="H330" s="26"/>
      <c r="I330" s="27" t="n">
        <f aca="false">ROUND(SUM(H329:H329),2)</f>
        <v>219.91</v>
      </c>
      <c r="J330" s="28" t="n">
        <v>4.6</v>
      </c>
      <c r="K330" s="27" t="n">
        <f aca="false">ROUND(I330*J330,2)</f>
        <v>1011.59</v>
      </c>
      <c r="L330" s="29" t="s">
        <v>138</v>
      </c>
      <c r="M330" s="21" t="s">
        <v>110</v>
      </c>
      <c r="N330" s="21" t="s">
        <v>25</v>
      </c>
      <c r="O330" s="21"/>
    </row>
    <row r="331" customFormat="false" ht="15" hidden="false" customHeight="true" outlineLevel="0" collapsed="false">
      <c r="A331" s="3" t="s">
        <v>374</v>
      </c>
      <c r="B331" s="3" t="s">
        <v>158</v>
      </c>
      <c r="C331" s="3" t="s">
        <v>375</v>
      </c>
      <c r="M331" s="21"/>
      <c r="N331" s="21"/>
      <c r="O331" s="21"/>
    </row>
    <row r="332" customFormat="false" ht="24" hidden="false" customHeight="true" outlineLevel="0" collapsed="false">
      <c r="C332" s="22" t="s">
        <v>376</v>
      </c>
      <c r="M332" s="21"/>
      <c r="N332" s="21"/>
      <c r="O332" s="21"/>
    </row>
    <row r="333" customFormat="false" ht="15" hidden="false" customHeight="true" outlineLevel="0" collapsed="false">
      <c r="C333" s="23" t="s">
        <v>377</v>
      </c>
      <c r="D333" s="24" t="n">
        <v>1</v>
      </c>
      <c r="E333" s="24" t="n">
        <v>69.7</v>
      </c>
      <c r="H333" s="25" t="n">
        <f aca="false">IF(COUNT(D333:G333)=0,0,D333*IF(E333="",1,E333)*IF(F333="",1,F333)*IF(G333="",1,G333))</f>
        <v>69.7</v>
      </c>
      <c r="M333" s="21"/>
      <c r="N333" s="21"/>
      <c r="O333" s="21"/>
    </row>
    <row r="334" customFormat="false" ht="18.75" hidden="false" customHeight="true" outlineLevel="0" collapsed="false">
      <c r="H334" s="26"/>
      <c r="I334" s="27" t="n">
        <f aca="false">ROUND(SUM(H333:H333),2)</f>
        <v>69.7</v>
      </c>
      <c r="J334" s="28" t="n">
        <v>9.5</v>
      </c>
      <c r="K334" s="27" t="n">
        <f aca="false">ROUND(I334*J334,2)</f>
        <v>662.15</v>
      </c>
      <c r="L334" s="29" t="s">
        <v>138</v>
      </c>
      <c r="M334" s="21" t="s">
        <v>110</v>
      </c>
      <c r="N334" s="21" t="s">
        <v>25</v>
      </c>
      <c r="O334" s="21"/>
    </row>
    <row r="335" customFormat="false" ht="15" hidden="false" customHeight="true" outlineLevel="0" collapsed="false">
      <c r="A335" s="3" t="s">
        <v>378</v>
      </c>
      <c r="B335" s="3" t="s">
        <v>158</v>
      </c>
      <c r="C335" s="3" t="s">
        <v>379</v>
      </c>
      <c r="M335" s="21"/>
      <c r="N335" s="21"/>
      <c r="O335" s="21"/>
    </row>
    <row r="336" customFormat="false" ht="108" hidden="false" customHeight="true" outlineLevel="0" collapsed="false">
      <c r="C336" s="22" t="s">
        <v>380</v>
      </c>
      <c r="M336" s="21"/>
      <c r="N336" s="21"/>
      <c r="O336" s="21"/>
    </row>
    <row r="337" customFormat="false" ht="15" hidden="false" customHeight="true" outlineLevel="0" collapsed="false">
      <c r="C337" s="23" t="s">
        <v>381</v>
      </c>
      <c r="D337" s="24" t="n">
        <v>1</v>
      </c>
      <c r="E337" s="24" t="n">
        <v>20</v>
      </c>
      <c r="H337" s="25" t="n">
        <f aca="false">IF(COUNT(D337:G337)=0,0,D337*IF(E337="",1,E337)*IF(F337="",1,F337)*IF(G337="",1,G337))</f>
        <v>20</v>
      </c>
      <c r="M337" s="21"/>
      <c r="N337" s="21"/>
      <c r="O337" s="21"/>
    </row>
    <row r="338" customFormat="false" ht="15" hidden="false" customHeight="true" outlineLevel="0" collapsed="false">
      <c r="H338" s="26"/>
      <c r="I338" s="27" t="n">
        <f aca="false">ROUND(SUM(H337:H337),2)</f>
        <v>20</v>
      </c>
      <c r="J338" s="28" t="n">
        <v>37.69</v>
      </c>
      <c r="K338" s="27" t="n">
        <f aca="false">ROUND(I338*J338,2)</f>
        <v>753.8</v>
      </c>
      <c r="L338" s="29" t="s">
        <v>109</v>
      </c>
      <c r="M338" s="21" t="s">
        <v>110</v>
      </c>
      <c r="N338" s="21" t="s">
        <v>25</v>
      </c>
      <c r="O338" s="21"/>
    </row>
    <row r="339" customFormat="false" ht="15" hidden="false" customHeight="true" outlineLevel="0" collapsed="false">
      <c r="A339" s="3" t="s">
        <v>382</v>
      </c>
      <c r="B339" s="3" t="s">
        <v>158</v>
      </c>
      <c r="C339" s="3" t="s">
        <v>383</v>
      </c>
      <c r="M339" s="21"/>
      <c r="N339" s="21"/>
      <c r="O339" s="21"/>
    </row>
    <row r="340" customFormat="false" ht="24" hidden="false" customHeight="true" outlineLevel="0" collapsed="false">
      <c r="C340" s="22" t="s">
        <v>384</v>
      </c>
      <c r="M340" s="21"/>
      <c r="N340" s="21"/>
      <c r="O340" s="21"/>
    </row>
    <row r="341" customFormat="false" ht="15" hidden="false" customHeight="true" outlineLevel="0" collapsed="false">
      <c r="C341" s="23" t="s">
        <v>385</v>
      </c>
      <c r="D341" s="24" t="n">
        <v>1</v>
      </c>
      <c r="E341" s="24" t="n">
        <v>140.42</v>
      </c>
      <c r="H341" s="25" t="n">
        <f aca="false">IF(COUNT(D341:G341)=0,0,D341*IF(E341="",1,E341)*IF(F341="",1,F341)*IF(G341="",1,G341))</f>
        <v>140.42</v>
      </c>
      <c r="M341" s="21"/>
      <c r="N341" s="21"/>
      <c r="O341" s="21"/>
    </row>
    <row r="342" customFormat="false" ht="18.75" hidden="false" customHeight="true" outlineLevel="0" collapsed="false">
      <c r="H342" s="26"/>
      <c r="I342" s="27" t="n">
        <f aca="false">ROUND(SUM(H341:H341),2)</f>
        <v>140.42</v>
      </c>
      <c r="J342" s="28" t="n">
        <v>6.8</v>
      </c>
      <c r="K342" s="27" t="n">
        <f aca="false">ROUND(I342*J342,2)</f>
        <v>954.86</v>
      </c>
      <c r="L342" s="29" t="s">
        <v>138</v>
      </c>
      <c r="M342" s="21" t="s">
        <v>110</v>
      </c>
      <c r="N342" s="21" t="s">
        <v>25</v>
      </c>
      <c r="O342" s="21"/>
    </row>
    <row r="343" customFormat="false" ht="15" hidden="false" customHeight="true" outlineLevel="0" collapsed="false">
      <c r="A343" s="3" t="s">
        <v>386</v>
      </c>
      <c r="B343" s="3" t="s">
        <v>153</v>
      </c>
      <c r="C343" s="3" t="s">
        <v>387</v>
      </c>
      <c r="M343" s="21"/>
      <c r="N343" s="21"/>
      <c r="O343" s="21"/>
    </row>
    <row r="344" customFormat="false" ht="12" hidden="false" customHeight="true" outlineLevel="0" collapsed="false">
      <c r="C344" s="22" t="s">
        <v>388</v>
      </c>
      <c r="M344" s="21"/>
      <c r="N344" s="21"/>
      <c r="O344" s="21"/>
    </row>
    <row r="345" customFormat="false" ht="15" hidden="false" customHeight="true" outlineLevel="0" collapsed="false">
      <c r="C345" s="23" t="s">
        <v>389</v>
      </c>
      <c r="D345" s="24" t="n">
        <v>1</v>
      </c>
      <c r="E345" s="24" t="n">
        <v>6</v>
      </c>
      <c r="H345" s="25" t="n">
        <f aca="false">IF(COUNT(D345:G345)=0,0,D345*IF(E345="",1,E345)*IF(F345="",1,F345)*IF(G345="",1,G345))</f>
        <v>6</v>
      </c>
      <c r="M345" s="21"/>
      <c r="N345" s="21"/>
      <c r="O345" s="21"/>
    </row>
    <row r="346" customFormat="false" ht="18.75" hidden="false" customHeight="true" outlineLevel="0" collapsed="false">
      <c r="H346" s="26"/>
      <c r="I346" s="27" t="n">
        <f aca="false">ROUND(SUM(H345:H345),2)</f>
        <v>6</v>
      </c>
      <c r="J346" s="28" t="n">
        <v>32</v>
      </c>
      <c r="K346" s="27" t="n">
        <f aca="false">ROUND(I346*J346,2)</f>
        <v>192</v>
      </c>
      <c r="L346" s="29" t="s">
        <v>138</v>
      </c>
      <c r="M346" s="21" t="s">
        <v>110</v>
      </c>
      <c r="N346" s="21" t="s">
        <v>25</v>
      </c>
      <c r="O346" s="21"/>
    </row>
    <row r="347" customFormat="false" ht="15" hidden="false" customHeight="true" outlineLevel="0" collapsed="false">
      <c r="A347" s="3" t="s">
        <v>390</v>
      </c>
      <c r="B347" s="3" t="s">
        <v>153</v>
      </c>
      <c r="C347" s="3" t="s">
        <v>391</v>
      </c>
      <c r="M347" s="21"/>
      <c r="N347" s="21"/>
      <c r="O347" s="21"/>
    </row>
    <row r="348" customFormat="false" ht="12" hidden="false" customHeight="true" outlineLevel="0" collapsed="false">
      <c r="C348" s="22" t="s">
        <v>392</v>
      </c>
      <c r="M348" s="21"/>
      <c r="N348" s="21"/>
      <c r="O348" s="21"/>
    </row>
    <row r="349" customFormat="false" ht="15" hidden="false" customHeight="true" outlineLevel="0" collapsed="false">
      <c r="C349" s="23" t="s">
        <v>214</v>
      </c>
      <c r="D349" s="24" t="n">
        <v>1</v>
      </c>
      <c r="E349" s="31" t="n">
        <f aca="false">'Mediciones BIM'!E29</f>
        <v>70.14</v>
      </c>
      <c r="H349" s="25" t="n">
        <f aca="false">IF(COUNT(D349:G349)=0,0,D349*IF(E349="",1,E349)*IF(F349="",1,F349)*IF(G349="",1,G349))</f>
        <v>70.14</v>
      </c>
      <c r="M349" s="21"/>
      <c r="N349" s="21"/>
      <c r="O349" s="21"/>
    </row>
    <row r="350" customFormat="false" ht="18.75" hidden="false" customHeight="true" outlineLevel="0" collapsed="false">
      <c r="H350" s="26"/>
      <c r="I350" s="27" t="n">
        <f aca="false">ROUND(SUM(H349:H349),2)</f>
        <v>70.14</v>
      </c>
      <c r="J350" s="28" t="n">
        <v>22</v>
      </c>
      <c r="K350" s="27" t="n">
        <f aca="false">ROUND(I350*J350,2)</f>
        <v>1543.08</v>
      </c>
      <c r="L350" s="29" t="s">
        <v>138</v>
      </c>
      <c r="M350" s="21" t="s">
        <v>110</v>
      </c>
      <c r="N350" s="21" t="s">
        <v>25</v>
      </c>
      <c r="O350" s="21"/>
    </row>
    <row r="351" customFormat="false" ht="15" hidden="false" customHeight="true" outlineLevel="0" collapsed="false">
      <c r="C351" s="30" t="s">
        <v>393</v>
      </c>
      <c r="K351" s="11" t="n">
        <f aca="false">SUMIFS($K$5:$K$350,$M$5:$M$350,"P",$N$5:$N$350,"08")</f>
        <v>7524.45</v>
      </c>
      <c r="M351" s="21"/>
      <c r="N351" s="21"/>
      <c r="O351" s="21"/>
    </row>
    <row r="352" customFormat="false" ht="15" hidden="false" customHeight="true" outlineLevel="0" collapsed="false">
      <c r="M352" s="21"/>
      <c r="N352" s="21"/>
      <c r="O352" s="21"/>
    </row>
    <row r="353" customFormat="false" ht="15" hidden="false" customHeight="true" outlineLevel="0" collapsed="false">
      <c r="A353" s="19" t="s">
        <v>27</v>
      </c>
      <c r="B353" s="20"/>
      <c r="C353" s="19" t="s">
        <v>28</v>
      </c>
      <c r="D353" s="20"/>
      <c r="E353" s="20"/>
      <c r="F353" s="20"/>
      <c r="G353" s="20"/>
      <c r="H353" s="20"/>
      <c r="I353" s="20"/>
      <c r="J353" s="20"/>
      <c r="K353" s="20"/>
      <c r="L353" s="20"/>
      <c r="M353" s="21" t="s">
        <v>103</v>
      </c>
      <c r="N353" s="21" t="s">
        <v>27</v>
      </c>
      <c r="O353" s="21"/>
    </row>
    <row r="354" customFormat="false" ht="15" hidden="false" customHeight="true" outlineLevel="0" collapsed="false">
      <c r="A354" s="3" t="s">
        <v>394</v>
      </c>
      <c r="B354" s="3" t="s">
        <v>153</v>
      </c>
      <c r="C354" s="3" t="s">
        <v>395</v>
      </c>
      <c r="M354" s="21"/>
      <c r="N354" s="21"/>
      <c r="O354" s="21"/>
    </row>
    <row r="355" customFormat="false" ht="24" hidden="false" customHeight="true" outlineLevel="0" collapsed="false">
      <c r="C355" s="22" t="s">
        <v>396</v>
      </c>
      <c r="M355" s="21"/>
      <c r="N355" s="21"/>
      <c r="O355" s="21"/>
    </row>
    <row r="356" customFormat="false" ht="15" hidden="false" customHeight="true" outlineLevel="0" collapsed="false">
      <c r="C356" s="23" t="s">
        <v>214</v>
      </c>
      <c r="D356" s="24" t="n">
        <v>1</v>
      </c>
      <c r="E356" s="31" t="n">
        <f aca="false">'Mediciones BIM'!E30</f>
        <v>88.76</v>
      </c>
      <c r="H356" s="25" t="n">
        <f aca="false">IF(COUNT(D356:G356)=0,0,D356*IF(E356="",1,E356)*IF(F356="",1,F356)*IF(G356="",1,G356))</f>
        <v>88.76</v>
      </c>
      <c r="M356" s="21"/>
      <c r="N356" s="21"/>
      <c r="O356" s="21"/>
    </row>
    <row r="357" customFormat="false" ht="18.75" hidden="false" customHeight="true" outlineLevel="0" collapsed="false">
      <c r="H357" s="26"/>
      <c r="I357" s="27" t="n">
        <f aca="false">ROUND(SUM(H356:H356),2)</f>
        <v>88.76</v>
      </c>
      <c r="J357" s="28" t="n">
        <v>27</v>
      </c>
      <c r="K357" s="27" t="n">
        <f aca="false">ROUND(I357*J357,2)</f>
        <v>2396.52</v>
      </c>
      <c r="L357" s="29" t="s">
        <v>138</v>
      </c>
      <c r="M357" s="21" t="s">
        <v>110</v>
      </c>
      <c r="N357" s="21" t="s">
        <v>27</v>
      </c>
      <c r="O357" s="21"/>
    </row>
    <row r="358" customFormat="false" ht="15" hidden="false" customHeight="true" outlineLevel="0" collapsed="false">
      <c r="A358" s="3" t="s">
        <v>397</v>
      </c>
      <c r="B358" s="3" t="s">
        <v>105</v>
      </c>
      <c r="C358" s="3" t="s">
        <v>398</v>
      </c>
      <c r="M358" s="21"/>
      <c r="N358" s="21"/>
      <c r="O358" s="21"/>
    </row>
    <row r="359" customFormat="false" ht="12" hidden="false" customHeight="true" outlineLevel="0" collapsed="false">
      <c r="C359" s="22" t="s">
        <v>399</v>
      </c>
      <c r="M359" s="21"/>
      <c r="N359" s="21"/>
      <c r="O359" s="21"/>
    </row>
    <row r="360" customFormat="false" ht="15" hidden="false" customHeight="true" outlineLevel="0" collapsed="false">
      <c r="C360" s="23" t="s">
        <v>400</v>
      </c>
      <c r="D360" s="24" t="n">
        <v>11</v>
      </c>
      <c r="H360" s="25" t="n">
        <f aca="false">IF(COUNT(D360:G360)=0,0,D360*IF(E360="",1,E360)*IF(F360="",1,F360)*IF(G360="",1,G360))</f>
        <v>11</v>
      </c>
      <c r="M360" s="21"/>
      <c r="N360" s="21"/>
      <c r="O360" s="21"/>
    </row>
    <row r="361" customFormat="false" ht="18.75" hidden="false" customHeight="true" outlineLevel="0" collapsed="false">
      <c r="H361" s="26"/>
      <c r="I361" s="27" t="n">
        <f aca="false">ROUND(SUM(H360:H360),2)</f>
        <v>11</v>
      </c>
      <c r="J361" s="28" t="n">
        <v>48</v>
      </c>
      <c r="K361" s="27" t="n">
        <f aca="false">ROUND(I361*J361,2)</f>
        <v>528</v>
      </c>
      <c r="L361" s="29" t="s">
        <v>138</v>
      </c>
      <c r="M361" s="21" t="s">
        <v>110</v>
      </c>
      <c r="N361" s="21" t="s">
        <v>27</v>
      </c>
      <c r="O361" s="21"/>
    </row>
    <row r="362" customFormat="false" ht="15" hidden="false" customHeight="true" outlineLevel="0" collapsed="false">
      <c r="A362" s="3" t="s">
        <v>401</v>
      </c>
      <c r="B362" s="3" t="s">
        <v>153</v>
      </c>
      <c r="C362" s="3" t="s">
        <v>402</v>
      </c>
      <c r="M362" s="21"/>
      <c r="N362" s="21"/>
      <c r="O362" s="21"/>
    </row>
    <row r="363" customFormat="false" ht="24" hidden="false" customHeight="true" outlineLevel="0" collapsed="false">
      <c r="C363" s="22" t="s">
        <v>403</v>
      </c>
      <c r="M363" s="21"/>
      <c r="N363" s="21"/>
      <c r="O363" s="21"/>
    </row>
    <row r="364" customFormat="false" ht="15" hidden="false" customHeight="true" outlineLevel="0" collapsed="false">
      <c r="C364" s="23" t="s">
        <v>214</v>
      </c>
      <c r="D364" s="24" t="n">
        <v>1</v>
      </c>
      <c r="E364" s="31" t="n">
        <f aca="false">'Mediciones BIM'!E31</f>
        <v>21.35</v>
      </c>
      <c r="H364" s="25" t="n">
        <f aca="false">IF(COUNT(D364:G364)=0,0,D364*IF(E364="",1,E364)*IF(F364="",1,F364)*IF(G364="",1,G364))</f>
        <v>21.35</v>
      </c>
      <c r="M364" s="21"/>
      <c r="N364" s="21"/>
      <c r="O364" s="21"/>
    </row>
    <row r="365" customFormat="false" ht="27.75" hidden="false" customHeight="true" outlineLevel="0" collapsed="false">
      <c r="H365" s="26"/>
      <c r="I365" s="27" t="n">
        <f aca="false">ROUND(SUM(H364:H364),2)</f>
        <v>21.35</v>
      </c>
      <c r="J365" s="28" t="n">
        <v>34</v>
      </c>
      <c r="K365" s="27" t="n">
        <f aca="false">ROUND(I365*J365,2)</f>
        <v>725.9</v>
      </c>
      <c r="L365" s="29" t="s">
        <v>404</v>
      </c>
      <c r="M365" s="21" t="s">
        <v>110</v>
      </c>
      <c r="N365" s="21" t="s">
        <v>27</v>
      </c>
      <c r="O365" s="21"/>
    </row>
    <row r="366" customFormat="false" ht="27.75" hidden="false" customHeight="true" outlineLevel="0" collapsed="false">
      <c r="A366" s="33" t="s">
        <v>405</v>
      </c>
      <c r="B366" s="3" t="s">
        <v>153</v>
      </c>
      <c r="C366" s="3" t="s">
        <v>406</v>
      </c>
      <c r="M366" s="21"/>
      <c r="N366" s="21"/>
      <c r="O366" s="21"/>
    </row>
    <row r="367" customFormat="false" ht="27.75" hidden="false" customHeight="true" outlineLevel="0" collapsed="false">
      <c r="C367" s="22" t="s">
        <v>407</v>
      </c>
      <c r="M367" s="21"/>
      <c r="N367" s="21"/>
      <c r="O367" s="21"/>
    </row>
    <row r="368" customFormat="false" ht="27.75" hidden="false" customHeight="true" outlineLevel="0" collapsed="false">
      <c r="C368" s="23" t="s">
        <v>408</v>
      </c>
      <c r="D368" s="24" t="n">
        <v>1</v>
      </c>
      <c r="E368" s="31" t="n">
        <f aca="false">E297</f>
        <v>29.44</v>
      </c>
      <c r="H368" s="25" t="n">
        <f aca="false">IF(COUNT(D368:G368)=0,0,D368*IF(E368="",1,E368)*IF(F368="",1,F368)*IF(G368="",1,G368))</f>
        <v>29.44</v>
      </c>
      <c r="M368" s="21"/>
      <c r="N368" s="21"/>
      <c r="O368" s="21"/>
    </row>
    <row r="369" customFormat="false" ht="27.75" hidden="false" customHeight="true" outlineLevel="0" collapsed="false">
      <c r="H369" s="26"/>
      <c r="I369" s="27" t="n">
        <f aca="false">ROUND(SUM(H368:H368),2)</f>
        <v>29.44</v>
      </c>
      <c r="J369" s="28" t="n">
        <v>9</v>
      </c>
      <c r="K369" s="27" t="n">
        <f aca="false">ROUND(I369*J369,2)</f>
        <v>264.96</v>
      </c>
      <c r="L369" s="29" t="s">
        <v>224</v>
      </c>
      <c r="M369" s="21" t="s">
        <v>110</v>
      </c>
      <c r="N369" s="21" t="s">
        <v>27</v>
      </c>
      <c r="O369" s="21"/>
    </row>
    <row r="370" customFormat="false" ht="15" hidden="false" customHeight="true" outlineLevel="0" collapsed="false">
      <c r="C370" s="30" t="s">
        <v>409</v>
      </c>
      <c r="K370" s="11" t="n">
        <f aca="false">SUMIFS($K$5:$K$369,$M$5:$M$369,"P",$N$5:$N$369,"09")</f>
        <v>3915.38</v>
      </c>
      <c r="M370" s="21"/>
      <c r="N370" s="21"/>
      <c r="O370" s="21"/>
    </row>
    <row r="371" customFormat="false" ht="15" hidden="false" customHeight="true" outlineLevel="0" collapsed="false">
      <c r="M371" s="21"/>
      <c r="N371" s="21"/>
      <c r="O371" s="21"/>
    </row>
    <row r="372" customFormat="false" ht="15" hidden="false" customHeight="true" outlineLevel="0" collapsed="false">
      <c r="A372" s="19" t="s">
        <v>29</v>
      </c>
      <c r="B372" s="20"/>
      <c r="C372" s="19" t="s">
        <v>30</v>
      </c>
      <c r="D372" s="20"/>
      <c r="E372" s="20"/>
      <c r="F372" s="20"/>
      <c r="G372" s="20"/>
      <c r="H372" s="20"/>
      <c r="I372" s="20"/>
      <c r="J372" s="20"/>
      <c r="K372" s="20"/>
      <c r="L372" s="20"/>
      <c r="M372" s="21" t="s">
        <v>103</v>
      </c>
      <c r="N372" s="21" t="s">
        <v>29</v>
      </c>
      <c r="O372" s="21"/>
    </row>
    <row r="373" customFormat="false" ht="15" hidden="false" customHeight="true" outlineLevel="0" collapsed="false">
      <c r="A373" s="3" t="s">
        <v>410</v>
      </c>
      <c r="B373" s="3" t="s">
        <v>153</v>
      </c>
      <c r="C373" s="3" t="s">
        <v>411</v>
      </c>
      <c r="M373" s="21"/>
      <c r="N373" s="21"/>
      <c r="O373" s="21"/>
    </row>
    <row r="374" customFormat="false" ht="24" hidden="false" customHeight="true" outlineLevel="0" collapsed="false">
      <c r="C374" s="22" t="s">
        <v>412</v>
      </c>
      <c r="M374" s="21"/>
      <c r="N374" s="21"/>
      <c r="O374" s="21"/>
    </row>
    <row r="375" customFormat="false" ht="15" hidden="false" customHeight="true" outlineLevel="0" collapsed="false">
      <c r="C375" s="23" t="s">
        <v>214</v>
      </c>
      <c r="D375" s="24" t="n">
        <v>1</v>
      </c>
      <c r="E375" s="31" t="n">
        <f aca="false">'Mediciones BIM'!E32</f>
        <v>209.42</v>
      </c>
      <c r="H375" s="25" t="n">
        <f aca="false">IF(COUNT(D375:G375)=0,0,D375*IF(E375="",1,E375)*IF(F375="",1,F375)*IF(G375="",1,G375))</f>
        <v>209.42</v>
      </c>
      <c r="M375" s="21"/>
      <c r="N375" s="21"/>
      <c r="O375" s="21"/>
    </row>
    <row r="376" customFormat="false" ht="18.75" hidden="false" customHeight="true" outlineLevel="0" collapsed="false">
      <c r="H376" s="26"/>
      <c r="I376" s="27" t="n">
        <f aca="false">ROUND(SUM(H375:H375),2)</f>
        <v>209.42</v>
      </c>
      <c r="J376" s="28" t="n">
        <v>15</v>
      </c>
      <c r="K376" s="27" t="n">
        <f aca="false">ROUND(I376*J376,2)</f>
        <v>3141.3</v>
      </c>
      <c r="L376" s="29" t="s">
        <v>138</v>
      </c>
      <c r="M376" s="21" t="s">
        <v>110</v>
      </c>
      <c r="N376" s="21" t="s">
        <v>29</v>
      </c>
      <c r="O376" s="21"/>
    </row>
    <row r="377" customFormat="false" ht="15" hidden="false" customHeight="true" outlineLevel="0" collapsed="false">
      <c r="A377" s="3" t="s">
        <v>413</v>
      </c>
      <c r="B377" s="3" t="s">
        <v>153</v>
      </c>
      <c r="C377" s="3" t="s">
        <v>414</v>
      </c>
      <c r="M377" s="21"/>
      <c r="N377" s="21"/>
      <c r="O377" s="21"/>
    </row>
    <row r="378" customFormat="false" ht="24" hidden="false" customHeight="true" outlineLevel="0" collapsed="false">
      <c r="C378" s="22" t="s">
        <v>415</v>
      </c>
      <c r="M378" s="21"/>
      <c r="N378" s="21"/>
      <c r="O378" s="21"/>
    </row>
    <row r="379" customFormat="false" ht="15" hidden="false" customHeight="true" outlineLevel="0" collapsed="false">
      <c r="C379" s="23" t="s">
        <v>416</v>
      </c>
      <c r="D379" s="24" t="n">
        <v>1</v>
      </c>
      <c r="E379" s="24" t="n">
        <v>87</v>
      </c>
      <c r="H379" s="25" t="n">
        <f aca="false">IF(COUNT(D379:G379)=0,0,D379*IF(E379="",1,E379)*IF(F379="",1,F379)*IF(G379="",1,G379))</f>
        <v>87</v>
      </c>
      <c r="M379" s="21"/>
      <c r="N379" s="21"/>
      <c r="O379" s="21"/>
    </row>
    <row r="380" customFormat="false" ht="18.75" hidden="false" customHeight="true" outlineLevel="0" collapsed="false">
      <c r="H380" s="26"/>
      <c r="I380" s="27" t="n">
        <f aca="false">ROUND(SUM(H379:H379),2)</f>
        <v>87</v>
      </c>
      <c r="J380" s="28" t="n">
        <v>14</v>
      </c>
      <c r="K380" s="27" t="n">
        <f aca="false">ROUND(I380*J380,2)</f>
        <v>1218</v>
      </c>
      <c r="L380" s="29" t="s">
        <v>138</v>
      </c>
      <c r="M380" s="21" t="s">
        <v>110</v>
      </c>
      <c r="N380" s="21" t="s">
        <v>29</v>
      </c>
      <c r="O380" s="21"/>
    </row>
    <row r="381" customFormat="false" ht="15" hidden="false" customHeight="true" outlineLevel="0" collapsed="false">
      <c r="A381" s="3" t="s">
        <v>417</v>
      </c>
      <c r="B381" s="3" t="s">
        <v>153</v>
      </c>
      <c r="C381" s="3" t="s">
        <v>418</v>
      </c>
      <c r="M381" s="21"/>
      <c r="N381" s="21"/>
      <c r="O381" s="21"/>
    </row>
    <row r="382" customFormat="false" ht="24" hidden="false" customHeight="true" outlineLevel="0" collapsed="false">
      <c r="C382" s="22" t="s">
        <v>419</v>
      </c>
      <c r="M382" s="21"/>
      <c r="N382" s="21"/>
      <c r="O382" s="21"/>
    </row>
    <row r="383" customFormat="false" ht="15" hidden="false" customHeight="true" outlineLevel="0" collapsed="false">
      <c r="C383" s="23" t="s">
        <v>214</v>
      </c>
      <c r="D383" s="24" t="n">
        <v>1</v>
      </c>
      <c r="E383" s="31" t="n">
        <f aca="false">'Mediciones BIM'!E33</f>
        <v>191.76</v>
      </c>
      <c r="H383" s="25" t="n">
        <f aca="false">IF(COUNT(D383:G383)=0,0,D383*IF(E383="",1,E383)*IF(F383="",1,F383)*IF(G383="",1,G383))</f>
        <v>191.76</v>
      </c>
      <c r="M383" s="21"/>
      <c r="N383" s="21"/>
      <c r="O383" s="21"/>
    </row>
    <row r="384" customFormat="false" ht="15" hidden="false" customHeight="true" outlineLevel="0" collapsed="false">
      <c r="C384" s="23"/>
      <c r="D384" s="24"/>
      <c r="E384" s="24"/>
      <c r="H384" s="25" t="n">
        <f aca="false">IF(COUNT(D384:G384)=0,0,D384*IF(E384="",1,E384)*IF(F384="",1,F384)*IF(G384="",1,G384))</f>
        <v>0</v>
      </c>
      <c r="M384" s="21"/>
      <c r="N384" s="21"/>
      <c r="O384" s="21"/>
    </row>
    <row r="385" customFormat="false" ht="18.75" hidden="false" customHeight="true" outlineLevel="0" collapsed="false">
      <c r="H385" s="26"/>
      <c r="I385" s="27" t="n">
        <f aca="false">ROUND(SUM(H383:H384),2)</f>
        <v>191.76</v>
      </c>
      <c r="J385" s="28" t="n">
        <v>48</v>
      </c>
      <c r="K385" s="27" t="n">
        <f aca="false">ROUND(I385*J385,2)</f>
        <v>9204.48</v>
      </c>
      <c r="L385" s="29" t="s">
        <v>138</v>
      </c>
      <c r="M385" s="21" t="s">
        <v>110</v>
      </c>
      <c r="N385" s="21" t="s">
        <v>29</v>
      </c>
      <c r="O385" s="21"/>
    </row>
    <row r="386" customFormat="false" ht="15" hidden="false" customHeight="true" outlineLevel="0" collapsed="false">
      <c r="A386" s="3" t="s">
        <v>420</v>
      </c>
      <c r="B386" s="3" t="s">
        <v>153</v>
      </c>
      <c r="C386" s="3" t="s">
        <v>421</v>
      </c>
      <c r="M386" s="21"/>
      <c r="N386" s="21"/>
      <c r="O386" s="21"/>
    </row>
    <row r="387" customFormat="false" ht="24" hidden="false" customHeight="true" outlineLevel="0" collapsed="false">
      <c r="C387" s="22" t="s">
        <v>422</v>
      </c>
      <c r="M387" s="21"/>
      <c r="N387" s="21"/>
      <c r="O387" s="21"/>
    </row>
    <row r="388" customFormat="false" ht="15" hidden="false" customHeight="true" outlineLevel="0" collapsed="false">
      <c r="C388" s="23" t="s">
        <v>214</v>
      </c>
      <c r="D388" s="24" t="n">
        <v>1</v>
      </c>
      <c r="E388" s="31" t="n">
        <f aca="false">'Mediciones BIM'!E34</f>
        <v>70.14</v>
      </c>
      <c r="H388" s="25" t="n">
        <f aca="false">IF(COUNT(D388:G388)=0,0,D388*IF(E388="",1,E388)*IF(F388="",1,F388)*IF(G388="",1,G388))</f>
        <v>70.14</v>
      </c>
      <c r="M388" s="21"/>
      <c r="N388" s="21"/>
      <c r="O388" s="21"/>
    </row>
    <row r="389" customFormat="false" ht="15" hidden="false" customHeight="true" outlineLevel="0" collapsed="false">
      <c r="C389" s="23"/>
      <c r="D389" s="24"/>
      <c r="E389" s="24"/>
      <c r="H389" s="25" t="n">
        <f aca="false">IF(COUNT(D389:G389)=0,0,D389*IF(E389="",1,E389)*IF(F389="",1,F389)*IF(G389="",1,G389))</f>
        <v>0</v>
      </c>
      <c r="M389" s="21"/>
      <c r="N389" s="21"/>
      <c r="O389" s="21"/>
    </row>
    <row r="390" customFormat="false" ht="18.75" hidden="false" customHeight="true" outlineLevel="0" collapsed="false">
      <c r="H390" s="26"/>
      <c r="I390" s="27" t="n">
        <f aca="false">ROUND(SUM(H388:H389),2)</f>
        <v>70.14</v>
      </c>
      <c r="J390" s="28" t="n">
        <v>56</v>
      </c>
      <c r="K390" s="27" t="n">
        <f aca="false">ROUND(I390*J390,2)</f>
        <v>3927.84</v>
      </c>
      <c r="L390" s="29" t="s">
        <v>138</v>
      </c>
      <c r="M390" s="21" t="s">
        <v>110</v>
      </c>
      <c r="N390" s="21" t="s">
        <v>29</v>
      </c>
      <c r="O390" s="21"/>
    </row>
    <row r="391" customFormat="false" ht="15" hidden="false" customHeight="true" outlineLevel="0" collapsed="false">
      <c r="A391" s="3" t="s">
        <v>423</v>
      </c>
      <c r="B391" s="3" t="s">
        <v>153</v>
      </c>
      <c r="C391" s="3" t="s">
        <v>424</v>
      </c>
      <c r="M391" s="21"/>
      <c r="N391" s="21"/>
      <c r="O391" s="21"/>
    </row>
    <row r="392" customFormat="false" ht="12" hidden="false" customHeight="true" outlineLevel="0" collapsed="false">
      <c r="C392" s="22" t="s">
        <v>425</v>
      </c>
      <c r="M392" s="21"/>
      <c r="N392" s="21"/>
      <c r="O392" s="21"/>
    </row>
    <row r="393" customFormat="false" ht="15" hidden="false" customHeight="true" outlineLevel="0" collapsed="false">
      <c r="C393" s="23" t="s">
        <v>214</v>
      </c>
      <c r="D393" s="24" t="n">
        <v>1</v>
      </c>
      <c r="E393" s="31" t="n">
        <f aca="false">'Mediciones BIM'!E35</f>
        <v>17.66</v>
      </c>
      <c r="H393" s="25" t="n">
        <f aca="false">IF(COUNT(D393:G393)=0,0,D393*IF(E393="",1,E393)*IF(F393="",1,F393)*IF(G393="",1,G393))</f>
        <v>17.66</v>
      </c>
      <c r="M393" s="21"/>
      <c r="N393" s="21"/>
      <c r="O393" s="21"/>
    </row>
    <row r="394" customFormat="false" ht="18.75" hidden="false" customHeight="true" outlineLevel="0" collapsed="false">
      <c r="H394" s="26"/>
      <c r="I394" s="27" t="n">
        <f aca="false">ROUND(SUM(H393:H393),2)</f>
        <v>17.66</v>
      </c>
      <c r="J394" s="28" t="n">
        <v>54</v>
      </c>
      <c r="K394" s="27" t="n">
        <f aca="false">ROUND(I394*J394,2)</f>
        <v>953.64</v>
      </c>
      <c r="L394" s="29" t="s">
        <v>138</v>
      </c>
      <c r="M394" s="21" t="s">
        <v>110</v>
      </c>
      <c r="N394" s="21" t="s">
        <v>29</v>
      </c>
      <c r="O394" s="21"/>
    </row>
    <row r="395" customFormat="false" ht="15" hidden="false" customHeight="true" outlineLevel="0" collapsed="false">
      <c r="A395" s="3" t="s">
        <v>426</v>
      </c>
      <c r="B395" s="3" t="s">
        <v>153</v>
      </c>
      <c r="C395" s="3" t="s">
        <v>427</v>
      </c>
      <c r="M395" s="21"/>
      <c r="N395" s="21"/>
      <c r="O395" s="21"/>
    </row>
    <row r="396" customFormat="false" ht="132" hidden="false" customHeight="true" outlineLevel="0" collapsed="false">
      <c r="C396" s="22" t="s">
        <v>428</v>
      </c>
      <c r="M396" s="21"/>
      <c r="N396" s="21"/>
      <c r="O396" s="21"/>
    </row>
    <row r="397" customFormat="false" ht="15" hidden="false" customHeight="true" outlineLevel="0" collapsed="false">
      <c r="C397" s="23" t="s">
        <v>207</v>
      </c>
      <c r="D397" s="24" t="n">
        <v>1</v>
      </c>
      <c r="E397" s="31" t="n">
        <f aca="false">'Mediciones BIM'!E36</f>
        <v>49.52</v>
      </c>
      <c r="H397" s="25" t="n">
        <f aca="false">IF(COUNT(D397:G397)=0,0,D397*IF(E397="",1,E397)*IF(F397="",1,F397)*IF(G397="",1,G397))</f>
        <v>49.52</v>
      </c>
      <c r="M397" s="21"/>
      <c r="N397" s="21"/>
      <c r="O397" s="21"/>
    </row>
    <row r="398" customFormat="false" ht="15" hidden="false" customHeight="true" outlineLevel="0" collapsed="false">
      <c r="H398" s="26"/>
      <c r="I398" s="27" t="n">
        <f aca="false">ROUND(SUM(H397:H397),2)</f>
        <v>49.52</v>
      </c>
      <c r="J398" s="28" t="n">
        <v>15.61</v>
      </c>
      <c r="K398" s="27" t="n">
        <f aca="false">ROUND(I398*J398,2)</f>
        <v>773.01</v>
      </c>
      <c r="L398" s="29" t="s">
        <v>109</v>
      </c>
      <c r="M398" s="21" t="s">
        <v>110</v>
      </c>
      <c r="N398" s="21" t="s">
        <v>29</v>
      </c>
      <c r="O398" s="21"/>
    </row>
    <row r="399" customFormat="false" ht="15" hidden="false" customHeight="true" outlineLevel="0" collapsed="false">
      <c r="A399" s="3" t="s">
        <v>429</v>
      </c>
      <c r="B399" s="3" t="s">
        <v>158</v>
      </c>
      <c r="C399" s="3" t="s">
        <v>430</v>
      </c>
      <c r="M399" s="21"/>
      <c r="N399" s="21"/>
      <c r="O399" s="21"/>
    </row>
    <row r="400" customFormat="false" ht="24" hidden="false" customHeight="true" outlineLevel="0" collapsed="false">
      <c r="C400" s="22" t="s">
        <v>431</v>
      </c>
      <c r="M400" s="21"/>
      <c r="N400" s="21"/>
      <c r="O400" s="21"/>
    </row>
    <row r="401" customFormat="false" ht="15" hidden="false" customHeight="true" outlineLevel="0" collapsed="false">
      <c r="C401" s="23" t="s">
        <v>293</v>
      </c>
      <c r="D401" s="24" t="n">
        <v>1</v>
      </c>
      <c r="E401" s="24" t="n">
        <v>5.4</v>
      </c>
      <c r="H401" s="25" t="n">
        <f aca="false">IF(COUNT(D401:G401)=0,0,D401*IF(E401="",1,E401)*IF(F401="",1,F401)*IF(G401="",1,G401))</f>
        <v>5.4</v>
      </c>
      <c r="M401" s="21"/>
      <c r="N401" s="21"/>
      <c r="O401" s="21"/>
    </row>
    <row r="402" customFormat="false" ht="18.75" hidden="false" customHeight="true" outlineLevel="0" collapsed="false">
      <c r="H402" s="26"/>
      <c r="I402" s="27" t="n">
        <f aca="false">ROUND(SUM(H401:H401),2)</f>
        <v>5.4</v>
      </c>
      <c r="J402" s="28" t="n">
        <v>92</v>
      </c>
      <c r="K402" s="27" t="n">
        <f aca="false">ROUND(I402*J402,2)</f>
        <v>496.8</v>
      </c>
      <c r="L402" s="29" t="s">
        <v>138</v>
      </c>
      <c r="M402" s="21" t="s">
        <v>110</v>
      </c>
      <c r="N402" s="21" t="s">
        <v>29</v>
      </c>
      <c r="O402" s="21"/>
    </row>
    <row r="403" customFormat="false" ht="15" hidden="false" customHeight="true" outlineLevel="0" collapsed="false">
      <c r="A403" s="3" t="s">
        <v>432</v>
      </c>
      <c r="B403" s="3" t="s">
        <v>105</v>
      </c>
      <c r="C403" s="3" t="s">
        <v>433</v>
      </c>
      <c r="M403" s="21"/>
      <c r="N403" s="21"/>
      <c r="O403" s="21"/>
    </row>
    <row r="404" customFormat="false" ht="24" hidden="false" customHeight="true" outlineLevel="0" collapsed="false">
      <c r="C404" s="22" t="s">
        <v>434</v>
      </c>
      <c r="M404" s="21"/>
      <c r="N404" s="21"/>
      <c r="O404" s="21"/>
    </row>
    <row r="405" customFormat="false" ht="15" hidden="false" customHeight="true" outlineLevel="0" collapsed="false">
      <c r="C405" s="23" t="s">
        <v>292</v>
      </c>
      <c r="D405" s="24" t="n">
        <v>1</v>
      </c>
      <c r="H405" s="25" t="n">
        <f aca="false">IF(COUNT(D405:G405)=0,0,D405*IF(E405="",1,E405)*IF(F405="",1,F405)*IF(G405="",1,G405))</f>
        <v>1</v>
      </c>
      <c r="M405" s="21"/>
      <c r="N405" s="21"/>
      <c r="O405" s="21"/>
    </row>
    <row r="406" customFormat="false" ht="18.75" hidden="false" customHeight="true" outlineLevel="0" collapsed="false">
      <c r="H406" s="26"/>
      <c r="I406" s="27" t="n">
        <f aca="false">ROUND(SUM(H405:H405),2)</f>
        <v>1</v>
      </c>
      <c r="J406" s="28" t="n">
        <v>950</v>
      </c>
      <c r="K406" s="27" t="n">
        <f aca="false">ROUND(I406*J406,2)</f>
        <v>950</v>
      </c>
      <c r="L406" s="29" t="s">
        <v>138</v>
      </c>
      <c r="M406" s="21" t="s">
        <v>110</v>
      </c>
      <c r="N406" s="21" t="s">
        <v>29</v>
      </c>
      <c r="O406" s="21"/>
    </row>
    <row r="407" customFormat="false" ht="15" hidden="false" customHeight="true" outlineLevel="0" collapsed="false">
      <c r="A407" s="3" t="s">
        <v>435</v>
      </c>
      <c r="B407" s="3" t="s">
        <v>153</v>
      </c>
      <c r="C407" s="3" t="s">
        <v>436</v>
      </c>
      <c r="M407" s="21"/>
      <c r="N407" s="21"/>
      <c r="O407" s="21"/>
    </row>
    <row r="408" customFormat="false" ht="24" hidden="false" customHeight="true" outlineLevel="0" collapsed="false">
      <c r="C408" s="22" t="s">
        <v>437</v>
      </c>
      <c r="M408" s="21"/>
      <c r="N408" s="21"/>
      <c r="O408" s="21"/>
    </row>
    <row r="409" customFormat="false" ht="15" hidden="false" customHeight="true" outlineLevel="0" collapsed="false">
      <c r="C409" s="23" t="s">
        <v>214</v>
      </c>
      <c r="D409" s="24" t="n">
        <v>1</v>
      </c>
      <c r="E409" s="31" t="n">
        <f aca="false">'Mediciones BIM'!E37</f>
        <v>70.14</v>
      </c>
      <c r="H409" s="25" t="n">
        <f aca="false">IF(COUNT(D409:G409)=0,0,D409*IF(E409="",1,E409)*IF(F409="",1,F409)*IF(G409="",1,G409))</f>
        <v>70.14</v>
      </c>
      <c r="M409" s="21"/>
      <c r="N409" s="21"/>
      <c r="O409" s="21"/>
    </row>
    <row r="410" customFormat="false" ht="15" hidden="false" customHeight="true" outlineLevel="0" collapsed="false">
      <c r="H410" s="26"/>
      <c r="I410" s="27" t="n">
        <f aca="false">ROUND(SUM(H409:H409),2)</f>
        <v>70.14</v>
      </c>
      <c r="J410" s="28" t="n">
        <v>15</v>
      </c>
      <c r="K410" s="27" t="n">
        <f aca="false">ROUND(I410*J410,2)</f>
        <v>1052.1</v>
      </c>
      <c r="L410" s="29" t="s">
        <v>438</v>
      </c>
      <c r="M410" s="21" t="s">
        <v>110</v>
      </c>
      <c r="N410" s="21" t="s">
        <v>29</v>
      </c>
      <c r="O410" s="21"/>
    </row>
    <row r="411" customFormat="false" ht="15" hidden="false" customHeight="true" outlineLevel="0" collapsed="false">
      <c r="C411" s="30" t="s">
        <v>439</v>
      </c>
      <c r="K411" s="11" t="n">
        <f aca="false">SUMIFS($K$5:$K$410,$M$5:$M$410,"P",$N$5:$N$410,"10")</f>
        <v>21717.17</v>
      </c>
      <c r="M411" s="21"/>
      <c r="N411" s="21"/>
      <c r="O411" s="21"/>
    </row>
    <row r="412" customFormat="false" ht="15" hidden="false" customHeight="true" outlineLevel="0" collapsed="false">
      <c r="M412" s="21"/>
      <c r="N412" s="21"/>
      <c r="O412" s="21"/>
    </row>
    <row r="413" customFormat="false" ht="15" hidden="false" customHeight="true" outlineLevel="0" collapsed="false">
      <c r="A413" s="19" t="s">
        <v>31</v>
      </c>
      <c r="B413" s="20"/>
      <c r="C413" s="19" t="s">
        <v>32</v>
      </c>
      <c r="D413" s="20"/>
      <c r="E413" s="20"/>
      <c r="F413" s="20"/>
      <c r="G413" s="20"/>
      <c r="H413" s="20"/>
      <c r="I413" s="20"/>
      <c r="J413" s="20"/>
      <c r="K413" s="20"/>
      <c r="L413" s="20"/>
      <c r="M413" s="21" t="s">
        <v>103</v>
      </c>
      <c r="N413" s="21" t="s">
        <v>31</v>
      </c>
      <c r="O413" s="21"/>
    </row>
    <row r="414" customFormat="false" ht="15" hidden="false" customHeight="true" outlineLevel="0" collapsed="false">
      <c r="A414" s="3" t="s">
        <v>440</v>
      </c>
      <c r="B414" s="3" t="s">
        <v>329</v>
      </c>
      <c r="C414" s="3" t="s">
        <v>441</v>
      </c>
      <c r="M414" s="21"/>
      <c r="N414" s="21"/>
      <c r="O414" s="21"/>
    </row>
    <row r="415" customFormat="false" ht="36" hidden="false" customHeight="true" outlineLevel="0" collapsed="false">
      <c r="C415" s="22" t="s">
        <v>442</v>
      </c>
      <c r="M415" s="21"/>
      <c r="N415" s="21"/>
      <c r="O415" s="21"/>
    </row>
    <row r="416" customFormat="false" ht="15" hidden="false" customHeight="true" outlineLevel="0" collapsed="false">
      <c r="C416" s="23" t="s">
        <v>214</v>
      </c>
      <c r="D416" s="24" t="n">
        <v>1</v>
      </c>
      <c r="E416" s="31" t="n">
        <f aca="false">'Mediciones BIM'!E38</f>
        <v>317.11</v>
      </c>
      <c r="H416" s="25" t="n">
        <f aca="false">IF(COUNT(D416:G416)=0,0,D416*IF(E416="",1,E416)*IF(F416="",1,F416)*IF(G416="",1,G416))</f>
        <v>317.11</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H419" s="26"/>
      <c r="I419" s="27" t="n">
        <f aca="false">ROUND(SUM(H416:H418),2)</f>
        <v>317.11</v>
      </c>
      <c r="J419" s="28" t="n">
        <v>29.56</v>
      </c>
      <c r="K419" s="27" t="n">
        <f aca="false">ROUND(I419*J419,2)</f>
        <v>9373.77</v>
      </c>
      <c r="L419" s="29" t="s">
        <v>109</v>
      </c>
      <c r="M419" s="21" t="s">
        <v>110</v>
      </c>
      <c r="N419" s="21" t="s">
        <v>31</v>
      </c>
      <c r="O419" s="21"/>
    </row>
    <row r="420" customFormat="false" ht="15" hidden="false" customHeight="true" outlineLevel="0" collapsed="false">
      <c r="A420" s="3" t="s">
        <v>443</v>
      </c>
      <c r="B420" s="3" t="s">
        <v>153</v>
      </c>
      <c r="C420" s="3" t="s">
        <v>444</v>
      </c>
      <c r="M420" s="21"/>
      <c r="N420" s="21"/>
      <c r="O420" s="21"/>
    </row>
    <row r="421" customFormat="false" ht="24" hidden="false" customHeight="true" outlineLevel="0" collapsed="false">
      <c r="C421" s="22" t="s">
        <v>445</v>
      </c>
      <c r="M421" s="21"/>
      <c r="N421" s="21"/>
      <c r="O421" s="21"/>
    </row>
    <row r="422" customFormat="false" ht="15" hidden="false" customHeight="true" outlineLevel="0" collapsed="false">
      <c r="C422" s="23" t="s">
        <v>214</v>
      </c>
      <c r="D422" s="24" t="n">
        <v>1</v>
      </c>
      <c r="E422" s="31" t="n">
        <f aca="false">'Mediciones BIM'!E39</f>
        <v>925.05</v>
      </c>
      <c r="H422" s="25" t="n">
        <f aca="false">IF(COUNT(D422:G422)=0,0,D422*IF(E422="",1,E422)*IF(F422="",1,F422)*IF(G422="",1,G422))</f>
        <v>925.05</v>
      </c>
      <c r="M422" s="21"/>
      <c r="N422" s="21"/>
      <c r="O422" s="21"/>
    </row>
    <row r="423" customFormat="false" ht="15" hidden="false" customHeight="true" outlineLevel="0" collapsed="false">
      <c r="C423" s="23"/>
      <c r="D423" s="24"/>
      <c r="E423" s="24"/>
      <c r="H423" s="25" t="n">
        <f aca="false">IF(COUNT(D423:G423)=0,0,D423*IF(E423="",1,E423)*IF(F423="",1,F423)*IF(G423="",1,G423))</f>
        <v>0</v>
      </c>
      <c r="M423" s="21"/>
      <c r="N423" s="21"/>
      <c r="O423" s="21"/>
    </row>
    <row r="424" customFormat="false" ht="15" hidden="false" customHeight="true" outlineLevel="0" collapsed="false">
      <c r="C424" s="23"/>
      <c r="D424" s="24"/>
      <c r="E424" s="24"/>
      <c r="H424" s="25" t="n">
        <f aca="false">IF(COUNT(D424:G424)=0,0,D424*IF(E424="",1,E424)*IF(F424="",1,F424)*IF(G424="",1,G424))</f>
        <v>0</v>
      </c>
      <c r="M424" s="21"/>
      <c r="N424" s="21"/>
      <c r="O424" s="21"/>
    </row>
    <row r="425" customFormat="false" ht="15" hidden="false" customHeight="true" outlineLevel="0" collapsed="false">
      <c r="C425" s="23"/>
      <c r="D425" s="24"/>
      <c r="E425" s="24"/>
      <c r="H425" s="25" t="n">
        <f aca="false">IF(COUNT(D425:G425)=0,0,D425*IF(E425="",1,E425)*IF(F425="",1,F425)*IF(G425="",1,G425))</f>
        <v>0</v>
      </c>
      <c r="M425" s="21"/>
      <c r="N425" s="21"/>
      <c r="O425" s="21"/>
    </row>
    <row r="426" customFormat="false" ht="15" hidden="false" customHeight="true" outlineLevel="0" collapsed="false">
      <c r="C426" s="23"/>
      <c r="D426" s="24"/>
      <c r="E426" s="24"/>
      <c r="H426" s="25" t="n">
        <f aca="false">IF(COUNT(D426:G426)=0,0,D426*IF(E426="",1,E426)*IF(F426="",1,F426)*IF(G426="",1,G426))</f>
        <v>0</v>
      </c>
      <c r="M426" s="21"/>
      <c r="N426" s="21"/>
      <c r="O426" s="21"/>
    </row>
    <row r="427" customFormat="false" ht="15" hidden="false" customHeight="true" outlineLevel="0" collapsed="false">
      <c r="C427" s="23"/>
      <c r="D427" s="24"/>
      <c r="E427" s="24"/>
      <c r="H427" s="25" t="n">
        <f aca="false">IF(COUNT(D427:G427)=0,0,D427*IF(E427="",1,E427)*IF(F427="",1,F427)*IF(G427="",1,G427))</f>
        <v>0</v>
      </c>
      <c r="M427" s="21"/>
      <c r="N427" s="21"/>
      <c r="O427" s="21"/>
    </row>
    <row r="428" customFormat="false" ht="15" hidden="false" customHeight="true" outlineLevel="0" collapsed="false">
      <c r="C428" s="23"/>
      <c r="D428" s="24"/>
      <c r="E428" s="24"/>
      <c r="H428" s="25" t="n">
        <f aca="false">IF(COUNT(D428:G428)=0,0,D428*IF(E428="",1,E428)*IF(F428="",1,F428)*IF(G428="",1,G428))</f>
        <v>0</v>
      </c>
      <c r="M428" s="21"/>
      <c r="N428" s="21"/>
      <c r="O428" s="21"/>
    </row>
    <row r="429" customFormat="false" ht="18.75" hidden="false" customHeight="true" outlineLevel="0" collapsed="false">
      <c r="H429" s="26"/>
      <c r="I429" s="27" t="n">
        <f aca="false">ROUND(SUM(H422:H428),2)</f>
        <v>925.05</v>
      </c>
      <c r="J429" s="28" t="n">
        <v>14</v>
      </c>
      <c r="K429" s="27" t="n">
        <f aca="false">ROUND(I429*J429,2)</f>
        <v>12950.7</v>
      </c>
      <c r="L429" s="29" t="s">
        <v>138</v>
      </c>
      <c r="M429" s="21" t="s">
        <v>110</v>
      </c>
      <c r="N429" s="21" t="s">
        <v>31</v>
      </c>
      <c r="O429" s="21"/>
    </row>
    <row r="430" customFormat="false" ht="15" hidden="false" customHeight="true" outlineLevel="0" collapsed="false">
      <c r="A430" s="3" t="s">
        <v>446</v>
      </c>
      <c r="B430" s="3" t="s">
        <v>153</v>
      </c>
      <c r="C430" s="3" t="s">
        <v>447</v>
      </c>
      <c r="M430" s="21"/>
      <c r="N430" s="21"/>
      <c r="O430" s="21"/>
    </row>
    <row r="431" customFormat="false" ht="24" hidden="false" customHeight="true" outlineLevel="0" collapsed="false">
      <c r="C431" s="22" t="s">
        <v>448</v>
      </c>
      <c r="M431" s="21"/>
      <c r="N431" s="21"/>
      <c r="O431" s="21"/>
    </row>
    <row r="432" customFormat="false" ht="15" hidden="false" customHeight="true" outlineLevel="0" collapsed="false">
      <c r="C432" s="23" t="s">
        <v>214</v>
      </c>
      <c r="D432" s="24" t="n">
        <v>1</v>
      </c>
      <c r="E432" s="31" t="n">
        <f aca="false">'Mediciones BIM'!E40</f>
        <v>88.06</v>
      </c>
      <c r="G432" s="24"/>
      <c r="H432" s="25" t="n">
        <f aca="false">IF(COUNT(D432:G432)=0,0,D432*IF(E432="",1,E432)*IF(F432="",1,F432)*IF(G432="",1,G432))</f>
        <v>88.06</v>
      </c>
      <c r="M432" s="21"/>
      <c r="N432" s="21"/>
      <c r="O432" s="21"/>
    </row>
    <row r="433" customFormat="false" ht="15" hidden="false" customHeight="true" outlineLevel="0" collapsed="false">
      <c r="C433" s="23"/>
      <c r="D433" s="24"/>
      <c r="E433" s="24"/>
      <c r="G433" s="24"/>
      <c r="H433" s="25" t="n">
        <f aca="false">IF(COUNT(D433:G433)=0,0,D433*IF(E433="",1,E433)*IF(F433="",1,F433)*IF(G433="",1,G433))</f>
        <v>0</v>
      </c>
      <c r="M433" s="21"/>
      <c r="N433" s="21"/>
      <c r="O433" s="21"/>
    </row>
    <row r="434" customFormat="false" ht="15" hidden="false" customHeight="true" outlineLevel="0" collapsed="false">
      <c r="C434" s="23"/>
      <c r="D434" s="24"/>
      <c r="E434" s="24"/>
      <c r="G434" s="24"/>
      <c r="H434" s="25" t="n">
        <f aca="false">IF(COUNT(D434:G434)=0,0,D434*IF(E434="",1,E434)*IF(F434="",1,F434)*IF(G434="",1,G434))</f>
        <v>0</v>
      </c>
      <c r="M434" s="21"/>
      <c r="N434" s="21"/>
      <c r="O434" s="21"/>
    </row>
    <row r="435" customFormat="false" ht="15" hidden="false" customHeight="true" outlineLevel="0" collapsed="false">
      <c r="C435" s="23"/>
      <c r="D435" s="24"/>
      <c r="E435" s="24"/>
      <c r="G435" s="24"/>
      <c r="H435" s="25" t="n">
        <f aca="false">IF(COUNT(D435:G435)=0,0,D435*IF(E435="",1,E435)*IF(F435="",1,F435)*IF(G435="",1,G435))</f>
        <v>0</v>
      </c>
      <c r="M435" s="21"/>
      <c r="N435" s="21"/>
      <c r="O435" s="21"/>
    </row>
    <row r="436" customFormat="false" ht="15" hidden="false" customHeight="true" outlineLevel="0" collapsed="false">
      <c r="C436" s="23"/>
      <c r="D436" s="24"/>
      <c r="E436" s="24"/>
      <c r="G436" s="24"/>
      <c r="H436" s="25" t="n">
        <f aca="false">IF(COUNT(D436:G436)=0,0,D436*IF(E436="",1,E436)*IF(F436="",1,F436)*IF(G436="",1,G436))</f>
        <v>0</v>
      </c>
      <c r="M436" s="21"/>
      <c r="N436" s="21"/>
      <c r="O436" s="21"/>
    </row>
    <row r="437" customFormat="false" ht="18.75" hidden="false" customHeight="true" outlineLevel="0" collapsed="false">
      <c r="H437" s="26"/>
      <c r="I437" s="27" t="n">
        <f aca="false">ROUND(SUM(H432:H436),2)</f>
        <v>88.06</v>
      </c>
      <c r="J437" s="28" t="n">
        <v>64</v>
      </c>
      <c r="K437" s="27" t="n">
        <f aca="false">ROUND(I437*J437,2)</f>
        <v>5635.84</v>
      </c>
      <c r="L437" s="29" t="s">
        <v>138</v>
      </c>
      <c r="M437" s="21" t="s">
        <v>110</v>
      </c>
      <c r="N437" s="21" t="s">
        <v>31</v>
      </c>
      <c r="O437" s="21"/>
    </row>
    <row r="438" customFormat="false" ht="15" hidden="false" customHeight="true" outlineLevel="0" collapsed="false">
      <c r="A438" s="3" t="s">
        <v>449</v>
      </c>
      <c r="B438" s="3" t="s">
        <v>153</v>
      </c>
      <c r="C438" s="3" t="s">
        <v>450</v>
      </c>
      <c r="M438" s="21"/>
      <c r="N438" s="21"/>
      <c r="O438" s="21"/>
    </row>
    <row r="439" customFormat="false" ht="12" hidden="false" customHeight="true" outlineLevel="0" collapsed="false">
      <c r="C439" s="22" t="s">
        <v>451</v>
      </c>
      <c r="M439" s="21"/>
      <c r="N439" s="21"/>
      <c r="O439" s="21"/>
    </row>
    <row r="440" customFormat="false" ht="15" hidden="false" customHeight="true" outlineLevel="0" collapsed="false">
      <c r="C440" s="23" t="s">
        <v>179</v>
      </c>
      <c r="D440" s="24" t="n">
        <v>2</v>
      </c>
      <c r="E440" s="24" t="n">
        <v>4.2</v>
      </c>
      <c r="H440" s="25" t="n">
        <f aca="false">IF(COUNT(D440:G440)=0,0,D440*IF(E440="",1,E440)*IF(F440="",1,F440)*IF(G440="",1,G440))</f>
        <v>8.4</v>
      </c>
      <c r="M440" s="21"/>
      <c r="N440" s="21"/>
      <c r="O440" s="21"/>
    </row>
    <row r="441" customFormat="false" ht="15" hidden="false" customHeight="true" outlineLevel="0" collapsed="false">
      <c r="H441" s="26"/>
      <c r="I441" s="27" t="n">
        <f aca="false">ROUND(SUM(H440:H440),2)</f>
        <v>8.4</v>
      </c>
      <c r="J441" s="28" t="n">
        <v>54.61</v>
      </c>
      <c r="K441" s="27" t="n">
        <f aca="false">ROUND(I441*J441,2)</f>
        <v>458.72</v>
      </c>
      <c r="L441" s="29" t="s">
        <v>109</v>
      </c>
      <c r="M441" s="21" t="s">
        <v>110</v>
      </c>
      <c r="N441" s="21" t="s">
        <v>31</v>
      </c>
      <c r="O441" s="21"/>
    </row>
    <row r="442" customFormat="false" ht="15" hidden="false" customHeight="true" outlineLevel="0" collapsed="false">
      <c r="C442" s="30" t="s">
        <v>452</v>
      </c>
      <c r="K442" s="11" t="n">
        <f aca="false">SUMIFS($K$5:$K$441,$M$5:$M$441,"P",$N$5:$N$441,"11")</f>
        <v>28419.03</v>
      </c>
      <c r="M442" s="21"/>
      <c r="N442" s="21"/>
      <c r="O442" s="21"/>
    </row>
    <row r="443" customFormat="false" ht="15" hidden="false" customHeight="true" outlineLevel="0" collapsed="false">
      <c r="M443" s="21"/>
      <c r="N443" s="21"/>
      <c r="O443" s="21"/>
    </row>
    <row r="444" customFormat="false" ht="15" hidden="false" customHeight="true" outlineLevel="0" collapsed="false">
      <c r="A444" s="19" t="s">
        <v>33</v>
      </c>
      <c r="B444" s="20"/>
      <c r="C444" s="19" t="s">
        <v>34</v>
      </c>
      <c r="D444" s="20"/>
      <c r="E444" s="20"/>
      <c r="F444" s="20"/>
      <c r="G444" s="20"/>
      <c r="H444" s="20"/>
      <c r="I444" s="20"/>
      <c r="J444" s="20"/>
      <c r="K444" s="20"/>
      <c r="L444" s="20"/>
      <c r="M444" s="21" t="s">
        <v>103</v>
      </c>
      <c r="N444" s="21" t="s">
        <v>33</v>
      </c>
      <c r="O444" s="21"/>
    </row>
    <row r="445" customFormat="false" ht="15" hidden="false" customHeight="true" outlineLevel="0" collapsed="false">
      <c r="A445" s="3" t="s">
        <v>453</v>
      </c>
      <c r="B445" s="3" t="s">
        <v>105</v>
      </c>
      <c r="C445" s="3" t="s">
        <v>454</v>
      </c>
      <c r="M445" s="21"/>
      <c r="N445" s="21"/>
      <c r="O445" s="21"/>
    </row>
    <row r="446" customFormat="false" ht="24" hidden="false" customHeight="true" outlineLevel="0" collapsed="false">
      <c r="C446" s="22" t="s">
        <v>455</v>
      </c>
      <c r="M446" s="21"/>
      <c r="N446" s="21"/>
      <c r="O446" s="21"/>
    </row>
    <row r="447" customFormat="false" ht="15" hidden="false" customHeight="true" outlineLevel="0" collapsed="false">
      <c r="C447" s="23" t="s">
        <v>207</v>
      </c>
      <c r="D447" s="24" t="n">
        <v>1</v>
      </c>
      <c r="E447" s="32" t="n">
        <f aca="false">'Mediciones BIM'!E41</f>
        <v>8</v>
      </c>
      <c r="H447" s="25" t="n">
        <f aca="false">IF(COUNT(D447:G447)=0,0,D447*IF(E447="",1,E447)*IF(F447="",1,F447)*IF(G447="",1,G447))</f>
        <v>8</v>
      </c>
      <c r="M447" s="21"/>
      <c r="N447" s="21"/>
      <c r="O447" s="21"/>
    </row>
    <row r="448" customFormat="false" ht="15" hidden="false" customHeight="true" outlineLevel="0" collapsed="false">
      <c r="H448" s="26"/>
      <c r="I448" s="27" t="n">
        <f aca="false">ROUND(SUM(H447:H447),2)</f>
        <v>8</v>
      </c>
      <c r="J448" s="28" t="n">
        <v>899.66</v>
      </c>
      <c r="K448" s="27" t="n">
        <f aca="false">ROUND(I448*J448,2)</f>
        <v>7197.28</v>
      </c>
      <c r="L448" s="29" t="s">
        <v>109</v>
      </c>
      <c r="M448" s="21" t="s">
        <v>110</v>
      </c>
      <c r="N448" s="21" t="s">
        <v>33</v>
      </c>
      <c r="O448" s="21"/>
    </row>
    <row r="449" customFormat="false" ht="15" hidden="false" customHeight="true" outlineLevel="0" collapsed="false">
      <c r="A449" s="3" t="s">
        <v>456</v>
      </c>
      <c r="B449" s="3" t="s">
        <v>105</v>
      </c>
      <c r="C449" s="3" t="s">
        <v>457</v>
      </c>
      <c r="M449" s="21"/>
      <c r="N449" s="21"/>
      <c r="O449" s="21"/>
    </row>
    <row r="450" customFormat="false" ht="24" hidden="false" customHeight="true" outlineLevel="0" collapsed="false">
      <c r="C450" s="22" t="s">
        <v>458</v>
      </c>
      <c r="M450" s="21"/>
      <c r="N450" s="21"/>
      <c r="O450" s="21"/>
    </row>
    <row r="451" customFormat="false" ht="15" hidden="false" customHeight="true" outlineLevel="0" collapsed="false">
      <c r="C451" s="23" t="s">
        <v>207</v>
      </c>
      <c r="D451" s="24" t="n">
        <v>1</v>
      </c>
      <c r="E451" s="32" t="n">
        <f aca="false">'Mediciones BIM'!E42</f>
        <v>1</v>
      </c>
      <c r="H451" s="25" t="n">
        <f aca="false">IF(COUNT(D451:G451)=0,0,D451*IF(E451="",1,E451)*IF(F451="",1,F451)*IF(G451="",1,G451))</f>
        <v>1</v>
      </c>
      <c r="M451" s="21"/>
      <c r="N451" s="21"/>
      <c r="O451" s="21"/>
    </row>
    <row r="452" customFormat="false" ht="18.75" hidden="false" customHeight="true" outlineLevel="0" collapsed="false">
      <c r="H452" s="26"/>
      <c r="I452" s="27" t="n">
        <f aca="false">ROUND(SUM(H451:H451),2)</f>
        <v>1</v>
      </c>
      <c r="J452" s="28" t="n">
        <v>1650</v>
      </c>
      <c r="K452" s="27" t="n">
        <f aca="false">ROUND(I452*J452,2)</f>
        <v>1650</v>
      </c>
      <c r="L452" s="29" t="s">
        <v>138</v>
      </c>
      <c r="M452" s="21" t="s">
        <v>110</v>
      </c>
      <c r="N452" s="21" t="s">
        <v>33</v>
      </c>
      <c r="O452" s="21"/>
    </row>
    <row r="453" customFormat="false" ht="15" hidden="false" customHeight="true" outlineLevel="0" collapsed="false">
      <c r="A453" s="3" t="s">
        <v>459</v>
      </c>
      <c r="B453" s="3" t="s">
        <v>105</v>
      </c>
      <c r="C453" s="3" t="s">
        <v>460</v>
      </c>
      <c r="M453" s="21"/>
      <c r="N453" s="21"/>
      <c r="O453" s="21"/>
    </row>
    <row r="454" customFormat="false" ht="36" hidden="false" customHeight="true" outlineLevel="0" collapsed="false">
      <c r="C454" s="22" t="s">
        <v>461</v>
      </c>
      <c r="M454" s="21"/>
      <c r="N454" s="21"/>
      <c r="O454" s="21"/>
    </row>
    <row r="455" customFormat="false" ht="15" hidden="false" customHeight="true" outlineLevel="0" collapsed="false">
      <c r="C455" s="23" t="s">
        <v>207</v>
      </c>
      <c r="D455" s="24" t="n">
        <v>1</v>
      </c>
      <c r="E455" s="32" t="n">
        <f aca="false">'Mediciones BIM'!E43</f>
        <v>1</v>
      </c>
      <c r="H455" s="25" t="n">
        <f aca="false">IF(COUNT(D455:G455)=0,0,D455*IF(E455="",1,E455)*IF(F455="",1,F455)*IF(G455="",1,G455))</f>
        <v>1</v>
      </c>
      <c r="M455" s="21"/>
      <c r="N455" s="21"/>
      <c r="O455" s="21"/>
    </row>
    <row r="456" customFormat="false" ht="18.75" hidden="false" customHeight="true" outlineLevel="0" collapsed="false">
      <c r="H456" s="26"/>
      <c r="I456" s="27" t="n">
        <f aca="false">ROUND(SUM(H455:H455),2)</f>
        <v>1</v>
      </c>
      <c r="J456" s="28" t="n">
        <v>1250</v>
      </c>
      <c r="K456" s="27" t="n">
        <f aca="false">ROUND(I456*J456,2)</f>
        <v>1250</v>
      </c>
      <c r="L456" s="29" t="s">
        <v>138</v>
      </c>
      <c r="M456" s="21" t="s">
        <v>110</v>
      </c>
      <c r="N456" s="21" t="s">
        <v>33</v>
      </c>
      <c r="O456" s="21"/>
    </row>
    <row r="457" customFormat="false" ht="15" hidden="false" customHeight="true" outlineLevel="0" collapsed="false">
      <c r="A457" s="3" t="s">
        <v>462</v>
      </c>
      <c r="B457" s="3" t="s">
        <v>105</v>
      </c>
      <c r="C457" s="3" t="s">
        <v>463</v>
      </c>
      <c r="M457" s="21"/>
      <c r="N457" s="21"/>
      <c r="O457" s="21"/>
    </row>
    <row r="458" customFormat="false" ht="36" hidden="false" customHeight="true" outlineLevel="0" collapsed="false">
      <c r="C458" s="22" t="s">
        <v>464</v>
      </c>
      <c r="M458" s="21"/>
      <c r="N458" s="21"/>
      <c r="O458" s="21"/>
    </row>
    <row r="459" customFormat="false" ht="15" hidden="false" customHeight="true" outlineLevel="0" collapsed="false">
      <c r="C459" s="23" t="s">
        <v>465</v>
      </c>
      <c r="D459" s="24" t="n">
        <v>8</v>
      </c>
      <c r="H459" s="25" t="n">
        <f aca="false">IF(COUNT(D459:G459)=0,0,D459*IF(E459="",1,E459)*IF(F459="",1,F459)*IF(G459="",1,G459))</f>
        <v>8</v>
      </c>
      <c r="M459" s="21"/>
      <c r="N459" s="21"/>
      <c r="O459" s="21"/>
    </row>
    <row r="460" customFormat="false" ht="15" hidden="false" customHeight="true" outlineLevel="0" collapsed="false">
      <c r="H460" s="26"/>
      <c r="I460" s="27" t="n">
        <f aca="false">ROUND(SUM(H459:H459),2)</f>
        <v>8</v>
      </c>
      <c r="J460" s="28" t="n">
        <v>59.18</v>
      </c>
      <c r="K460" s="27" t="n">
        <f aca="false">ROUND(I460*J460,2)</f>
        <v>473.44</v>
      </c>
      <c r="L460" s="29" t="s">
        <v>109</v>
      </c>
      <c r="M460" s="21" t="s">
        <v>110</v>
      </c>
      <c r="N460" s="21" t="s">
        <v>33</v>
      </c>
      <c r="O460" s="21"/>
    </row>
    <row r="461" customFormat="false" ht="15" hidden="false" customHeight="true" outlineLevel="0" collapsed="false">
      <c r="C461" s="30" t="s">
        <v>466</v>
      </c>
      <c r="K461" s="11" t="n">
        <f aca="false">SUMIFS($K$5:$K$460,$M$5:$M$460,"P",$N$5:$N$460,"12")</f>
        <v>10570.72</v>
      </c>
      <c r="M461" s="21"/>
      <c r="N461" s="21"/>
      <c r="O461" s="21"/>
    </row>
    <row r="462" customFormat="false" ht="15" hidden="false" customHeight="true" outlineLevel="0" collapsed="false">
      <c r="M462" s="21"/>
      <c r="N462" s="21"/>
      <c r="O462" s="21"/>
    </row>
    <row r="463" customFormat="false" ht="15" hidden="false" customHeight="true" outlineLevel="0" collapsed="false">
      <c r="A463" s="19" t="s">
        <v>35</v>
      </c>
      <c r="B463" s="20"/>
      <c r="C463" s="19" t="s">
        <v>36</v>
      </c>
      <c r="D463" s="20"/>
      <c r="E463" s="20"/>
      <c r="F463" s="20"/>
      <c r="G463" s="20"/>
      <c r="H463" s="20"/>
      <c r="I463" s="20"/>
      <c r="J463" s="20"/>
      <c r="K463" s="20"/>
      <c r="L463" s="20"/>
      <c r="M463" s="21" t="s">
        <v>103</v>
      </c>
      <c r="N463" s="21" t="s">
        <v>35</v>
      </c>
      <c r="O463" s="21"/>
    </row>
    <row r="464" customFormat="false" ht="15" hidden="false" customHeight="true" outlineLevel="0" collapsed="false">
      <c r="A464" s="3" t="s">
        <v>467</v>
      </c>
      <c r="B464" s="3" t="s">
        <v>105</v>
      </c>
      <c r="C464" s="3" t="s">
        <v>468</v>
      </c>
      <c r="M464" s="21"/>
      <c r="N464" s="21"/>
      <c r="O464" s="21"/>
    </row>
    <row r="465" customFormat="false" ht="60" hidden="false" customHeight="true" outlineLevel="0" collapsed="false">
      <c r="C465" s="22" t="s">
        <v>469</v>
      </c>
      <c r="M465" s="21"/>
      <c r="N465" s="21"/>
      <c r="O465" s="21"/>
    </row>
    <row r="466" customFormat="false" ht="15" hidden="false" customHeight="true" outlineLevel="0" collapsed="false">
      <c r="C466" s="23" t="s">
        <v>207</v>
      </c>
      <c r="D466" s="24" t="n">
        <v>1</v>
      </c>
      <c r="E466" s="32" t="n">
        <f aca="false">'Mediciones BIM'!E44</f>
        <v>4</v>
      </c>
      <c r="H466" s="25" t="n">
        <f aca="false">IF(COUNT(D466:G466)=0,0,D466*IF(E466="",1,E466)*IF(F466="",1,F466)*IF(G466="",1,G466))</f>
        <v>4</v>
      </c>
      <c r="M466" s="21"/>
      <c r="N466" s="21"/>
      <c r="O466" s="21"/>
    </row>
    <row r="467" customFormat="false" ht="18.75" hidden="false" customHeight="true" outlineLevel="0" collapsed="false">
      <c r="H467" s="26"/>
      <c r="I467" s="27" t="n">
        <f aca="false">ROUND(SUM(H466:H466),2)</f>
        <v>4</v>
      </c>
      <c r="J467" s="28" t="n">
        <v>1809.53</v>
      </c>
      <c r="K467" s="27" t="n">
        <f aca="false">ROUND(I467*J467,2)</f>
        <v>7238.12</v>
      </c>
      <c r="L467" s="29" t="s">
        <v>138</v>
      </c>
      <c r="M467" s="21" t="s">
        <v>110</v>
      </c>
      <c r="N467" s="21" t="s">
        <v>35</v>
      </c>
      <c r="O467" s="21"/>
    </row>
    <row r="468" customFormat="false" ht="15" hidden="false" customHeight="true" outlineLevel="0" collapsed="false">
      <c r="A468" s="3" t="s">
        <v>470</v>
      </c>
      <c r="B468" s="3" t="s">
        <v>105</v>
      </c>
      <c r="C468" s="3" t="s">
        <v>471</v>
      </c>
      <c r="M468" s="21"/>
      <c r="N468" s="21"/>
      <c r="O468" s="21"/>
    </row>
    <row r="469" customFormat="false" ht="60" hidden="false" customHeight="true" outlineLevel="0" collapsed="false">
      <c r="C469" s="22" t="s">
        <v>472</v>
      </c>
      <c r="M469" s="21"/>
      <c r="N469" s="21"/>
      <c r="O469" s="21"/>
    </row>
    <row r="470" customFormat="false" ht="15" hidden="false" customHeight="true" outlineLevel="0" collapsed="false">
      <c r="C470" s="23" t="s">
        <v>207</v>
      </c>
      <c r="D470" s="24" t="n">
        <v>1</v>
      </c>
      <c r="E470" s="32" t="n">
        <f aca="false">'Mediciones BIM'!E45</f>
        <v>3</v>
      </c>
      <c r="H470" s="25" t="n">
        <f aca="false">IF(COUNT(D470:G470)=0,0,D470*IF(E470="",1,E470)*IF(F470="",1,F470)*IF(G470="",1,G470))</f>
        <v>3</v>
      </c>
      <c r="M470" s="21"/>
      <c r="N470" s="21"/>
      <c r="O470" s="21"/>
    </row>
    <row r="471" customFormat="false" ht="18.75" hidden="false" customHeight="true" outlineLevel="0" collapsed="false">
      <c r="H471" s="26"/>
      <c r="I471" s="27" t="n">
        <f aca="false">ROUND(SUM(H470:H470),2)</f>
        <v>3</v>
      </c>
      <c r="J471" s="28" t="n">
        <v>2097.6</v>
      </c>
      <c r="K471" s="27" t="n">
        <f aca="false">ROUND(I471*J471,2)</f>
        <v>6292.8</v>
      </c>
      <c r="L471" s="29" t="s">
        <v>138</v>
      </c>
      <c r="M471" s="21" t="s">
        <v>110</v>
      </c>
      <c r="N471" s="21" t="s">
        <v>35</v>
      </c>
      <c r="O471" s="21"/>
    </row>
    <row r="472" customFormat="false" ht="15" hidden="false" customHeight="true" outlineLevel="0" collapsed="false">
      <c r="A472" s="3" t="s">
        <v>473</v>
      </c>
      <c r="B472" s="3" t="s">
        <v>105</v>
      </c>
      <c r="C472" s="3" t="s">
        <v>474</v>
      </c>
      <c r="M472" s="21"/>
      <c r="N472" s="21"/>
      <c r="O472" s="21"/>
    </row>
    <row r="473" customFormat="false" ht="60" hidden="false" customHeight="true" outlineLevel="0" collapsed="false">
      <c r="C473" s="22" t="s">
        <v>475</v>
      </c>
      <c r="M473" s="21"/>
      <c r="N473" s="21"/>
      <c r="O473" s="21"/>
    </row>
    <row r="474" customFormat="false" ht="15" hidden="false" customHeight="true" outlineLevel="0" collapsed="false">
      <c r="C474" s="23" t="s">
        <v>207</v>
      </c>
      <c r="D474" s="24" t="n">
        <v>1</v>
      </c>
      <c r="E474" s="32" t="n">
        <f aca="false">'Mediciones BIM'!E46</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631.56</v>
      </c>
      <c r="K475" s="27" t="n">
        <f aca="false">ROUND(I475*J475,2)</f>
        <v>631.56</v>
      </c>
      <c r="L475" s="29" t="s">
        <v>138</v>
      </c>
      <c r="M475" s="21" t="s">
        <v>110</v>
      </c>
      <c r="N475" s="21" t="s">
        <v>35</v>
      </c>
      <c r="O475" s="21"/>
    </row>
    <row r="476" customFormat="false" ht="15" hidden="false" customHeight="true" outlineLevel="0" collapsed="false">
      <c r="A476" s="3" t="s">
        <v>476</v>
      </c>
      <c r="B476" s="3" t="s">
        <v>105</v>
      </c>
      <c r="C476" s="3" t="s">
        <v>477</v>
      </c>
      <c r="M476" s="21"/>
      <c r="N476" s="21"/>
      <c r="O476" s="21"/>
    </row>
    <row r="477" customFormat="false" ht="60" hidden="false" customHeight="true" outlineLevel="0" collapsed="false">
      <c r="C477" s="22" t="s">
        <v>478</v>
      </c>
      <c r="M477" s="21"/>
      <c r="N477" s="21"/>
      <c r="O477" s="21"/>
    </row>
    <row r="478" customFormat="false" ht="15" hidden="false" customHeight="true" outlineLevel="0" collapsed="false">
      <c r="C478" s="23" t="s">
        <v>207</v>
      </c>
      <c r="D478" s="24" t="n">
        <v>1</v>
      </c>
      <c r="E478" s="32" t="n">
        <f aca="false">'Mediciones BIM'!E47</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3281.6</v>
      </c>
      <c r="K479" s="27" t="n">
        <f aca="false">ROUND(I479*J479,2)</f>
        <v>6563.2</v>
      </c>
      <c r="L479" s="29" t="s">
        <v>138</v>
      </c>
      <c r="M479" s="21" t="s">
        <v>110</v>
      </c>
      <c r="N479" s="21" t="s">
        <v>35</v>
      </c>
      <c r="O479" s="21"/>
    </row>
    <row r="480" customFormat="false" ht="15" hidden="false" customHeight="true" outlineLevel="0" collapsed="false">
      <c r="A480" s="3" t="s">
        <v>479</v>
      </c>
      <c r="B480" s="3" t="s">
        <v>105</v>
      </c>
      <c r="C480" s="3" t="s">
        <v>480</v>
      </c>
      <c r="M480" s="21"/>
      <c r="N480" s="21"/>
      <c r="O480" s="21"/>
    </row>
    <row r="481" customFormat="false" ht="60" hidden="false" customHeight="true" outlineLevel="0" collapsed="false">
      <c r="C481" s="22" t="s">
        <v>481</v>
      </c>
      <c r="M481" s="21"/>
      <c r="N481" s="21"/>
      <c r="O481" s="21"/>
    </row>
    <row r="482" customFormat="false" ht="15" hidden="false" customHeight="true" outlineLevel="0" collapsed="false">
      <c r="C482" s="23" t="s">
        <v>207</v>
      </c>
      <c r="D482" s="24" t="n">
        <v>1</v>
      </c>
      <c r="E482" s="32" t="n">
        <f aca="false">'Mediciones BIM'!E48</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3528</v>
      </c>
      <c r="K483" s="27" t="n">
        <f aca="false">ROUND(I483*J483,2)</f>
        <v>3528</v>
      </c>
      <c r="L483" s="29" t="s">
        <v>138</v>
      </c>
      <c r="M483" s="21" t="s">
        <v>110</v>
      </c>
      <c r="N483" s="21" t="s">
        <v>35</v>
      </c>
      <c r="O483" s="21"/>
    </row>
    <row r="484" customFormat="false" ht="15" hidden="false" customHeight="true" outlineLevel="0" collapsed="false">
      <c r="A484" s="3" t="s">
        <v>482</v>
      </c>
      <c r="B484" s="3" t="s">
        <v>105</v>
      </c>
      <c r="C484" s="3" t="s">
        <v>483</v>
      </c>
      <c r="M484" s="21"/>
      <c r="N484" s="21"/>
      <c r="O484" s="21"/>
    </row>
    <row r="485" customFormat="false" ht="60" hidden="false" customHeight="true" outlineLevel="0" collapsed="false">
      <c r="C485" s="22" t="s">
        <v>484</v>
      </c>
      <c r="M485" s="21"/>
      <c r="N485" s="21"/>
      <c r="O485" s="21"/>
    </row>
    <row r="486" customFormat="false" ht="15" hidden="false" customHeight="true" outlineLevel="0" collapsed="false">
      <c r="C486" s="23" t="s">
        <v>207</v>
      </c>
      <c r="D486" s="24" t="n">
        <v>1</v>
      </c>
      <c r="E486" s="32" t="n">
        <f aca="false">'Mediciones BIM'!E49</f>
        <v>2</v>
      </c>
      <c r="H486" s="25" t="n">
        <f aca="false">IF(COUNT(D486:G486)=0,0,D486*IF(E486="",1,E486)*IF(F486="",1,F486)*IF(G486="",1,G486))</f>
        <v>2</v>
      </c>
      <c r="M486" s="21"/>
      <c r="N486" s="21"/>
      <c r="O486" s="21"/>
    </row>
    <row r="487" customFormat="false" ht="18.75" hidden="false" customHeight="true" outlineLevel="0" collapsed="false">
      <c r="H487" s="26"/>
      <c r="I487" s="27" t="n">
        <f aca="false">ROUND(SUM(H486:H486),2)</f>
        <v>2</v>
      </c>
      <c r="J487" s="28" t="n">
        <v>483.41</v>
      </c>
      <c r="K487" s="27" t="n">
        <f aca="false">ROUND(I487*J487,2)</f>
        <v>966.82</v>
      </c>
      <c r="L487" s="29" t="s">
        <v>138</v>
      </c>
      <c r="M487" s="21" t="s">
        <v>110</v>
      </c>
      <c r="N487" s="21" t="s">
        <v>35</v>
      </c>
      <c r="O487" s="21"/>
    </row>
    <row r="488" customFormat="false" ht="15" hidden="false" customHeight="true" outlineLevel="0" collapsed="false">
      <c r="A488" s="3" t="s">
        <v>485</v>
      </c>
      <c r="B488" s="3" t="s">
        <v>105</v>
      </c>
      <c r="C488" s="3" t="s">
        <v>486</v>
      </c>
      <c r="M488" s="21"/>
      <c r="N488" s="21"/>
      <c r="O488" s="21"/>
    </row>
    <row r="489" customFormat="false" ht="60" hidden="false" customHeight="true" outlineLevel="0" collapsed="false">
      <c r="C489" s="22" t="s">
        <v>487</v>
      </c>
      <c r="M489" s="21"/>
      <c r="N489" s="21"/>
      <c r="O489" s="21"/>
    </row>
    <row r="490" customFormat="false" ht="15" hidden="false" customHeight="true" outlineLevel="0" collapsed="false">
      <c r="C490" s="23" t="s">
        <v>207</v>
      </c>
      <c r="D490" s="24" t="n">
        <v>1</v>
      </c>
      <c r="E490" s="32" t="n">
        <f aca="false">'Mediciones BIM'!E50</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545.79</v>
      </c>
      <c r="K491" s="27" t="n">
        <f aca="false">ROUND(I491*J491,2)</f>
        <v>545.79</v>
      </c>
      <c r="L491" s="29" t="s">
        <v>138</v>
      </c>
      <c r="M491" s="21" t="s">
        <v>110</v>
      </c>
      <c r="N491" s="21" t="s">
        <v>35</v>
      </c>
      <c r="O491" s="21"/>
    </row>
    <row r="492" customFormat="false" ht="15" hidden="false" customHeight="true" outlineLevel="0" collapsed="false">
      <c r="A492" s="3" t="s">
        <v>488</v>
      </c>
      <c r="B492" s="3" t="s">
        <v>105</v>
      </c>
      <c r="C492" s="3" t="s">
        <v>489</v>
      </c>
      <c r="M492" s="21"/>
      <c r="N492" s="21"/>
      <c r="O492" s="21"/>
    </row>
    <row r="493" customFormat="false" ht="60" hidden="false" customHeight="true" outlineLevel="0" collapsed="false">
      <c r="C493" s="22" t="s">
        <v>490</v>
      </c>
      <c r="M493" s="21"/>
      <c r="N493" s="21"/>
      <c r="O493" s="21"/>
    </row>
    <row r="494" customFormat="false" ht="15" hidden="false" customHeight="true" outlineLevel="0" collapsed="false">
      <c r="C494" s="23" t="s">
        <v>207</v>
      </c>
      <c r="D494" s="24" t="n">
        <v>1</v>
      </c>
      <c r="E494" s="32" t="n">
        <f aca="false">'Mediciones BIM'!E51</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1787.1</v>
      </c>
      <c r="K495" s="27" t="n">
        <f aca="false">ROUND(I495*J495,2)</f>
        <v>1787.1</v>
      </c>
      <c r="L495" s="29" t="s">
        <v>138</v>
      </c>
      <c r="M495" s="21" t="s">
        <v>110</v>
      </c>
      <c r="N495" s="21" t="s">
        <v>35</v>
      </c>
      <c r="O495" s="21"/>
    </row>
    <row r="496" customFormat="false" ht="15" hidden="false" customHeight="true" outlineLevel="0" collapsed="false">
      <c r="A496" s="3" t="s">
        <v>491</v>
      </c>
      <c r="B496" s="3" t="s">
        <v>105</v>
      </c>
      <c r="C496" s="3" t="s">
        <v>492</v>
      </c>
      <c r="M496" s="21"/>
      <c r="N496" s="21"/>
      <c r="O496" s="21"/>
    </row>
    <row r="497" customFormat="false" ht="60" hidden="false" customHeight="true" outlineLevel="0" collapsed="false">
      <c r="C497" s="22" t="s">
        <v>493</v>
      </c>
      <c r="M497" s="21"/>
      <c r="N497" s="21"/>
      <c r="O497" s="21"/>
    </row>
    <row r="498" customFormat="false" ht="15" hidden="false" customHeight="true" outlineLevel="0" collapsed="false">
      <c r="C498" s="23" t="s">
        <v>207</v>
      </c>
      <c r="D498" s="24" t="n">
        <v>1</v>
      </c>
      <c r="E498" s="32" t="n">
        <f aca="false">'Mediciones BIM'!E52</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4092</v>
      </c>
      <c r="K499" s="27" t="n">
        <f aca="false">ROUND(I499*J499,2)</f>
        <v>4092</v>
      </c>
      <c r="L499" s="29" t="s">
        <v>138</v>
      </c>
      <c r="M499" s="21" t="s">
        <v>110</v>
      </c>
      <c r="N499" s="21" t="s">
        <v>35</v>
      </c>
      <c r="O499" s="21"/>
    </row>
    <row r="500" customFormat="false" ht="15" hidden="false" customHeight="true" outlineLevel="0" collapsed="false">
      <c r="A500" s="3" t="s">
        <v>494</v>
      </c>
      <c r="B500" s="3" t="s">
        <v>105</v>
      </c>
      <c r="C500" s="3" t="s">
        <v>495</v>
      </c>
      <c r="M500" s="21"/>
      <c r="N500" s="21"/>
      <c r="O500" s="21"/>
    </row>
    <row r="501" customFormat="false" ht="60" hidden="false" customHeight="true" outlineLevel="0" collapsed="false">
      <c r="C501" s="22" t="s">
        <v>496</v>
      </c>
      <c r="M501" s="21"/>
      <c r="N501" s="21"/>
      <c r="O501" s="21"/>
    </row>
    <row r="502" customFormat="false" ht="15" hidden="false" customHeight="true" outlineLevel="0" collapsed="false">
      <c r="C502" s="23" t="s">
        <v>207</v>
      </c>
      <c r="D502" s="24" t="n">
        <v>1</v>
      </c>
      <c r="E502" s="32" t="n">
        <f aca="false">'Mediciones BIM'!E53</f>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2660</v>
      </c>
      <c r="K503" s="27" t="n">
        <f aca="false">ROUND(I503*J503,2)</f>
        <v>2660</v>
      </c>
      <c r="L503" s="29" t="s">
        <v>138</v>
      </c>
      <c r="M503" s="21" t="s">
        <v>110</v>
      </c>
      <c r="N503" s="21" t="s">
        <v>35</v>
      </c>
      <c r="O503" s="21"/>
    </row>
    <row r="504" customFormat="false" ht="15" hidden="false" customHeight="true" outlineLevel="0" collapsed="false">
      <c r="A504" s="3" t="s">
        <v>497</v>
      </c>
      <c r="B504" s="3" t="s">
        <v>105</v>
      </c>
      <c r="C504" s="3" t="s">
        <v>498</v>
      </c>
      <c r="M504" s="21"/>
      <c r="N504" s="21"/>
      <c r="O504" s="21"/>
    </row>
    <row r="505" customFormat="false" ht="60" hidden="false" customHeight="true" outlineLevel="0" collapsed="false">
      <c r="C505" s="22" t="s">
        <v>499</v>
      </c>
      <c r="M505" s="21"/>
      <c r="N505" s="21"/>
      <c r="O505" s="21"/>
    </row>
    <row r="506" customFormat="false" ht="15" hidden="false" customHeight="true" outlineLevel="0" collapsed="false">
      <c r="C506" s="23" t="s">
        <v>207</v>
      </c>
      <c r="D506" s="24" t="n">
        <v>1</v>
      </c>
      <c r="E506" s="32" t="n">
        <f aca="false">'Mediciones BIM'!E54</f>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1428.3</v>
      </c>
      <c r="K507" s="27" t="n">
        <f aca="false">ROUND(I507*J507,2)</f>
        <v>1428.3</v>
      </c>
      <c r="L507" s="29" t="s">
        <v>138</v>
      </c>
      <c r="M507" s="21" t="s">
        <v>110</v>
      </c>
      <c r="N507" s="21" t="s">
        <v>35</v>
      </c>
      <c r="O507" s="21"/>
    </row>
    <row r="508" customFormat="false" ht="15" hidden="false" customHeight="true" outlineLevel="0" collapsed="false">
      <c r="A508" s="3" t="s">
        <v>500</v>
      </c>
      <c r="B508" s="3" t="s">
        <v>105</v>
      </c>
      <c r="C508" s="3" t="s">
        <v>501</v>
      </c>
      <c r="M508" s="21"/>
      <c r="N508" s="21"/>
      <c r="O508" s="21"/>
    </row>
    <row r="509" customFormat="false" ht="24" hidden="false" customHeight="true" outlineLevel="0" collapsed="false">
      <c r="C509" s="22" t="s">
        <v>502</v>
      </c>
      <c r="M509" s="21"/>
      <c r="N509" s="21"/>
      <c r="O509" s="21"/>
    </row>
    <row r="510" customFormat="false" ht="15" hidden="false" customHeight="true" outlineLevel="0" collapsed="false">
      <c r="C510" s="23" t="s">
        <v>503</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2300</v>
      </c>
      <c r="K511" s="27" t="n">
        <f aca="false">ROUND(I511*J511,2)</f>
        <v>2300</v>
      </c>
      <c r="L511" s="29" t="s">
        <v>138</v>
      </c>
      <c r="M511" s="21" t="s">
        <v>110</v>
      </c>
      <c r="N511" s="21" t="s">
        <v>35</v>
      </c>
      <c r="O511" s="21"/>
    </row>
    <row r="512" customFormat="false" ht="15" hidden="false" customHeight="true" outlineLevel="0" collapsed="false">
      <c r="A512" s="3" t="s">
        <v>504</v>
      </c>
      <c r="B512" s="3" t="s">
        <v>105</v>
      </c>
      <c r="C512" s="3" t="s">
        <v>505</v>
      </c>
      <c r="M512" s="21"/>
      <c r="N512" s="21"/>
      <c r="O512" s="21"/>
    </row>
    <row r="513" customFormat="false" ht="24" hidden="false" customHeight="true" outlineLevel="0" collapsed="false">
      <c r="C513" s="22" t="s">
        <v>506</v>
      </c>
      <c r="M513" s="21"/>
      <c r="N513" s="21"/>
      <c r="O513" s="21"/>
    </row>
    <row r="514" customFormat="false" ht="15" hidden="false" customHeight="true" outlineLevel="0" collapsed="false">
      <c r="C514" s="23" t="s">
        <v>292</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3500</v>
      </c>
      <c r="K515" s="27" t="n">
        <f aca="false">ROUND(I515*J515,2)</f>
        <v>3500</v>
      </c>
      <c r="L515" s="29" t="s">
        <v>138</v>
      </c>
      <c r="M515" s="21" t="s">
        <v>110</v>
      </c>
      <c r="N515" s="21" t="s">
        <v>35</v>
      </c>
      <c r="O515" s="21"/>
    </row>
    <row r="516" customFormat="false" ht="15" hidden="false" customHeight="true" outlineLevel="0" collapsed="false">
      <c r="A516" s="3" t="s">
        <v>507</v>
      </c>
      <c r="B516" s="3" t="s">
        <v>105</v>
      </c>
      <c r="C516" s="3" t="s">
        <v>508</v>
      </c>
      <c r="M516" s="21"/>
      <c r="N516" s="21"/>
      <c r="O516" s="21"/>
    </row>
    <row r="517" customFormat="false" ht="36" hidden="false" customHeight="true" outlineLevel="0" collapsed="false">
      <c r="C517" s="22" t="s">
        <v>509</v>
      </c>
      <c r="M517" s="21"/>
      <c r="N517" s="21"/>
      <c r="O517" s="21"/>
    </row>
    <row r="518" customFormat="false" ht="15" hidden="false" customHeight="true" outlineLevel="0" collapsed="false">
      <c r="C518" s="23" t="s">
        <v>293</v>
      </c>
      <c r="D518" s="24" t="n">
        <v>1</v>
      </c>
      <c r="H518" s="25" t="n">
        <f aca="false">IF(COUNT(D518:G518)=0,0,D518*IF(E518="",1,E518)*IF(F518="",1,F518)*IF(G518="",1,G518))</f>
        <v>1</v>
      </c>
      <c r="M518" s="21"/>
      <c r="N518" s="21"/>
      <c r="O518" s="21"/>
    </row>
    <row r="519" customFormat="false" ht="18.75" hidden="false" customHeight="true" outlineLevel="0" collapsed="false">
      <c r="H519" s="26"/>
      <c r="I519" s="27" t="n">
        <f aca="false">ROUND(SUM(H518:H518),2)</f>
        <v>1</v>
      </c>
      <c r="J519" s="28" t="n">
        <v>6900</v>
      </c>
      <c r="K519" s="27" t="n">
        <f aca="false">ROUND(I519*J519,2)</f>
        <v>6900</v>
      </c>
      <c r="L519" s="29" t="s">
        <v>138</v>
      </c>
      <c r="M519" s="21" t="s">
        <v>110</v>
      </c>
      <c r="N519" s="21" t="s">
        <v>35</v>
      </c>
      <c r="O519" s="21"/>
    </row>
    <row r="520" customFormat="false" ht="15" hidden="false" customHeight="true" outlineLevel="0" collapsed="false">
      <c r="A520" s="3" t="s">
        <v>510</v>
      </c>
      <c r="B520" s="3" t="s">
        <v>105</v>
      </c>
      <c r="C520" s="3" t="s">
        <v>511</v>
      </c>
      <c r="M520" s="21"/>
      <c r="N520" s="21"/>
      <c r="O520" s="21"/>
    </row>
    <row r="521" customFormat="false" ht="36" hidden="false" customHeight="true" outlineLevel="0" collapsed="false">
      <c r="C521" s="22" t="s">
        <v>512</v>
      </c>
      <c r="M521" s="21"/>
      <c r="N521" s="21"/>
      <c r="O521" s="21"/>
    </row>
    <row r="522" customFormat="false" ht="15" hidden="false" customHeight="true" outlineLevel="0" collapsed="false">
      <c r="C522" s="23" t="s">
        <v>513</v>
      </c>
      <c r="D522" s="24" t="n">
        <v>1</v>
      </c>
      <c r="H522" s="25" t="n">
        <f aca="false">IF(COUNT(D522:G522)=0,0,D522*IF(E522="",1,E522)*IF(F522="",1,F522)*IF(G522="",1,G522))</f>
        <v>1</v>
      </c>
      <c r="M522" s="21"/>
      <c r="N522" s="21"/>
      <c r="O522" s="21"/>
    </row>
    <row r="523" customFormat="false" ht="18.75" hidden="false" customHeight="true" outlineLevel="0" collapsed="false">
      <c r="H523" s="26"/>
      <c r="I523" s="27" t="n">
        <f aca="false">ROUND(SUM(H522:H522),2)</f>
        <v>1</v>
      </c>
      <c r="J523" s="28" t="n">
        <v>3234</v>
      </c>
      <c r="K523" s="27" t="n">
        <f aca="false">ROUND(I523*J523,2)</f>
        <v>3234</v>
      </c>
      <c r="L523" s="29" t="s">
        <v>514</v>
      </c>
      <c r="M523" s="21" t="s">
        <v>110</v>
      </c>
      <c r="N523" s="21" t="s">
        <v>35</v>
      </c>
      <c r="O523" s="21"/>
    </row>
    <row r="524" customFormat="false" ht="15" hidden="false" customHeight="true" outlineLevel="0" collapsed="false">
      <c r="A524" s="3" t="s">
        <v>515</v>
      </c>
      <c r="B524" s="3" t="s">
        <v>158</v>
      </c>
      <c r="C524" s="3" t="s">
        <v>516</v>
      </c>
      <c r="M524" s="21"/>
      <c r="N524" s="21"/>
      <c r="O524" s="21"/>
    </row>
    <row r="525" customFormat="false" ht="60" hidden="false" customHeight="true" outlineLevel="0" collapsed="false">
      <c r="C525" s="22" t="s">
        <v>517</v>
      </c>
      <c r="M525" s="21"/>
      <c r="N525" s="21"/>
      <c r="O525" s="21"/>
    </row>
    <row r="526" customFormat="false" ht="15" hidden="false" customHeight="true" outlineLevel="0" collapsed="false">
      <c r="C526" s="23" t="s">
        <v>518</v>
      </c>
      <c r="D526" s="24" t="n">
        <v>1</v>
      </c>
      <c r="E526" s="24" t="n">
        <v>12</v>
      </c>
      <c r="H526" s="25" t="n">
        <f aca="false">IF(COUNT(D526:G526)=0,0,D526*IF(E526="",1,E526)*IF(F526="",1,F526)*IF(G526="",1,G526))</f>
        <v>12</v>
      </c>
      <c r="M526" s="21"/>
      <c r="N526" s="21"/>
      <c r="O526" s="21"/>
    </row>
    <row r="527" customFormat="false" ht="15" hidden="false" customHeight="true" outlineLevel="0" collapsed="false">
      <c r="C527" s="23" t="s">
        <v>519</v>
      </c>
      <c r="D527" s="24" t="n">
        <v>1</v>
      </c>
      <c r="E527" s="24" t="n">
        <v>9</v>
      </c>
      <c r="H527" s="25" t="n">
        <f aca="false">IF(COUNT(D527:G527)=0,0,D527*IF(E527="",1,E527)*IF(F527="",1,F527)*IF(G527="",1,G527))</f>
        <v>9</v>
      </c>
      <c r="M527" s="21"/>
      <c r="N527" s="21"/>
      <c r="O527" s="21"/>
    </row>
    <row r="528" customFormat="false" ht="15" hidden="false" customHeight="true" outlineLevel="0" collapsed="false">
      <c r="H528" s="26"/>
      <c r="I528" s="27" t="n">
        <f aca="false">ROUND(SUM(H526:H527),2)</f>
        <v>21</v>
      </c>
      <c r="J528" s="28" t="n">
        <v>59.37</v>
      </c>
      <c r="K528" s="27" t="n">
        <f aca="false">ROUND(I528*J528,2)</f>
        <v>1246.77</v>
      </c>
      <c r="L528" s="29" t="s">
        <v>109</v>
      </c>
      <c r="M528" s="21" t="s">
        <v>110</v>
      </c>
      <c r="N528" s="21" t="s">
        <v>35</v>
      </c>
      <c r="O528" s="21"/>
    </row>
    <row r="529" customFormat="false" ht="15" hidden="false" customHeight="true" outlineLevel="0" collapsed="false">
      <c r="C529" s="30" t="s">
        <v>520</v>
      </c>
      <c r="K529" s="11" t="n">
        <f aca="false">SUMIFS($K$5:$K$528,$M$5:$M$528,"P",$N$5:$N$528,"13")</f>
        <v>52914.46</v>
      </c>
      <c r="M529" s="21"/>
      <c r="N529" s="21"/>
      <c r="O529" s="21"/>
    </row>
    <row r="530" customFormat="false" ht="15" hidden="false" customHeight="true" outlineLevel="0" collapsed="false">
      <c r="M530" s="21"/>
      <c r="N530" s="21"/>
      <c r="O530" s="21"/>
    </row>
    <row r="531" customFormat="false" ht="15" hidden="false" customHeight="true" outlineLevel="0" collapsed="false">
      <c r="A531" s="19" t="s">
        <v>37</v>
      </c>
      <c r="B531" s="20"/>
      <c r="C531" s="19" t="s">
        <v>38</v>
      </c>
      <c r="D531" s="20"/>
      <c r="E531" s="20"/>
      <c r="F531" s="20"/>
      <c r="G531" s="20"/>
      <c r="H531" s="20"/>
      <c r="I531" s="20"/>
      <c r="J531" s="20"/>
      <c r="K531" s="20"/>
      <c r="L531" s="20"/>
      <c r="M531" s="21" t="s">
        <v>103</v>
      </c>
      <c r="N531" s="21" t="s">
        <v>37</v>
      </c>
      <c r="O531" s="21"/>
    </row>
    <row r="532" customFormat="false" ht="15" hidden="false" customHeight="true" outlineLevel="0" collapsed="false">
      <c r="A532" s="3" t="s">
        <v>521</v>
      </c>
      <c r="B532" s="3" t="s">
        <v>153</v>
      </c>
      <c r="C532" s="3" t="s">
        <v>522</v>
      </c>
      <c r="M532" s="21"/>
      <c r="N532" s="21"/>
      <c r="O532" s="21"/>
    </row>
    <row r="533" customFormat="false" ht="24" hidden="false" customHeight="true" outlineLevel="0" collapsed="false">
      <c r="C533" s="22" t="s">
        <v>523</v>
      </c>
      <c r="M533" s="21"/>
      <c r="N533" s="21"/>
      <c r="O533" s="21"/>
    </row>
    <row r="534" customFormat="false" ht="15" hidden="false" customHeight="true" outlineLevel="0" collapsed="false">
      <c r="C534" s="23" t="s">
        <v>290</v>
      </c>
      <c r="D534" s="24" t="n">
        <v>1</v>
      </c>
      <c r="E534" s="24" t="n">
        <v>10.49</v>
      </c>
      <c r="H534" s="25" t="n">
        <f aca="false">IF(COUNT(D534:G534)=0,0,D534*IF(E534="",1,E534)*IF(F534="",1,F534)*IF(G534="",1,G534))</f>
        <v>10.49</v>
      </c>
      <c r="M534" s="21"/>
      <c r="N534" s="21"/>
      <c r="O534" s="21"/>
    </row>
    <row r="535" customFormat="false" ht="15" hidden="false" customHeight="true" outlineLevel="0" collapsed="false">
      <c r="C535" s="23" t="s">
        <v>291</v>
      </c>
      <c r="D535" s="24" t="n">
        <v>1</v>
      </c>
      <c r="E535" s="24" t="n">
        <v>9.12</v>
      </c>
      <c r="H535" s="25" t="n">
        <f aca="false">IF(COUNT(D535:G535)=0,0,D535*IF(E535="",1,E535)*IF(F535="",1,F535)*IF(G535="",1,G535))</f>
        <v>9.12</v>
      </c>
      <c r="M535" s="21"/>
      <c r="N535" s="21"/>
      <c r="O535" s="21"/>
    </row>
    <row r="536" customFormat="false" ht="18.75" hidden="false" customHeight="true" outlineLevel="0" collapsed="false">
      <c r="H536" s="26"/>
      <c r="I536" s="27" t="n">
        <f aca="false">ROUND(SUM(H534:H535),2)</f>
        <v>19.61</v>
      </c>
      <c r="J536" s="28" t="n">
        <v>430</v>
      </c>
      <c r="K536" s="27" t="n">
        <f aca="false">ROUND(I536*J536,2)</f>
        <v>8432.3</v>
      </c>
      <c r="L536" s="29" t="s">
        <v>138</v>
      </c>
      <c r="M536" s="21" t="s">
        <v>110</v>
      </c>
      <c r="N536" s="21" t="s">
        <v>37</v>
      </c>
      <c r="O536" s="21"/>
    </row>
    <row r="537" customFormat="false" ht="15" hidden="false" customHeight="true" outlineLevel="0" collapsed="false">
      <c r="A537" s="3" t="s">
        <v>524</v>
      </c>
      <c r="B537" s="3" t="s">
        <v>105</v>
      </c>
      <c r="C537" s="3" t="s">
        <v>525</v>
      </c>
      <c r="M537" s="21"/>
      <c r="N537" s="21"/>
      <c r="O537" s="21"/>
    </row>
    <row r="538" customFormat="false" ht="24" hidden="false" customHeight="true" outlineLevel="0" collapsed="false">
      <c r="C538" s="22" t="s">
        <v>526</v>
      </c>
      <c r="M538" s="21"/>
      <c r="N538" s="21"/>
      <c r="O538" s="21"/>
    </row>
    <row r="539" customFormat="false" ht="15" hidden="false" customHeight="true" outlineLevel="0" collapsed="false">
      <c r="C539" s="23" t="s">
        <v>527</v>
      </c>
      <c r="D539" s="24" t="n">
        <v>1</v>
      </c>
      <c r="H539" s="25" t="n">
        <f aca="false">IF(COUNT(D539:G539)=0,0,D539*IF(E539="",1,E539)*IF(F539="",1,F539)*IF(G539="",1,G539))</f>
        <v>1</v>
      </c>
      <c r="M539" s="21"/>
      <c r="N539" s="21"/>
      <c r="O539" s="21"/>
    </row>
    <row r="540" customFormat="false" ht="15" hidden="false" customHeight="true" outlineLevel="0" collapsed="false">
      <c r="C540" s="23" t="s">
        <v>528</v>
      </c>
      <c r="D540" s="24" t="n">
        <v>1</v>
      </c>
      <c r="H540" s="25" t="n">
        <f aca="false">IF(COUNT(D540:G540)=0,0,D540*IF(E540="",1,E540)*IF(F540="",1,F540)*IF(G540="",1,G540))</f>
        <v>1</v>
      </c>
      <c r="M540" s="21"/>
      <c r="N540" s="21"/>
      <c r="O540" s="21"/>
    </row>
    <row r="541" customFormat="false" ht="15" hidden="false" customHeight="true" outlineLevel="0" collapsed="false">
      <c r="C541" s="23" t="s">
        <v>529</v>
      </c>
      <c r="D541" s="24" t="n">
        <v>0</v>
      </c>
      <c r="H541" s="25" t="n">
        <f aca="false">IF(COUNT(D541:G541)=0,0,D541*IF(E541="",1,E541)*IF(F541="",1,F541)*IF(G541="",1,G541))</f>
        <v>0</v>
      </c>
      <c r="M541" s="21"/>
      <c r="N541" s="21"/>
      <c r="O541" s="21"/>
    </row>
    <row r="542" customFormat="false" ht="18.75" hidden="false" customHeight="true" outlineLevel="0" collapsed="false">
      <c r="H542" s="26"/>
      <c r="I542" s="27" t="n">
        <f aca="false">ROUND(SUM(H539:H541),2)</f>
        <v>2</v>
      </c>
      <c r="J542" s="28" t="n">
        <v>780</v>
      </c>
      <c r="K542" s="27" t="n">
        <f aca="false">ROUND(I542*J542,2)</f>
        <v>1560</v>
      </c>
      <c r="L542" s="29" t="s">
        <v>138</v>
      </c>
      <c r="M542" s="21" t="s">
        <v>110</v>
      </c>
      <c r="N542" s="21" t="s">
        <v>37</v>
      </c>
      <c r="O542" s="21"/>
    </row>
    <row r="543" customFormat="false" ht="15" hidden="false" customHeight="true" outlineLevel="0" collapsed="false">
      <c r="A543" s="3" t="s">
        <v>530</v>
      </c>
      <c r="B543" s="3" t="s">
        <v>158</v>
      </c>
      <c r="C543" s="3" t="s">
        <v>531</v>
      </c>
      <c r="M543" s="21"/>
      <c r="N543" s="21"/>
      <c r="O543" s="21"/>
    </row>
    <row r="544" customFormat="false" ht="36" hidden="false" customHeight="true" outlineLevel="0" collapsed="false">
      <c r="C544" s="22" t="s">
        <v>532</v>
      </c>
      <c r="M544" s="21"/>
      <c r="N544" s="21"/>
      <c r="O544" s="21"/>
    </row>
    <row r="545" customFormat="false" ht="15" hidden="false" customHeight="true" outlineLevel="0" collapsed="false">
      <c r="C545" s="23" t="s">
        <v>274</v>
      </c>
      <c r="D545" s="24" t="n">
        <v>1</v>
      </c>
      <c r="E545" s="31" t="n">
        <f aca="false">'Mediciones BIM'!E55</f>
        <v>24.08</v>
      </c>
      <c r="H545" s="25" t="n">
        <f aca="false">IF(COUNT(D545:G545)=0,0,D545*IF(E545="",1,E545)*IF(F545="",1,F545)*IF(G545="",1,G545))</f>
        <v>24.08</v>
      </c>
      <c r="M545" s="21"/>
      <c r="N545" s="21"/>
      <c r="O545" s="21"/>
    </row>
    <row r="546" customFormat="false" ht="15" hidden="false" customHeight="true" outlineLevel="0" collapsed="false">
      <c r="C546" s="23"/>
      <c r="D546" s="24"/>
      <c r="E546" s="24"/>
      <c r="H546" s="25" t="n">
        <f aca="false">IF(COUNT(D546:G546)=0,0,D546*IF(E546="",1,E546)*IF(F546="",1,F546)*IF(G546="",1,G546))</f>
        <v>0</v>
      </c>
      <c r="M546" s="21"/>
      <c r="N546" s="21"/>
      <c r="O546" s="21"/>
    </row>
    <row r="547" customFormat="false" ht="15" hidden="false" customHeight="true" outlineLevel="0" collapsed="false">
      <c r="C547" s="23"/>
      <c r="D547" s="24"/>
      <c r="E547" s="24"/>
      <c r="H547" s="25" t="n">
        <f aca="false">IF(COUNT(D547:G547)=0,0,D547*IF(E547="",1,E547)*IF(F547="",1,F547)*IF(G547="",1,G547))</f>
        <v>0</v>
      </c>
      <c r="M547" s="21"/>
      <c r="N547" s="21"/>
      <c r="O547" s="21"/>
    </row>
    <row r="548" customFormat="false" ht="18.75" hidden="false" customHeight="true" outlineLevel="0" collapsed="false">
      <c r="H548" s="26"/>
      <c r="I548" s="27" t="n">
        <f aca="false">ROUND(SUM(H545:H547),2)</f>
        <v>24.08</v>
      </c>
      <c r="J548" s="28" t="n">
        <v>215</v>
      </c>
      <c r="K548" s="27" t="n">
        <f aca="false">ROUND(I548*J548,2)</f>
        <v>5177.2</v>
      </c>
      <c r="L548" s="29" t="s">
        <v>138</v>
      </c>
      <c r="M548" s="21" t="s">
        <v>110</v>
      </c>
      <c r="N548" s="21" t="s">
        <v>37</v>
      </c>
      <c r="O548" s="21"/>
    </row>
    <row r="549" customFormat="false" ht="15" hidden="false" customHeight="true" outlineLevel="0" collapsed="false">
      <c r="A549" s="3" t="s">
        <v>533</v>
      </c>
      <c r="B549" s="3" t="s">
        <v>105</v>
      </c>
      <c r="C549" s="3" t="s">
        <v>534</v>
      </c>
      <c r="M549" s="21"/>
      <c r="N549" s="21"/>
      <c r="O549" s="21"/>
    </row>
    <row r="550" customFormat="false" ht="24" hidden="false" customHeight="true" outlineLevel="0" collapsed="false">
      <c r="C550" s="22" t="s">
        <v>535</v>
      </c>
      <c r="M550" s="21"/>
      <c r="N550" s="21"/>
      <c r="O550" s="21"/>
    </row>
    <row r="551" customFormat="false" ht="15" hidden="false" customHeight="true" outlineLevel="0" collapsed="false">
      <c r="C551" s="23" t="s">
        <v>207</v>
      </c>
      <c r="D551" s="24" t="n">
        <v>1</v>
      </c>
      <c r="E551" s="32" t="n">
        <f aca="false">'Mediciones BIM'!E56</f>
        <v>7</v>
      </c>
      <c r="H551" s="25" t="n">
        <f aca="false">IF(COUNT(D551:G551)=0,0,D551*IF(E551="",1,E551)*IF(F551="",1,F551)*IF(G551="",1,G551))</f>
        <v>7</v>
      </c>
      <c r="M551" s="21"/>
      <c r="N551" s="21"/>
      <c r="O551" s="21"/>
    </row>
    <row r="552" customFormat="false" ht="18.75" hidden="false" customHeight="true" outlineLevel="0" collapsed="false">
      <c r="H552" s="26"/>
      <c r="I552" s="27" t="n">
        <f aca="false">ROUND(SUM(H551:H551),2)</f>
        <v>7</v>
      </c>
      <c r="J552" s="28" t="n">
        <v>480</v>
      </c>
      <c r="K552" s="27" t="n">
        <f aca="false">ROUND(I552*J552,2)</f>
        <v>3360</v>
      </c>
      <c r="L552" s="29" t="s">
        <v>138</v>
      </c>
      <c r="M552" s="21" t="s">
        <v>110</v>
      </c>
      <c r="N552" s="21" t="s">
        <v>37</v>
      </c>
      <c r="O552" s="21"/>
    </row>
    <row r="553" customFormat="false" ht="15" hidden="false" customHeight="true" outlineLevel="0" collapsed="false">
      <c r="A553" s="3" t="s">
        <v>536</v>
      </c>
      <c r="B553" s="3" t="s">
        <v>158</v>
      </c>
      <c r="C553" s="3" t="s">
        <v>537</v>
      </c>
      <c r="M553" s="21"/>
      <c r="N553" s="21"/>
      <c r="O553" s="21"/>
    </row>
    <row r="554" customFormat="false" ht="12" hidden="false" customHeight="true" outlineLevel="0" collapsed="false">
      <c r="C554" s="22" t="s">
        <v>538</v>
      </c>
      <c r="M554" s="21"/>
      <c r="N554" s="21"/>
      <c r="O554" s="21"/>
    </row>
    <row r="555" customFormat="false" ht="15" hidden="false" customHeight="true" outlineLevel="0" collapsed="false">
      <c r="C555" s="23" t="s">
        <v>539</v>
      </c>
      <c r="D555" s="24" t="n">
        <v>1</v>
      </c>
      <c r="E555" s="24" t="n">
        <v>8.43</v>
      </c>
      <c r="H555" s="25" t="n">
        <f aca="false">IF(COUNT(D555:G555)=0,0,D555*IF(E555="",1,E555)*IF(F555="",1,F555)*IF(G555="",1,G555))</f>
        <v>8.43</v>
      </c>
      <c r="M555" s="21"/>
      <c r="N555" s="21"/>
      <c r="O555" s="21"/>
    </row>
    <row r="556" customFormat="false" ht="18.75" hidden="false" customHeight="true" outlineLevel="0" collapsed="false">
      <c r="H556" s="26"/>
      <c r="I556" s="27" t="n">
        <f aca="false">ROUND(SUM(H555:H555),2)</f>
        <v>8.43</v>
      </c>
      <c r="J556" s="28" t="n">
        <v>165</v>
      </c>
      <c r="K556" s="27" t="n">
        <f aca="false">ROUND(I556*J556,2)</f>
        <v>1390.95</v>
      </c>
      <c r="L556" s="29" t="s">
        <v>138</v>
      </c>
      <c r="M556" s="21" t="s">
        <v>110</v>
      </c>
      <c r="N556" s="21" t="s">
        <v>37</v>
      </c>
      <c r="O556" s="21"/>
    </row>
    <row r="557" customFormat="false" ht="18.75" hidden="false" customHeight="true" outlineLevel="0" collapsed="false">
      <c r="A557" s="33" t="s">
        <v>540</v>
      </c>
      <c r="B557" s="3" t="s">
        <v>105</v>
      </c>
      <c r="C557" s="3" t="s">
        <v>541</v>
      </c>
      <c r="M557" s="21"/>
      <c r="N557" s="21"/>
      <c r="O557" s="21"/>
    </row>
    <row r="558" customFormat="false" ht="18.75" hidden="false" customHeight="true" outlineLevel="0" collapsed="false">
      <c r="C558" s="22" t="s">
        <v>542</v>
      </c>
      <c r="M558" s="21"/>
      <c r="N558" s="21"/>
      <c r="O558" s="21"/>
    </row>
    <row r="559" customFormat="false" ht="18.75" hidden="false" customHeight="true" outlineLevel="0" collapsed="false">
      <c r="C559" s="23" t="s">
        <v>543</v>
      </c>
      <c r="D559" s="24" t="n">
        <v>0</v>
      </c>
      <c r="E559" s="24"/>
      <c r="H559" s="25" t="n">
        <f aca="false">IF(COUNT(D559:G559)=0,0,D559*IF(E559="",1,E559)*IF(F559="",1,F559)*IF(G559="",1,G559))</f>
        <v>0</v>
      </c>
      <c r="M559" s="21"/>
      <c r="N559" s="21"/>
      <c r="O559" s="21"/>
    </row>
    <row r="560" customFormat="false" ht="18.75" hidden="false" customHeight="true" outlineLevel="0" collapsed="false">
      <c r="H560" s="26"/>
      <c r="I560" s="27" t="n">
        <f aca="false">ROUND(SUM(H559:H559),2)</f>
        <v>0</v>
      </c>
      <c r="J560" s="28" t="n">
        <v>1450</v>
      </c>
      <c r="K560" s="27" t="n">
        <f aca="false">ROUND(I560*J560,2)</f>
        <v>0</v>
      </c>
      <c r="L560" s="29" t="s">
        <v>544</v>
      </c>
      <c r="M560" s="21" t="s">
        <v>110</v>
      </c>
      <c r="N560" s="21" t="s">
        <v>37</v>
      </c>
      <c r="O560" s="21"/>
    </row>
    <row r="561" customFormat="false" ht="15" hidden="false" customHeight="true" outlineLevel="0" collapsed="false">
      <c r="C561" s="30" t="s">
        <v>545</v>
      </c>
      <c r="K561" s="11" t="n">
        <f aca="false">SUMIFS($K$5:$K$560,$M$5:$M$560,"P",$N$5:$N$560,"14")</f>
        <v>19920.45</v>
      </c>
      <c r="M561" s="21"/>
      <c r="N561" s="21"/>
      <c r="O561" s="21"/>
    </row>
    <row r="562" customFormat="false" ht="15" hidden="false" customHeight="true" outlineLevel="0" collapsed="false">
      <c r="M562" s="21"/>
      <c r="N562" s="21"/>
      <c r="O562" s="21"/>
    </row>
    <row r="563" customFormat="false" ht="15" hidden="false" customHeight="true" outlineLevel="0" collapsed="false">
      <c r="A563" s="19" t="s">
        <v>39</v>
      </c>
      <c r="B563" s="20"/>
      <c r="C563" s="19" t="s">
        <v>40</v>
      </c>
      <c r="D563" s="20"/>
      <c r="E563" s="20"/>
      <c r="F563" s="20"/>
      <c r="G563" s="20"/>
      <c r="H563" s="20"/>
      <c r="I563" s="20"/>
      <c r="J563" s="20"/>
      <c r="K563" s="20"/>
      <c r="L563" s="20"/>
      <c r="M563" s="21" t="s">
        <v>103</v>
      </c>
      <c r="N563" s="21" t="s">
        <v>39</v>
      </c>
      <c r="O563" s="21"/>
    </row>
    <row r="564" customFormat="false" ht="15" hidden="false" customHeight="true" outlineLevel="0" collapsed="false">
      <c r="A564" s="3" t="s">
        <v>546</v>
      </c>
      <c r="B564" s="3" t="s">
        <v>153</v>
      </c>
      <c r="C564" s="3" t="s">
        <v>547</v>
      </c>
      <c r="M564" s="21"/>
      <c r="N564" s="21"/>
      <c r="O564" s="21"/>
    </row>
    <row r="565" customFormat="false" ht="96" hidden="false" customHeight="true" outlineLevel="0" collapsed="false">
      <c r="C565" s="22" t="s">
        <v>548</v>
      </c>
      <c r="M565" s="21"/>
      <c r="N565" s="21"/>
      <c r="O565" s="21"/>
    </row>
    <row r="566" customFormat="false" ht="15" hidden="false" customHeight="true" outlineLevel="0" collapsed="false">
      <c r="C566" s="23" t="s">
        <v>214</v>
      </c>
      <c r="D566" s="24" t="n">
        <v>1</v>
      </c>
      <c r="E566" s="31" t="n">
        <f aca="false">'Mediciones BIM'!E57</f>
        <v>1013.81</v>
      </c>
      <c r="H566" s="25" t="n">
        <f aca="false">IF(COUNT(D566:G566)=0,0,D566*IF(E566="",1,E566)*IF(F566="",1,F566)*IF(G566="",1,G566))</f>
        <v>1013.81</v>
      </c>
      <c r="M566" s="21"/>
      <c r="N566" s="21"/>
      <c r="O566" s="21"/>
    </row>
    <row r="567" customFormat="false" ht="15" hidden="false" customHeight="true" outlineLevel="0" collapsed="false">
      <c r="C567" s="23"/>
      <c r="D567" s="24"/>
      <c r="E567" s="24"/>
      <c r="H567" s="25" t="n">
        <f aca="false">IF(COUNT(D567:G567)=0,0,D567*IF(E567="",1,E567)*IF(F567="",1,F567)*IF(G567="",1,G567))</f>
        <v>0</v>
      </c>
      <c r="M567" s="21"/>
      <c r="N567" s="21"/>
      <c r="O567" s="21"/>
    </row>
    <row r="568" customFormat="false" ht="15" hidden="false" customHeight="true" outlineLevel="0" collapsed="false">
      <c r="H568" s="26"/>
      <c r="I568" s="27" t="n">
        <f aca="false">ROUND(SUM(H566:H567),2)</f>
        <v>1013.81</v>
      </c>
      <c r="J568" s="28" t="n">
        <v>6.37</v>
      </c>
      <c r="K568" s="27" t="n">
        <f aca="false">ROUND(I568*J568,2)</f>
        <v>6457.97</v>
      </c>
      <c r="L568" s="29" t="s">
        <v>109</v>
      </c>
      <c r="M568" s="21" t="s">
        <v>110</v>
      </c>
      <c r="N568" s="21" t="s">
        <v>39</v>
      </c>
      <c r="O568" s="21"/>
    </row>
    <row r="569" customFormat="false" ht="15" hidden="false" customHeight="true" outlineLevel="0" collapsed="false">
      <c r="A569" s="3" t="s">
        <v>549</v>
      </c>
      <c r="B569" s="3" t="s">
        <v>329</v>
      </c>
      <c r="C569" s="3" t="s">
        <v>550</v>
      </c>
      <c r="M569" s="21"/>
      <c r="N569" s="21"/>
      <c r="O569" s="21"/>
    </row>
    <row r="570" customFormat="false" ht="36" hidden="false" customHeight="true" outlineLevel="0" collapsed="false">
      <c r="C570" s="22" t="s">
        <v>551</v>
      </c>
      <c r="M570" s="21"/>
      <c r="N570" s="21"/>
      <c r="O570" s="21"/>
    </row>
    <row r="571" customFormat="false" ht="15" hidden="false" customHeight="true" outlineLevel="0" collapsed="false">
      <c r="C571" s="23" t="s">
        <v>214</v>
      </c>
      <c r="D571" s="24" t="n">
        <v>1</v>
      </c>
      <c r="E571" s="31" t="n">
        <f aca="false">'Mediciones BIM'!E58</f>
        <v>317.11</v>
      </c>
      <c r="H571" s="25" t="n">
        <f aca="false">IF(COUNT(D571:G571)=0,0,D571*IF(E571="",1,E571)*IF(F571="",1,F571)*IF(G571="",1,G571))</f>
        <v>317.11</v>
      </c>
      <c r="M571" s="21"/>
      <c r="N571" s="21"/>
      <c r="O571" s="21"/>
    </row>
    <row r="572" customFormat="false" ht="15" hidden="false" customHeight="true" outlineLevel="0" collapsed="false">
      <c r="H572" s="26"/>
      <c r="I572" s="27" t="n">
        <f aca="false">ROUND(SUM(H571:H571),2)</f>
        <v>317.11</v>
      </c>
      <c r="J572" s="28" t="n">
        <v>7.55</v>
      </c>
      <c r="K572" s="27" t="n">
        <f aca="false">ROUND(I572*J572,2)</f>
        <v>2394.18</v>
      </c>
      <c r="L572" s="29" t="s">
        <v>109</v>
      </c>
      <c r="M572" s="21" t="s">
        <v>110</v>
      </c>
      <c r="N572" s="21" t="s">
        <v>39</v>
      </c>
      <c r="O572" s="21"/>
    </row>
    <row r="573" customFormat="false" ht="15" hidden="false" customHeight="true" outlineLevel="0" collapsed="false">
      <c r="C573" s="30" t="s">
        <v>552</v>
      </c>
      <c r="K573" s="11" t="n">
        <f aca="false">SUMIFS($K$5:$K$572,$M$5:$M$572,"P",$N$5:$N$572,"15")</f>
        <v>8852.15</v>
      </c>
      <c r="M573" s="21"/>
      <c r="N573" s="21"/>
      <c r="O573" s="21"/>
    </row>
    <row r="574" customFormat="false" ht="15" hidden="false" customHeight="true" outlineLevel="0" collapsed="false">
      <c r="M574" s="21"/>
      <c r="N574" s="21"/>
      <c r="O574" s="21"/>
    </row>
    <row r="575" customFormat="false" ht="15" hidden="false" customHeight="true" outlineLevel="0" collapsed="false">
      <c r="A575" s="19" t="s">
        <v>41</v>
      </c>
      <c r="B575" s="20"/>
      <c r="C575" s="19" t="s">
        <v>42</v>
      </c>
      <c r="D575" s="20"/>
      <c r="E575" s="20"/>
      <c r="F575" s="20"/>
      <c r="G575" s="20"/>
      <c r="H575" s="20"/>
      <c r="I575" s="20"/>
      <c r="J575" s="20"/>
      <c r="K575" s="20"/>
      <c r="L575" s="20"/>
      <c r="M575" s="21" t="s">
        <v>103</v>
      </c>
      <c r="N575" s="21" t="s">
        <v>41</v>
      </c>
      <c r="O575" s="21"/>
    </row>
    <row r="576" customFormat="false" ht="15" hidden="false" customHeight="true" outlineLevel="0" collapsed="false">
      <c r="A576" s="3" t="s">
        <v>553</v>
      </c>
      <c r="C576" s="3" t="s">
        <v>554</v>
      </c>
      <c r="M576" s="21" t="s">
        <v>194</v>
      </c>
      <c r="N576" s="21" t="s">
        <v>41</v>
      </c>
      <c r="O576" s="21" t="s">
        <v>553</v>
      </c>
    </row>
    <row r="577" customFormat="false" ht="15" hidden="false" customHeight="true" outlineLevel="0" collapsed="false">
      <c r="A577" s="3" t="s">
        <v>555</v>
      </c>
      <c r="B577" s="3" t="s">
        <v>556</v>
      </c>
      <c r="C577" s="3" t="s">
        <v>557</v>
      </c>
      <c r="M577" s="21"/>
      <c r="N577" s="21"/>
      <c r="O577" s="21"/>
    </row>
    <row r="578" customFormat="false" ht="288" hidden="false" customHeight="true" outlineLevel="0" collapsed="false">
      <c r="C578" s="22" t="s">
        <v>558</v>
      </c>
      <c r="M578" s="21"/>
      <c r="N578" s="21"/>
      <c r="O578" s="21"/>
    </row>
    <row r="579" customFormat="false" ht="15" hidden="false" customHeight="true" outlineLevel="0" collapsed="false">
      <c r="C579" s="23" t="s">
        <v>559</v>
      </c>
      <c r="D579" s="24" t="n">
        <v>1</v>
      </c>
      <c r="H579" s="25" t="n">
        <f aca="false">IF(COUNT(D579:G579)=0,0,D579*IF(E579="",1,E579)*IF(F579="",1,F579)*IF(G579="",1,G579))</f>
        <v>1</v>
      </c>
      <c r="M579" s="21"/>
      <c r="N579" s="21"/>
      <c r="O579" s="21"/>
    </row>
    <row r="580" customFormat="false" ht="15" hidden="false" customHeight="true" outlineLevel="0" collapsed="false">
      <c r="H580" s="26"/>
      <c r="I580" s="27" t="n">
        <f aca="false">ROUND(SUM(H579:H579),2)</f>
        <v>1</v>
      </c>
      <c r="J580" s="28" t="n">
        <v>974.39</v>
      </c>
      <c r="K580" s="27" t="n">
        <f aca="false">ROUND(I580*J580,2)</f>
        <v>974.39</v>
      </c>
      <c r="L580" s="29" t="s">
        <v>109</v>
      </c>
      <c r="M580" s="21" t="s">
        <v>110</v>
      </c>
      <c r="N580" s="21" t="s">
        <v>41</v>
      </c>
      <c r="O580" s="21" t="s">
        <v>553</v>
      </c>
    </row>
    <row r="581" customFormat="false" ht="15" hidden="false" customHeight="true" outlineLevel="0" collapsed="false">
      <c r="A581" s="3" t="s">
        <v>560</v>
      </c>
      <c r="B581" s="3" t="s">
        <v>556</v>
      </c>
      <c r="C581" s="3" t="s">
        <v>561</v>
      </c>
      <c r="M581" s="21"/>
      <c r="N581" s="21"/>
      <c r="O581" s="21"/>
    </row>
    <row r="582" customFormat="false" ht="132" hidden="false" customHeight="true" outlineLevel="0" collapsed="false">
      <c r="C582" s="22" t="s">
        <v>562</v>
      </c>
      <c r="M582" s="21"/>
      <c r="N582" s="21"/>
      <c r="O582" s="21"/>
    </row>
    <row r="583" customFormat="false" ht="15" hidden="false" customHeight="true" outlineLevel="0" collapsed="false">
      <c r="C583" s="23" t="s">
        <v>108</v>
      </c>
      <c r="D583" s="24" t="n">
        <v>1</v>
      </c>
      <c r="H583" s="25" t="n">
        <f aca="false">IF(COUNT(D583:G583)=0,0,D583*IF(E583="",1,E583)*IF(F583="",1,F583)*IF(G583="",1,G583))</f>
        <v>1</v>
      </c>
      <c r="M583" s="21"/>
      <c r="N583" s="21"/>
      <c r="O583" s="21"/>
    </row>
    <row r="584" customFormat="false" ht="15" hidden="false" customHeight="true" outlineLevel="0" collapsed="false">
      <c r="H584" s="26"/>
      <c r="I584" s="27" t="n">
        <f aca="false">ROUND(SUM(H583:H583),2)</f>
        <v>1</v>
      </c>
      <c r="J584" s="28" t="n">
        <v>1303.21</v>
      </c>
      <c r="K584" s="27" t="n">
        <f aca="false">ROUND(I584*J584,2)</f>
        <v>1303.21</v>
      </c>
      <c r="L584" s="29" t="s">
        <v>109</v>
      </c>
      <c r="M584" s="21" t="s">
        <v>110</v>
      </c>
      <c r="N584" s="21" t="s">
        <v>41</v>
      </c>
      <c r="O584" s="21" t="s">
        <v>553</v>
      </c>
    </row>
    <row r="585" customFormat="false" ht="15" hidden="false" customHeight="true" outlineLevel="0" collapsed="false">
      <c r="A585" s="3" t="s">
        <v>563</v>
      </c>
      <c r="B585" s="3" t="s">
        <v>564</v>
      </c>
      <c r="C585" s="3" t="s">
        <v>565</v>
      </c>
      <c r="M585" s="21"/>
      <c r="N585" s="21"/>
      <c r="O585" s="21"/>
    </row>
    <row r="586" customFormat="false" ht="168" hidden="false" customHeight="true" outlineLevel="0" collapsed="false">
      <c r="C586" s="22" t="s">
        <v>566</v>
      </c>
      <c r="M586" s="21"/>
      <c r="N586" s="21"/>
      <c r="O586" s="21"/>
    </row>
    <row r="587" customFormat="false" ht="15" hidden="false" customHeight="true" outlineLevel="0" collapsed="false">
      <c r="C587" s="23" t="s">
        <v>567</v>
      </c>
      <c r="D587" s="24" t="n">
        <v>1</v>
      </c>
      <c r="E587" s="24" t="n">
        <v>10</v>
      </c>
      <c r="H587" s="25" t="n">
        <f aca="false">IF(COUNT(D587:G587)=0,0,D587*IF(E587="",1,E587)*IF(F587="",1,F587)*IF(G587="",1,G587))</f>
        <v>10</v>
      </c>
      <c r="M587" s="21"/>
      <c r="N587" s="21"/>
      <c r="O587" s="21"/>
    </row>
    <row r="588" customFormat="false" ht="15" hidden="false" customHeight="true" outlineLevel="0" collapsed="false">
      <c r="H588" s="26"/>
      <c r="I588" s="27" t="n">
        <f aca="false">ROUND(SUM(H587:H587),2)</f>
        <v>10</v>
      </c>
      <c r="J588" s="28" t="n">
        <v>59.77</v>
      </c>
      <c r="K588" s="27" t="n">
        <f aca="false">ROUND(I588*J588,2)</f>
        <v>597.7</v>
      </c>
      <c r="L588" s="29" t="s">
        <v>109</v>
      </c>
      <c r="M588" s="21" t="s">
        <v>110</v>
      </c>
      <c r="N588" s="21" t="s">
        <v>41</v>
      </c>
      <c r="O588" s="21" t="s">
        <v>553</v>
      </c>
    </row>
    <row r="589" customFormat="false" ht="15" hidden="false" customHeight="true" outlineLevel="0" collapsed="false">
      <c r="A589" s="3" t="s">
        <v>568</v>
      </c>
      <c r="B589" s="3" t="s">
        <v>556</v>
      </c>
      <c r="C589" s="3" t="s">
        <v>569</v>
      </c>
      <c r="M589" s="21"/>
      <c r="N589" s="21"/>
      <c r="O589" s="21"/>
    </row>
    <row r="590" customFormat="false" ht="108" hidden="false" customHeight="true" outlineLevel="0" collapsed="false">
      <c r="C590" s="22" t="s">
        <v>570</v>
      </c>
      <c r="M590" s="21"/>
      <c r="N590" s="21"/>
      <c r="O590" s="21"/>
    </row>
    <row r="591" customFormat="false" ht="15" hidden="false" customHeight="true" outlineLevel="0" collapsed="false">
      <c r="C591" s="23" t="s">
        <v>108</v>
      </c>
      <c r="D591" s="24" t="n">
        <v>1</v>
      </c>
      <c r="H591" s="25" t="n">
        <f aca="false">IF(COUNT(D591:G591)=0,0,D591*IF(E591="",1,E591)*IF(F591="",1,F591)*IF(G591="",1,G591))</f>
        <v>1</v>
      </c>
      <c r="M591" s="21"/>
      <c r="N591" s="21"/>
      <c r="O591" s="21"/>
    </row>
    <row r="592" customFormat="false" ht="15" hidden="false" customHeight="true" outlineLevel="0" collapsed="false">
      <c r="H592" s="26"/>
      <c r="I592" s="27" t="n">
        <f aca="false">ROUND(SUM(H591:H591),2)</f>
        <v>1</v>
      </c>
      <c r="J592" s="28" t="n">
        <v>116.6</v>
      </c>
      <c r="K592" s="27" t="n">
        <f aca="false">ROUND(I592*J592,2)</f>
        <v>116.6</v>
      </c>
      <c r="L592" s="29" t="s">
        <v>109</v>
      </c>
      <c r="M592" s="21" t="s">
        <v>110</v>
      </c>
      <c r="N592" s="21" t="s">
        <v>41</v>
      </c>
      <c r="O592" s="21" t="s">
        <v>553</v>
      </c>
    </row>
    <row r="593" customFormat="false" ht="15" hidden="false" customHeight="true" outlineLevel="0" collapsed="false">
      <c r="A593" s="3" t="s">
        <v>571</v>
      </c>
      <c r="B593" s="3" t="s">
        <v>564</v>
      </c>
      <c r="C593" s="3" t="s">
        <v>572</v>
      </c>
      <c r="M593" s="21"/>
      <c r="N593" s="21"/>
      <c r="O593" s="21"/>
    </row>
    <row r="594" customFormat="false" ht="96" hidden="false" customHeight="true" outlineLevel="0" collapsed="false">
      <c r="C594" s="22" t="s">
        <v>573</v>
      </c>
      <c r="M594" s="21"/>
      <c r="N594" s="21"/>
      <c r="O594" s="21"/>
    </row>
    <row r="595" customFormat="false" ht="15" hidden="false" customHeight="true" outlineLevel="0" collapsed="false">
      <c r="C595" s="23" t="s">
        <v>574</v>
      </c>
      <c r="D595" s="24" t="n">
        <v>1</v>
      </c>
      <c r="E595" s="24" t="n">
        <v>110</v>
      </c>
      <c r="H595" s="25" t="n">
        <f aca="false">IF(COUNT(D595:G595)=0,0,D595*IF(E595="",1,E595)*IF(F595="",1,F595)*IF(G595="",1,G595))</f>
        <v>110</v>
      </c>
      <c r="M595" s="21"/>
      <c r="N595" s="21"/>
      <c r="O595" s="21"/>
    </row>
    <row r="596" customFormat="false" ht="15" hidden="false" customHeight="true" outlineLevel="0" collapsed="false">
      <c r="H596" s="26"/>
      <c r="I596" s="27" t="n">
        <f aca="false">ROUND(SUM(H595:H595),2)</f>
        <v>110</v>
      </c>
      <c r="J596" s="28" t="n">
        <v>3.17</v>
      </c>
      <c r="K596" s="27" t="n">
        <f aca="false">ROUND(I596*J596,2)</f>
        <v>348.7</v>
      </c>
      <c r="L596" s="29" t="s">
        <v>109</v>
      </c>
      <c r="M596" s="21" t="s">
        <v>110</v>
      </c>
      <c r="N596" s="21" t="s">
        <v>41</v>
      </c>
      <c r="O596" s="21" t="s">
        <v>553</v>
      </c>
    </row>
    <row r="597" customFormat="false" ht="15" hidden="false" customHeight="true" outlineLevel="0" collapsed="false">
      <c r="A597" s="3" t="s">
        <v>575</v>
      </c>
      <c r="B597" s="3" t="s">
        <v>564</v>
      </c>
      <c r="C597" s="3" t="s">
        <v>576</v>
      </c>
      <c r="M597" s="21"/>
      <c r="N597" s="21"/>
      <c r="O597" s="21"/>
    </row>
    <row r="598" customFormat="false" ht="96" hidden="false" customHeight="true" outlineLevel="0" collapsed="false">
      <c r="C598" s="22" t="s">
        <v>577</v>
      </c>
      <c r="M598" s="21"/>
      <c r="N598" s="21"/>
      <c r="O598" s="21"/>
    </row>
    <row r="599" customFormat="false" ht="15" hidden="false" customHeight="true" outlineLevel="0" collapsed="false">
      <c r="C599" s="23" t="s">
        <v>578</v>
      </c>
      <c r="D599" s="24" t="n">
        <v>1</v>
      </c>
      <c r="E599" s="24" t="n">
        <v>160</v>
      </c>
      <c r="H599" s="25" t="n">
        <f aca="false">IF(COUNT(D599:G599)=0,0,D599*IF(E599="",1,E599)*IF(F599="",1,F599)*IF(G599="",1,G599))</f>
        <v>160</v>
      </c>
      <c r="M599" s="21"/>
      <c r="N599" s="21"/>
      <c r="O599" s="21"/>
    </row>
    <row r="600" customFormat="false" ht="15" hidden="false" customHeight="true" outlineLevel="0" collapsed="false">
      <c r="H600" s="26"/>
      <c r="I600" s="27" t="n">
        <f aca="false">ROUND(SUM(H599:H599),2)</f>
        <v>160</v>
      </c>
      <c r="J600" s="28" t="n">
        <v>3.74</v>
      </c>
      <c r="K600" s="27" t="n">
        <f aca="false">ROUND(I600*J600,2)</f>
        <v>598.4</v>
      </c>
      <c r="L600" s="29" t="s">
        <v>109</v>
      </c>
      <c r="M600" s="21" t="s">
        <v>110</v>
      </c>
      <c r="N600" s="21" t="s">
        <v>41</v>
      </c>
      <c r="O600" s="21" t="s">
        <v>553</v>
      </c>
    </row>
    <row r="601" customFormat="false" ht="15" hidden="false" customHeight="true" outlineLevel="0" collapsed="false">
      <c r="A601" s="3" t="s">
        <v>579</v>
      </c>
      <c r="B601" s="3" t="s">
        <v>564</v>
      </c>
      <c r="C601" s="3" t="s">
        <v>580</v>
      </c>
      <c r="M601" s="21"/>
      <c r="N601" s="21"/>
      <c r="O601" s="21"/>
    </row>
    <row r="602" customFormat="false" ht="96" hidden="false" customHeight="true" outlineLevel="0" collapsed="false">
      <c r="C602" s="22" t="s">
        <v>581</v>
      </c>
      <c r="M602" s="21"/>
      <c r="N602" s="21"/>
      <c r="O602" s="21"/>
    </row>
    <row r="603" customFormat="false" ht="15" hidden="false" customHeight="true" outlineLevel="0" collapsed="false">
      <c r="C603" s="23" t="s">
        <v>582</v>
      </c>
      <c r="D603" s="24" t="n">
        <v>1</v>
      </c>
      <c r="E603" s="24" t="n">
        <v>50</v>
      </c>
      <c r="H603" s="25" t="n">
        <f aca="false">IF(COUNT(D603:G603)=0,0,D603*IF(E603="",1,E603)*IF(F603="",1,F603)*IF(G603="",1,G603))</f>
        <v>50</v>
      </c>
      <c r="M603" s="21"/>
      <c r="N603" s="21"/>
      <c r="O603" s="21"/>
    </row>
    <row r="604" customFormat="false" ht="15" hidden="false" customHeight="true" outlineLevel="0" collapsed="false">
      <c r="H604" s="26"/>
      <c r="I604" s="27" t="n">
        <f aca="false">ROUND(SUM(H603:H603),2)</f>
        <v>50</v>
      </c>
      <c r="J604" s="28" t="n">
        <v>4.1</v>
      </c>
      <c r="K604" s="27" t="n">
        <f aca="false">ROUND(I604*J604,2)</f>
        <v>205</v>
      </c>
      <c r="L604" s="29" t="s">
        <v>109</v>
      </c>
      <c r="M604" s="21" t="s">
        <v>110</v>
      </c>
      <c r="N604" s="21" t="s">
        <v>41</v>
      </c>
      <c r="O604" s="21" t="s">
        <v>553</v>
      </c>
    </row>
    <row r="605" customFormat="false" ht="15" hidden="false" customHeight="true" outlineLevel="0" collapsed="false">
      <c r="A605" s="3" t="s">
        <v>583</v>
      </c>
      <c r="B605" s="3" t="s">
        <v>564</v>
      </c>
      <c r="C605" s="3" t="s">
        <v>584</v>
      </c>
      <c r="M605" s="21"/>
      <c r="N605" s="21"/>
      <c r="O605" s="21"/>
    </row>
    <row r="606" customFormat="false" ht="96" hidden="false" customHeight="true" outlineLevel="0" collapsed="false">
      <c r="C606" s="22" t="s">
        <v>585</v>
      </c>
      <c r="M606" s="21"/>
      <c r="N606" s="21"/>
      <c r="O606" s="21"/>
    </row>
    <row r="607" customFormat="false" ht="15" hidden="false" customHeight="true" outlineLevel="0" collapsed="false">
      <c r="C607" s="23" t="s">
        <v>586</v>
      </c>
      <c r="D607" s="24" t="n">
        <v>1</v>
      </c>
      <c r="E607" s="24" t="n">
        <v>25</v>
      </c>
      <c r="H607" s="25" t="n">
        <f aca="false">IF(COUNT(D607:G607)=0,0,D607*IF(E607="",1,E607)*IF(F607="",1,F607)*IF(G607="",1,G607))</f>
        <v>25</v>
      </c>
      <c r="M607" s="21"/>
      <c r="N607" s="21"/>
      <c r="O607" s="21"/>
    </row>
    <row r="608" customFormat="false" ht="15" hidden="false" customHeight="true" outlineLevel="0" collapsed="false">
      <c r="H608" s="26"/>
      <c r="I608" s="27" t="n">
        <f aca="false">ROUND(SUM(H607:H607),2)</f>
        <v>25</v>
      </c>
      <c r="J608" s="28" t="n">
        <v>4.83</v>
      </c>
      <c r="K608" s="27" t="n">
        <f aca="false">ROUND(I608*J608,2)</f>
        <v>120.75</v>
      </c>
      <c r="L608" s="29" t="s">
        <v>109</v>
      </c>
      <c r="M608" s="21" t="s">
        <v>110</v>
      </c>
      <c r="N608" s="21" t="s">
        <v>41</v>
      </c>
      <c r="O608" s="21" t="s">
        <v>553</v>
      </c>
    </row>
    <row r="609" customFormat="false" ht="15" hidden="false" customHeight="true" outlineLevel="0" collapsed="false">
      <c r="A609" s="3" t="s">
        <v>587</v>
      </c>
      <c r="B609" s="3" t="s">
        <v>556</v>
      </c>
      <c r="C609" s="3" t="s">
        <v>588</v>
      </c>
      <c r="M609" s="21"/>
      <c r="N609" s="21"/>
      <c r="O609" s="21"/>
    </row>
    <row r="610" customFormat="false" ht="96" hidden="false" customHeight="true" outlineLevel="0" collapsed="false">
      <c r="C610" s="22" t="s">
        <v>589</v>
      </c>
      <c r="M610" s="21"/>
      <c r="N610" s="21"/>
      <c r="O610" s="21"/>
    </row>
    <row r="611" customFormat="false" ht="15" hidden="false" customHeight="true" outlineLevel="0" collapsed="false">
      <c r="C611" s="23" t="s">
        <v>590</v>
      </c>
      <c r="D611" s="24" t="n">
        <v>16</v>
      </c>
      <c r="H611" s="25" t="n">
        <f aca="false">IF(COUNT(D611:G611)=0,0,D611*IF(E611="",1,E611)*IF(F611="",1,F611)*IF(G611="",1,G611))</f>
        <v>16</v>
      </c>
      <c r="M611" s="21"/>
      <c r="N611" s="21"/>
      <c r="O611" s="21"/>
    </row>
    <row r="612" customFormat="false" ht="15" hidden="false" customHeight="true" outlineLevel="0" collapsed="false">
      <c r="H612" s="26"/>
      <c r="I612" s="27" t="n">
        <f aca="false">ROUND(SUM(H611:H611),2)</f>
        <v>16</v>
      </c>
      <c r="J612" s="28" t="n">
        <v>14.16</v>
      </c>
      <c r="K612" s="27" t="n">
        <f aca="false">ROUND(I612*J612,2)</f>
        <v>226.56</v>
      </c>
      <c r="L612" s="29" t="s">
        <v>109</v>
      </c>
      <c r="M612" s="21" t="s">
        <v>110</v>
      </c>
      <c r="N612" s="21" t="s">
        <v>41</v>
      </c>
      <c r="O612" s="21" t="s">
        <v>553</v>
      </c>
    </row>
    <row r="613" customFormat="false" ht="15" hidden="false" customHeight="true" outlineLevel="0" collapsed="false">
      <c r="A613" s="3" t="s">
        <v>591</v>
      </c>
      <c r="B613" s="3" t="s">
        <v>556</v>
      </c>
      <c r="C613" s="3" t="s">
        <v>592</v>
      </c>
      <c r="M613" s="21"/>
      <c r="N613" s="21"/>
      <c r="O613" s="21"/>
    </row>
    <row r="614" customFormat="false" ht="204" hidden="false" customHeight="true" outlineLevel="0" collapsed="false">
      <c r="C614" s="22" t="s">
        <v>593</v>
      </c>
      <c r="M614" s="21"/>
      <c r="N614" s="21"/>
      <c r="O614" s="21"/>
    </row>
    <row r="615" customFormat="false" ht="15" hidden="false" customHeight="true" outlineLevel="0" collapsed="false">
      <c r="C615" s="23" t="s">
        <v>594</v>
      </c>
      <c r="D615" s="24" t="n">
        <v>1</v>
      </c>
      <c r="H615" s="25" t="n">
        <f aca="false">IF(COUNT(D615:G615)=0,0,D615*IF(E615="",1,E615)*IF(F615="",1,F615)*IF(G615="",1,G615))</f>
        <v>1</v>
      </c>
      <c r="M615" s="21"/>
      <c r="N615" s="21"/>
      <c r="O615" s="21"/>
    </row>
    <row r="616" customFormat="false" ht="15" hidden="false" customHeight="true" outlineLevel="0" collapsed="false">
      <c r="C616" s="23" t="s">
        <v>595</v>
      </c>
      <c r="D616" s="24" t="n">
        <v>1</v>
      </c>
      <c r="H616" s="25" t="n">
        <f aca="false">IF(COUNT(D616:G616)=0,0,D616*IF(E616="",1,E616)*IF(F616="",1,F616)*IF(G616="",1,G616))</f>
        <v>1</v>
      </c>
      <c r="M616" s="21"/>
      <c r="N616" s="21"/>
      <c r="O616" s="21"/>
    </row>
    <row r="617" customFormat="false" ht="15" hidden="false" customHeight="true" outlineLevel="0" collapsed="false">
      <c r="H617" s="26"/>
      <c r="I617" s="27" t="n">
        <f aca="false">ROUND(SUM(H615:H616),2)</f>
        <v>2</v>
      </c>
      <c r="J617" s="28" t="n">
        <v>183.66</v>
      </c>
      <c r="K617" s="27" t="n">
        <f aca="false">ROUND(I617*J617,2)</f>
        <v>367.32</v>
      </c>
      <c r="L617" s="29" t="s">
        <v>109</v>
      </c>
      <c r="M617" s="21" t="s">
        <v>110</v>
      </c>
      <c r="N617" s="21" t="s">
        <v>41</v>
      </c>
      <c r="O617" s="21" t="s">
        <v>553</v>
      </c>
    </row>
    <row r="618" customFormat="false" ht="15" hidden="false" customHeight="true" outlineLevel="0" collapsed="false">
      <c r="A618" s="3" t="s">
        <v>596</v>
      </c>
      <c r="B618" s="3" t="s">
        <v>556</v>
      </c>
      <c r="C618" s="3" t="s">
        <v>597</v>
      </c>
      <c r="M618" s="21"/>
      <c r="N618" s="21"/>
      <c r="O618" s="21"/>
    </row>
    <row r="619" customFormat="false" ht="192" hidden="false" customHeight="true" outlineLevel="0" collapsed="false">
      <c r="C619" s="22" t="s">
        <v>598</v>
      </c>
      <c r="M619" s="21"/>
      <c r="N619" s="21"/>
      <c r="O619" s="21"/>
    </row>
    <row r="620" customFormat="false" ht="15" hidden="false" customHeight="true" outlineLevel="0" collapsed="false">
      <c r="C620" s="23" t="s">
        <v>599</v>
      </c>
      <c r="D620" s="24" t="n">
        <v>1</v>
      </c>
      <c r="H620" s="25" t="n">
        <f aca="false">IF(COUNT(D620:G620)=0,0,D620*IF(E620="",1,E620)*IF(F620="",1,F620)*IF(G620="",1,G620))</f>
        <v>1</v>
      </c>
      <c r="M620" s="21"/>
      <c r="N620" s="21"/>
      <c r="O620" s="21"/>
    </row>
    <row r="621" customFormat="false" ht="15" hidden="false" customHeight="true" outlineLevel="0" collapsed="false">
      <c r="H621" s="26"/>
      <c r="I621" s="27" t="n">
        <f aca="false">ROUND(SUM(H620:H620),2)</f>
        <v>1</v>
      </c>
      <c r="J621" s="28" t="n">
        <v>183.66</v>
      </c>
      <c r="K621" s="27" t="n">
        <f aca="false">ROUND(I621*J621,2)</f>
        <v>183.66</v>
      </c>
      <c r="L621" s="29" t="s">
        <v>109</v>
      </c>
      <c r="M621" s="21" t="s">
        <v>110</v>
      </c>
      <c r="N621" s="21" t="s">
        <v>41</v>
      </c>
      <c r="O621" s="21" t="s">
        <v>553</v>
      </c>
    </row>
    <row r="622" customFormat="false" ht="15" hidden="false" customHeight="true" outlineLevel="0" collapsed="false">
      <c r="A622" s="3" t="s">
        <v>600</v>
      </c>
      <c r="B622" s="3" t="s">
        <v>556</v>
      </c>
      <c r="C622" s="3" t="s">
        <v>601</v>
      </c>
      <c r="M622" s="21"/>
      <c r="N622" s="21"/>
      <c r="O622" s="21"/>
    </row>
    <row r="623" customFormat="false" ht="204" hidden="false" customHeight="true" outlineLevel="0" collapsed="false">
      <c r="C623" s="22" t="s">
        <v>602</v>
      </c>
      <c r="M623" s="21"/>
      <c r="N623" s="21"/>
      <c r="O623" s="21"/>
    </row>
    <row r="624" customFormat="false" ht="15" hidden="false" customHeight="true" outlineLevel="0" collapsed="false">
      <c r="C624" s="23" t="s">
        <v>603</v>
      </c>
      <c r="D624" s="24" t="n">
        <v>1</v>
      </c>
      <c r="H624" s="25" t="n">
        <f aca="false">IF(COUNT(D624:G624)=0,0,D624*IF(E624="",1,E624)*IF(F624="",1,F624)*IF(G624="",1,G624))</f>
        <v>1</v>
      </c>
      <c r="M624" s="21"/>
      <c r="N624" s="21"/>
      <c r="O624" s="21"/>
    </row>
    <row r="625" customFormat="false" ht="15" hidden="false" customHeight="true" outlineLevel="0" collapsed="false">
      <c r="C625" s="23" t="s">
        <v>604</v>
      </c>
      <c r="D625" s="24" t="n">
        <v>1</v>
      </c>
      <c r="H625" s="25" t="n">
        <f aca="false">IF(COUNT(D625:G625)=0,0,D625*IF(E625="",1,E625)*IF(F625="",1,F625)*IF(G625="",1,G625))</f>
        <v>1</v>
      </c>
      <c r="M625" s="21"/>
      <c r="N625" s="21"/>
      <c r="O625" s="21"/>
    </row>
    <row r="626" customFormat="false" ht="15" hidden="false" customHeight="true" outlineLevel="0" collapsed="false">
      <c r="H626" s="26"/>
      <c r="I626" s="27" t="n">
        <f aca="false">ROUND(SUM(H624:H625),2)</f>
        <v>2</v>
      </c>
      <c r="J626" s="28" t="n">
        <v>268.14</v>
      </c>
      <c r="K626" s="27" t="n">
        <f aca="false">ROUND(I626*J626,2)</f>
        <v>536.28</v>
      </c>
      <c r="L626" s="29" t="s">
        <v>109</v>
      </c>
      <c r="M626" s="21" t="s">
        <v>110</v>
      </c>
      <c r="N626" s="21" t="s">
        <v>41</v>
      </c>
      <c r="O626" s="21" t="s">
        <v>553</v>
      </c>
    </row>
    <row r="627" customFormat="false" ht="15" hidden="false" customHeight="true" outlineLevel="0" collapsed="false">
      <c r="A627" s="3" t="s">
        <v>605</v>
      </c>
      <c r="B627" s="3" t="s">
        <v>556</v>
      </c>
      <c r="C627" s="3" t="s">
        <v>601</v>
      </c>
      <c r="M627" s="21"/>
      <c r="N627" s="21"/>
      <c r="O627" s="21"/>
    </row>
    <row r="628" customFormat="false" ht="204" hidden="false" customHeight="true" outlineLevel="0" collapsed="false">
      <c r="C628" s="22" t="s">
        <v>606</v>
      </c>
      <c r="M628" s="21"/>
      <c r="N628" s="21"/>
      <c r="O628" s="21"/>
    </row>
    <row r="629" customFormat="false" ht="15" hidden="false" customHeight="true" outlineLevel="0" collapsed="false">
      <c r="C629" s="23" t="s">
        <v>607</v>
      </c>
      <c r="D629" s="24" t="n">
        <v>2</v>
      </c>
      <c r="H629" s="25" t="n">
        <f aca="false">IF(COUNT(D629:G629)=0,0,D629*IF(E629="",1,E629)*IF(F629="",1,F629)*IF(G629="",1,G629))</f>
        <v>2</v>
      </c>
      <c r="M629" s="21"/>
      <c r="N629" s="21"/>
      <c r="O629" s="21"/>
    </row>
    <row r="630" customFormat="false" ht="15" hidden="false" customHeight="true" outlineLevel="0" collapsed="false">
      <c r="H630" s="26"/>
      <c r="I630" s="27" t="n">
        <f aca="false">ROUND(SUM(H629:H629),2)</f>
        <v>2</v>
      </c>
      <c r="J630" s="28" t="n">
        <v>227.73</v>
      </c>
      <c r="K630" s="27" t="n">
        <f aca="false">ROUND(I630*J630,2)</f>
        <v>455.46</v>
      </c>
      <c r="L630" s="29" t="s">
        <v>109</v>
      </c>
      <c r="M630" s="21" t="s">
        <v>110</v>
      </c>
      <c r="N630" s="21" t="s">
        <v>41</v>
      </c>
      <c r="O630" s="21" t="s">
        <v>553</v>
      </c>
    </row>
    <row r="631" customFormat="false" ht="15" hidden="false" customHeight="true" outlineLevel="0" collapsed="false">
      <c r="A631" s="3" t="s">
        <v>608</v>
      </c>
      <c r="B631" s="3" t="s">
        <v>556</v>
      </c>
      <c r="C631" s="3" t="s">
        <v>609</v>
      </c>
      <c r="M631" s="21"/>
      <c r="N631" s="21"/>
      <c r="O631" s="21"/>
    </row>
    <row r="632" customFormat="false" ht="132" hidden="false" customHeight="true" outlineLevel="0" collapsed="false">
      <c r="C632" s="22" t="s">
        <v>610</v>
      </c>
      <c r="M632" s="21"/>
      <c r="N632" s="21"/>
      <c r="O632" s="21"/>
    </row>
    <row r="633" customFormat="false" ht="15" hidden="false" customHeight="true" outlineLevel="0" collapsed="false">
      <c r="C633" s="23" t="s">
        <v>611</v>
      </c>
      <c r="D633" s="24" t="n">
        <v>3</v>
      </c>
      <c r="H633" s="25" t="n">
        <f aca="false">IF(COUNT(D633:G633)=0,0,D633*IF(E633="",1,E633)*IF(F633="",1,F633)*IF(G633="",1,G633))</f>
        <v>3</v>
      </c>
      <c r="M633" s="21"/>
      <c r="N633" s="21"/>
      <c r="O633" s="21"/>
    </row>
    <row r="634" customFormat="false" ht="15" hidden="false" customHeight="true" outlineLevel="0" collapsed="false">
      <c r="H634" s="26"/>
      <c r="I634" s="27" t="n">
        <f aca="false">ROUND(SUM(H633:H633),2)</f>
        <v>3</v>
      </c>
      <c r="J634" s="28" t="n">
        <v>70.82</v>
      </c>
      <c r="K634" s="27" t="n">
        <f aca="false">ROUND(I634*J634,2)</f>
        <v>212.46</v>
      </c>
      <c r="L634" s="29" t="s">
        <v>109</v>
      </c>
      <c r="M634" s="21" t="s">
        <v>110</v>
      </c>
      <c r="N634" s="21" t="s">
        <v>41</v>
      </c>
      <c r="O634" s="21" t="s">
        <v>553</v>
      </c>
    </row>
    <row r="635" customFormat="false" ht="15" hidden="false" customHeight="true" outlineLevel="0" collapsed="false">
      <c r="A635" s="3" t="s">
        <v>612</v>
      </c>
      <c r="B635" s="3" t="s">
        <v>556</v>
      </c>
      <c r="C635" s="3" t="s">
        <v>613</v>
      </c>
      <c r="M635" s="21"/>
      <c r="N635" s="21"/>
      <c r="O635" s="21"/>
    </row>
    <row r="636" customFormat="false" ht="120" hidden="false" customHeight="true" outlineLevel="0" collapsed="false">
      <c r="C636" s="22" t="s">
        <v>614</v>
      </c>
      <c r="M636" s="21"/>
      <c r="N636" s="21"/>
      <c r="O636" s="21"/>
    </row>
    <row r="637" customFormat="false" ht="15" hidden="false" customHeight="true" outlineLevel="0" collapsed="false">
      <c r="C637" s="23" t="s">
        <v>108</v>
      </c>
      <c r="D637" s="24" t="n">
        <v>1</v>
      </c>
      <c r="H637" s="25" t="n">
        <f aca="false">IF(COUNT(D637:G637)=0,0,D637*IF(E637="",1,E637)*IF(F637="",1,F637)*IF(G637="",1,G637))</f>
        <v>1</v>
      </c>
      <c r="M637" s="21"/>
      <c r="N637" s="21"/>
      <c r="O637" s="21"/>
    </row>
    <row r="638" customFormat="false" ht="15" hidden="false" customHeight="true" outlineLevel="0" collapsed="false">
      <c r="H638" s="26"/>
      <c r="I638" s="27" t="n">
        <f aca="false">ROUND(SUM(H637:H637),2)</f>
        <v>1</v>
      </c>
      <c r="J638" s="28" t="n">
        <v>40.97</v>
      </c>
      <c r="K638" s="27" t="n">
        <f aca="false">ROUND(I638*J638,2)</f>
        <v>40.97</v>
      </c>
      <c r="L638" s="29" t="s">
        <v>109</v>
      </c>
      <c r="M638" s="21" t="s">
        <v>110</v>
      </c>
      <c r="N638" s="21" t="s">
        <v>41</v>
      </c>
      <c r="O638" s="21" t="s">
        <v>553</v>
      </c>
    </row>
    <row r="639" customFormat="false" ht="15" hidden="false" customHeight="true" outlineLevel="0" collapsed="false">
      <c r="A639" s="3" t="s">
        <v>615</v>
      </c>
      <c r="B639" s="3" t="s">
        <v>556</v>
      </c>
      <c r="C639" s="3" t="s">
        <v>616</v>
      </c>
      <c r="M639" s="21"/>
      <c r="N639" s="21"/>
      <c r="O639" s="21"/>
    </row>
    <row r="640" customFormat="false" ht="144" hidden="false" customHeight="true" outlineLevel="0" collapsed="false">
      <c r="C640" s="22" t="s">
        <v>617</v>
      </c>
      <c r="M640" s="21"/>
      <c r="N640" s="21"/>
      <c r="O640" s="21"/>
    </row>
    <row r="641" customFormat="false" ht="15" hidden="false" customHeight="true" outlineLevel="0" collapsed="false">
      <c r="C641" s="23" t="s">
        <v>618</v>
      </c>
      <c r="D641" s="24" t="n">
        <v>4</v>
      </c>
      <c r="H641" s="25" t="n">
        <f aca="false">IF(COUNT(D641:G641)=0,0,D641*IF(E641="",1,E641)*IF(F641="",1,F641)*IF(G641="",1,G641))</f>
        <v>4</v>
      </c>
      <c r="M641" s="21"/>
      <c r="N641" s="21"/>
      <c r="O641" s="21"/>
    </row>
    <row r="642" customFormat="false" ht="15" hidden="false" customHeight="true" outlineLevel="0" collapsed="false">
      <c r="H642" s="26"/>
      <c r="I642" s="27" t="n">
        <f aca="false">ROUND(SUM(H641:H641),2)</f>
        <v>4</v>
      </c>
      <c r="J642" s="28" t="n">
        <v>121.22</v>
      </c>
      <c r="K642" s="27" t="n">
        <f aca="false">ROUND(I642*J642,2)</f>
        <v>484.88</v>
      </c>
      <c r="L642" s="29" t="s">
        <v>109</v>
      </c>
      <c r="M642" s="21" t="s">
        <v>110</v>
      </c>
      <c r="N642" s="21" t="s">
        <v>41</v>
      </c>
      <c r="O642" s="21" t="s">
        <v>553</v>
      </c>
    </row>
    <row r="643" customFormat="false" ht="15" hidden="false" customHeight="true" outlineLevel="0" collapsed="false">
      <c r="A643" s="3" t="s">
        <v>619</v>
      </c>
      <c r="B643" s="3" t="s">
        <v>556</v>
      </c>
      <c r="C643" s="3" t="s">
        <v>620</v>
      </c>
      <c r="M643" s="21"/>
      <c r="N643" s="21"/>
      <c r="O643" s="21"/>
    </row>
    <row r="644" customFormat="false" ht="144" hidden="false" customHeight="true" outlineLevel="0" collapsed="false">
      <c r="C644" s="22" t="s">
        <v>621</v>
      </c>
      <c r="M644" s="21"/>
      <c r="N644" s="21"/>
      <c r="O644" s="21"/>
    </row>
    <row r="645" customFormat="false" ht="15" hidden="false" customHeight="true" outlineLevel="0" collapsed="false">
      <c r="C645" s="23" t="s">
        <v>618</v>
      </c>
      <c r="D645" s="24" t="n">
        <v>5</v>
      </c>
      <c r="H645" s="25" t="n">
        <f aca="false">IF(COUNT(D645:G645)=0,0,D645*IF(E645="",1,E645)*IF(F645="",1,F645)*IF(G645="",1,G645))</f>
        <v>5</v>
      </c>
      <c r="M645" s="21"/>
      <c r="N645" s="21"/>
      <c r="O645" s="21"/>
    </row>
    <row r="646" customFormat="false" ht="15" hidden="false" customHeight="true" outlineLevel="0" collapsed="false">
      <c r="H646" s="26"/>
      <c r="I646" s="27" t="n">
        <f aca="false">ROUND(SUM(H645:H645),2)</f>
        <v>5</v>
      </c>
      <c r="J646" s="28" t="n">
        <v>144.47</v>
      </c>
      <c r="K646" s="27" t="n">
        <f aca="false">ROUND(I646*J646,2)</f>
        <v>722.35</v>
      </c>
      <c r="L646" s="29" t="s">
        <v>109</v>
      </c>
      <c r="M646" s="21" t="s">
        <v>110</v>
      </c>
      <c r="N646" s="21" t="s">
        <v>41</v>
      </c>
      <c r="O646" s="21" t="s">
        <v>553</v>
      </c>
    </row>
    <row r="647" customFormat="false" ht="15" hidden="false" customHeight="true" outlineLevel="0" collapsed="false">
      <c r="A647" s="3" t="s">
        <v>622</v>
      </c>
      <c r="B647" s="3" t="s">
        <v>556</v>
      </c>
      <c r="C647" s="3" t="s">
        <v>623</v>
      </c>
      <c r="M647" s="21"/>
      <c r="N647" s="21"/>
      <c r="O647" s="21"/>
    </row>
    <row r="648" customFormat="false" ht="132" hidden="false" customHeight="true" outlineLevel="0" collapsed="false">
      <c r="C648" s="22" t="s">
        <v>624</v>
      </c>
      <c r="M648" s="21"/>
      <c r="N648" s="21"/>
      <c r="O648" s="21"/>
    </row>
    <row r="649" customFormat="false" ht="15" hidden="false" customHeight="true" outlineLevel="0" collapsed="false">
      <c r="C649" s="23" t="s">
        <v>625</v>
      </c>
      <c r="D649" s="24" t="n">
        <v>2</v>
      </c>
      <c r="H649" s="25" t="n">
        <f aca="false">IF(COUNT(D649:G649)=0,0,D649*IF(E649="",1,E649)*IF(F649="",1,F649)*IF(G649="",1,G649))</f>
        <v>2</v>
      </c>
      <c r="M649" s="21"/>
      <c r="N649" s="21"/>
      <c r="O649" s="21"/>
    </row>
    <row r="650" customFormat="false" ht="15" hidden="false" customHeight="true" outlineLevel="0" collapsed="false">
      <c r="H650" s="26"/>
      <c r="I650" s="27" t="n">
        <f aca="false">ROUND(SUM(H649:H649),2)</f>
        <v>2</v>
      </c>
      <c r="J650" s="28" t="n">
        <v>212.46</v>
      </c>
      <c r="K650" s="27" t="n">
        <f aca="false">ROUND(I650*J650,2)</f>
        <v>424.92</v>
      </c>
      <c r="L650" s="29" t="s">
        <v>109</v>
      </c>
      <c r="M650" s="21" t="s">
        <v>110</v>
      </c>
      <c r="N650" s="21" t="s">
        <v>41</v>
      </c>
      <c r="O650" s="21" t="s">
        <v>553</v>
      </c>
    </row>
    <row r="651" customFormat="false" ht="15" hidden="false" customHeight="true" outlineLevel="0" collapsed="false">
      <c r="A651" s="3" t="s">
        <v>626</v>
      </c>
      <c r="B651" s="3" t="s">
        <v>105</v>
      </c>
      <c r="C651" s="3" t="s">
        <v>627</v>
      </c>
      <c r="M651" s="21"/>
      <c r="N651" s="21"/>
      <c r="O651" s="21"/>
    </row>
    <row r="652" customFormat="false" ht="24" hidden="false" customHeight="true" outlineLevel="0" collapsed="false">
      <c r="C652" s="22" t="s">
        <v>628</v>
      </c>
      <c r="M652" s="21"/>
      <c r="N652" s="21"/>
      <c r="O652" s="21"/>
    </row>
    <row r="653" customFormat="false" ht="15" hidden="false" customHeight="true" outlineLevel="0" collapsed="false">
      <c r="C653" s="23" t="s">
        <v>629</v>
      </c>
      <c r="D653" s="24" t="n">
        <v>3</v>
      </c>
      <c r="H653" s="25" t="n">
        <f aca="false">IF(COUNT(D653:G653)=0,0,D653*IF(E653="",1,E653)*IF(F653="",1,F653)*IF(G653="",1,G653))</f>
        <v>3</v>
      </c>
      <c r="M653" s="21"/>
      <c r="N653" s="21"/>
      <c r="O653" s="21"/>
    </row>
    <row r="654" customFormat="false" ht="18.75" hidden="false" customHeight="true" outlineLevel="0" collapsed="false">
      <c r="H654" s="26"/>
      <c r="I654" s="27" t="n">
        <f aca="false">ROUND(SUM(H653:H653),2)</f>
        <v>3</v>
      </c>
      <c r="J654" s="28" t="n">
        <v>210</v>
      </c>
      <c r="K654" s="27" t="n">
        <f aca="false">ROUND(I654*J654,2)</f>
        <v>630</v>
      </c>
      <c r="L654" s="29" t="s">
        <v>138</v>
      </c>
      <c r="M654" s="21" t="s">
        <v>110</v>
      </c>
      <c r="N654" s="21" t="s">
        <v>41</v>
      </c>
      <c r="O654" s="21" t="s">
        <v>553</v>
      </c>
    </row>
    <row r="655" customFormat="false" ht="15" hidden="false" customHeight="true" outlineLevel="0" collapsed="false">
      <c r="A655" s="3" t="s">
        <v>630</v>
      </c>
      <c r="C655" s="3" t="s">
        <v>631</v>
      </c>
      <c r="M655" s="21" t="s">
        <v>194</v>
      </c>
      <c r="N655" s="21" t="s">
        <v>41</v>
      </c>
      <c r="O655" s="21" t="s">
        <v>630</v>
      </c>
    </row>
    <row r="656" customFormat="false" ht="15" hidden="false" customHeight="true" outlineLevel="0" collapsed="false">
      <c r="A656" s="3" t="s">
        <v>632</v>
      </c>
      <c r="B656" s="3" t="s">
        <v>556</v>
      </c>
      <c r="C656" s="3" t="s">
        <v>633</v>
      </c>
      <c r="M656" s="21"/>
      <c r="N656" s="21"/>
      <c r="O656" s="21"/>
    </row>
    <row r="657" customFormat="false" ht="36" hidden="false" customHeight="true" outlineLevel="0" collapsed="false">
      <c r="C657" s="22" t="s">
        <v>634</v>
      </c>
      <c r="M657" s="21"/>
      <c r="N657" s="21"/>
      <c r="O657" s="21"/>
    </row>
    <row r="658" customFormat="false" ht="15" hidden="false" customHeight="true" outlineLevel="0" collapsed="false">
      <c r="C658" s="23" t="s">
        <v>635</v>
      </c>
      <c r="D658" s="24" t="n">
        <v>1</v>
      </c>
      <c r="H658" s="25" t="n">
        <f aca="false">IF(COUNT(D658:G658)=0,0,D658*IF(E658="",1,E658)*IF(F658="",1,F658)*IF(G658="",1,G658))</f>
        <v>1</v>
      </c>
      <c r="M658" s="21"/>
      <c r="N658" s="21"/>
      <c r="O658" s="21"/>
    </row>
    <row r="659" customFormat="false" ht="15" hidden="false" customHeight="true" outlineLevel="0" collapsed="false">
      <c r="H659" s="26"/>
      <c r="I659" s="27" t="n">
        <f aca="false">ROUND(SUM(H658:H658),2)</f>
        <v>1</v>
      </c>
      <c r="J659" s="28" t="n">
        <v>54.93</v>
      </c>
      <c r="K659" s="27" t="n">
        <f aca="false">ROUND(I659*J659,2)</f>
        <v>54.93</v>
      </c>
      <c r="L659" s="29" t="s">
        <v>109</v>
      </c>
      <c r="M659" s="21" t="s">
        <v>110</v>
      </c>
      <c r="N659" s="21" t="s">
        <v>41</v>
      </c>
      <c r="O659" s="21" t="s">
        <v>630</v>
      </c>
    </row>
    <row r="660" customFormat="false" ht="15" hidden="false" customHeight="true" outlineLevel="0" collapsed="false">
      <c r="A660" s="3" t="s">
        <v>636</v>
      </c>
      <c r="B660" s="3" t="s">
        <v>556</v>
      </c>
      <c r="C660" s="3" t="s">
        <v>637</v>
      </c>
      <c r="M660" s="21"/>
      <c r="N660" s="21"/>
      <c r="O660" s="21"/>
    </row>
    <row r="661" customFormat="false" ht="36" hidden="false" customHeight="true" outlineLevel="0" collapsed="false">
      <c r="C661" s="22" t="s">
        <v>638</v>
      </c>
      <c r="M661" s="21"/>
      <c r="N661" s="21"/>
      <c r="O661" s="21"/>
    </row>
    <row r="662" customFormat="false" ht="15" hidden="false" customHeight="true" outlineLevel="0" collapsed="false">
      <c r="C662" s="23" t="s">
        <v>639</v>
      </c>
      <c r="D662" s="24" t="n">
        <v>1</v>
      </c>
      <c r="H662" s="25" t="n">
        <f aca="false">IF(COUNT(D662:G662)=0,0,D662*IF(E662="",1,E662)*IF(F662="",1,F662)*IF(G662="",1,G662))</f>
        <v>1</v>
      </c>
      <c r="M662" s="21"/>
      <c r="N662" s="21"/>
      <c r="O662" s="21"/>
    </row>
    <row r="663" customFormat="false" ht="15" hidden="false" customHeight="true" outlineLevel="0" collapsed="false">
      <c r="H663" s="26"/>
      <c r="I663" s="27" t="n">
        <f aca="false">ROUND(SUM(H662:H662),2)</f>
        <v>1</v>
      </c>
      <c r="J663" s="28" t="n">
        <v>74.06</v>
      </c>
      <c r="K663" s="27" t="n">
        <f aca="false">ROUND(I663*J663,2)</f>
        <v>74.06</v>
      </c>
      <c r="L663" s="29" t="s">
        <v>109</v>
      </c>
      <c r="M663" s="21" t="s">
        <v>110</v>
      </c>
      <c r="N663" s="21" t="s">
        <v>41</v>
      </c>
      <c r="O663" s="21" t="s">
        <v>630</v>
      </c>
    </row>
    <row r="664" customFormat="false" ht="15" hidden="false" customHeight="true" outlineLevel="0" collapsed="false">
      <c r="A664" s="3" t="s">
        <v>640</v>
      </c>
      <c r="B664" s="3" t="s">
        <v>556</v>
      </c>
      <c r="C664" s="3" t="s">
        <v>641</v>
      </c>
      <c r="M664" s="21"/>
      <c r="N664" s="21"/>
      <c r="O664" s="21"/>
    </row>
    <row r="665" customFormat="false" ht="36" hidden="false" customHeight="true" outlineLevel="0" collapsed="false">
      <c r="C665" s="22" t="s">
        <v>642</v>
      </c>
      <c r="M665" s="21"/>
      <c r="N665" s="21"/>
      <c r="O665" s="21"/>
    </row>
    <row r="666" customFormat="false" ht="15" hidden="false" customHeight="true" outlineLevel="0" collapsed="false">
      <c r="C666" s="23" t="s">
        <v>643</v>
      </c>
      <c r="D666" s="24" t="n">
        <v>2</v>
      </c>
      <c r="H666" s="25" t="n">
        <f aca="false">IF(COUNT(D666:G666)=0,0,D666*IF(E666="",1,E666)*IF(F666="",1,F666)*IF(G666="",1,G666))</f>
        <v>2</v>
      </c>
      <c r="M666" s="21"/>
      <c r="N666" s="21"/>
      <c r="O666" s="21"/>
    </row>
    <row r="667" customFormat="false" ht="15" hidden="false" customHeight="true" outlineLevel="0" collapsed="false">
      <c r="H667" s="26"/>
      <c r="I667" s="27" t="n">
        <f aca="false">ROUND(SUM(H666:H666),2)</f>
        <v>2</v>
      </c>
      <c r="J667" s="28" t="n">
        <v>10.25</v>
      </c>
      <c r="K667" s="27" t="n">
        <f aca="false">ROUND(I667*J667,2)</f>
        <v>20.5</v>
      </c>
      <c r="L667" s="29" t="s">
        <v>109</v>
      </c>
      <c r="M667" s="21" t="s">
        <v>110</v>
      </c>
      <c r="N667" s="21" t="s">
        <v>41</v>
      </c>
      <c r="O667" s="21" t="s">
        <v>630</v>
      </c>
    </row>
    <row r="668" customFormat="false" ht="15" hidden="false" customHeight="true" outlineLevel="0" collapsed="false">
      <c r="A668" s="3" t="s">
        <v>644</v>
      </c>
      <c r="C668" s="3" t="s">
        <v>645</v>
      </c>
      <c r="M668" s="21" t="s">
        <v>194</v>
      </c>
      <c r="N668" s="21" t="s">
        <v>41</v>
      </c>
      <c r="O668" s="21" t="s">
        <v>644</v>
      </c>
    </row>
    <row r="669" customFormat="false" ht="15" hidden="false" customHeight="true" outlineLevel="0" collapsed="false">
      <c r="A669" s="3" t="s">
        <v>646</v>
      </c>
      <c r="B669" s="3" t="s">
        <v>105</v>
      </c>
      <c r="C669" s="3" t="s">
        <v>647</v>
      </c>
      <c r="M669" s="21"/>
      <c r="N669" s="21"/>
      <c r="O669" s="21"/>
    </row>
    <row r="670" customFormat="false" ht="48" hidden="false" customHeight="true" outlineLevel="0" collapsed="false">
      <c r="C670" s="22" t="s">
        <v>648</v>
      </c>
      <c r="M670" s="21"/>
      <c r="N670" s="21"/>
      <c r="O670" s="21"/>
    </row>
    <row r="671" customFormat="false" ht="15" hidden="false" customHeight="true" outlineLevel="0" collapsed="false">
      <c r="C671" s="23" t="s">
        <v>649</v>
      </c>
      <c r="D671" s="24" t="n">
        <v>1</v>
      </c>
      <c r="H671" s="25" t="n">
        <f aca="false">IF(COUNT(D671:G671)=0,0,D671*IF(E671="",1,E671)*IF(F671="",1,F671)*IF(G671="",1,G671))</f>
        <v>1</v>
      </c>
      <c r="M671" s="21"/>
      <c r="N671" s="21"/>
      <c r="O671" s="21"/>
    </row>
    <row r="672" customFormat="false" ht="18.75" hidden="false" customHeight="true" outlineLevel="0" collapsed="false">
      <c r="H672" s="26"/>
      <c r="I672" s="27" t="n">
        <f aca="false">ROUND(SUM(H671:H671),2)</f>
        <v>1</v>
      </c>
      <c r="J672" s="28" t="n">
        <v>9200</v>
      </c>
      <c r="K672" s="27" t="n">
        <f aca="false">ROUND(I672*J672,2)</f>
        <v>9200</v>
      </c>
      <c r="L672" s="29" t="s">
        <v>138</v>
      </c>
      <c r="M672" s="21" t="s">
        <v>110</v>
      </c>
      <c r="N672" s="21" t="s">
        <v>41</v>
      </c>
      <c r="O672" s="21" t="s">
        <v>644</v>
      </c>
    </row>
    <row r="673" customFormat="false" ht="15" hidden="false" customHeight="true" outlineLevel="0" collapsed="false">
      <c r="A673" s="3" t="s">
        <v>650</v>
      </c>
      <c r="B673" s="3" t="s">
        <v>556</v>
      </c>
      <c r="C673" s="3" t="s">
        <v>651</v>
      </c>
      <c r="M673" s="21"/>
      <c r="N673" s="21"/>
      <c r="O673" s="21"/>
    </row>
    <row r="674" customFormat="false" ht="36" hidden="false" customHeight="true" outlineLevel="0" collapsed="false">
      <c r="C674" s="22" t="s">
        <v>652</v>
      </c>
      <c r="M674" s="21"/>
      <c r="N674" s="21"/>
      <c r="O674" s="21"/>
    </row>
    <row r="675" customFormat="false" ht="15" hidden="false" customHeight="true" outlineLevel="0" collapsed="false">
      <c r="C675" s="23" t="s">
        <v>653</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128.56</v>
      </c>
      <c r="K676" s="27" t="n">
        <f aca="false">ROUND(I676*J676,2)</f>
        <v>128.56</v>
      </c>
      <c r="L676" s="29" t="s">
        <v>109</v>
      </c>
      <c r="M676" s="21" t="s">
        <v>110</v>
      </c>
      <c r="N676" s="21" t="s">
        <v>41</v>
      </c>
      <c r="O676" s="21" t="s">
        <v>644</v>
      </c>
    </row>
    <row r="677" customFormat="false" ht="15" hidden="false" customHeight="true" outlineLevel="0" collapsed="false">
      <c r="A677" s="3" t="s">
        <v>654</v>
      </c>
      <c r="B677" s="3" t="s">
        <v>556</v>
      </c>
      <c r="C677" s="3" t="s">
        <v>655</v>
      </c>
      <c r="M677" s="21"/>
      <c r="N677" s="21"/>
      <c r="O677" s="21"/>
    </row>
    <row r="678" customFormat="false" ht="24" hidden="false" customHeight="true" outlineLevel="0" collapsed="false">
      <c r="C678" s="22" t="s">
        <v>656</v>
      </c>
      <c r="M678" s="21"/>
      <c r="N678" s="21"/>
      <c r="O678" s="21"/>
    </row>
    <row r="679" customFormat="false" ht="15" hidden="false" customHeight="true" outlineLevel="0" collapsed="false">
      <c r="C679" s="23" t="s">
        <v>653</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33.06</v>
      </c>
      <c r="K680" s="27" t="n">
        <f aca="false">ROUND(I680*J680,2)</f>
        <v>33.06</v>
      </c>
      <c r="L680" s="29" t="s">
        <v>109</v>
      </c>
      <c r="M680" s="21" t="s">
        <v>110</v>
      </c>
      <c r="N680" s="21" t="s">
        <v>41</v>
      </c>
      <c r="O680" s="21" t="s">
        <v>644</v>
      </c>
    </row>
    <row r="681" customFormat="false" ht="15" hidden="false" customHeight="true" outlineLevel="0" collapsed="false">
      <c r="A681" s="3" t="s">
        <v>657</v>
      </c>
      <c r="B681" s="3" t="s">
        <v>556</v>
      </c>
      <c r="C681" s="3" t="s">
        <v>658</v>
      </c>
      <c r="M681" s="21"/>
      <c r="N681" s="21"/>
      <c r="O681" s="21"/>
    </row>
    <row r="682" customFormat="false" ht="24" hidden="false" customHeight="true" outlineLevel="0" collapsed="false">
      <c r="C682" s="22" t="s">
        <v>659</v>
      </c>
      <c r="M682" s="21"/>
      <c r="N682" s="21"/>
      <c r="O682" s="21"/>
    </row>
    <row r="683" customFormat="false" ht="15" hidden="false" customHeight="true" outlineLevel="0" collapsed="false">
      <c r="C683" s="23" t="s">
        <v>653</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80.8</v>
      </c>
      <c r="K684" s="27" t="n">
        <f aca="false">ROUND(I684*J684,2)</f>
        <v>80.8</v>
      </c>
      <c r="L684" s="29" t="s">
        <v>109</v>
      </c>
      <c r="M684" s="21" t="s">
        <v>110</v>
      </c>
      <c r="N684" s="21" t="s">
        <v>41</v>
      </c>
      <c r="O684" s="21" t="s">
        <v>644</v>
      </c>
    </row>
    <row r="685" customFormat="false" ht="15" hidden="false" customHeight="true" outlineLevel="0" collapsed="false">
      <c r="A685" s="3" t="s">
        <v>660</v>
      </c>
      <c r="B685" s="3" t="s">
        <v>556</v>
      </c>
      <c r="C685" s="3" t="s">
        <v>661</v>
      </c>
      <c r="M685" s="21"/>
      <c r="N685" s="21"/>
      <c r="O685" s="21"/>
    </row>
    <row r="686" customFormat="false" ht="36" hidden="false" customHeight="true" outlineLevel="0" collapsed="false">
      <c r="C686" s="22" t="s">
        <v>662</v>
      </c>
      <c r="M686" s="21"/>
      <c r="N686" s="21"/>
      <c r="O686" s="21"/>
    </row>
    <row r="687" customFormat="false" ht="15" hidden="false" customHeight="true" outlineLevel="0" collapsed="false">
      <c r="C687" s="23" t="s">
        <v>653</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239.51</v>
      </c>
      <c r="K688" s="27" t="n">
        <f aca="false">ROUND(I688*J688,2)</f>
        <v>239.51</v>
      </c>
      <c r="L688" s="29" t="s">
        <v>109</v>
      </c>
      <c r="M688" s="21" t="s">
        <v>110</v>
      </c>
      <c r="N688" s="21" t="s">
        <v>41</v>
      </c>
      <c r="O688" s="21" t="s">
        <v>644</v>
      </c>
    </row>
    <row r="689" customFormat="false" ht="15" hidden="false" customHeight="true" outlineLevel="0" collapsed="false">
      <c r="A689" s="3" t="s">
        <v>663</v>
      </c>
      <c r="B689" s="3" t="s">
        <v>556</v>
      </c>
      <c r="C689" s="3" t="s">
        <v>664</v>
      </c>
      <c r="M689" s="21"/>
      <c r="N689" s="21"/>
      <c r="O689" s="21"/>
    </row>
    <row r="690" customFormat="false" ht="12" hidden="false" customHeight="true" outlineLevel="0" collapsed="false">
      <c r="C690" s="22" t="s">
        <v>665</v>
      </c>
      <c r="M690" s="21"/>
      <c r="N690" s="21"/>
      <c r="O690" s="21"/>
    </row>
    <row r="691" customFormat="false" ht="15" hidden="false" customHeight="true" outlineLevel="0" collapsed="false">
      <c r="C691" s="23" t="s">
        <v>653</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33.06</v>
      </c>
      <c r="K692" s="27" t="n">
        <f aca="false">ROUND(I692*J692,2)</f>
        <v>33.06</v>
      </c>
      <c r="L692" s="29" t="s">
        <v>109</v>
      </c>
      <c r="M692" s="21" t="s">
        <v>110</v>
      </c>
      <c r="N692" s="21" t="s">
        <v>41</v>
      </c>
      <c r="O692" s="21" t="s">
        <v>644</v>
      </c>
    </row>
    <row r="693" customFormat="false" ht="15" hidden="false" customHeight="true" outlineLevel="0" collapsed="false">
      <c r="A693" s="3" t="s">
        <v>666</v>
      </c>
      <c r="B693" s="3" t="s">
        <v>556</v>
      </c>
      <c r="C693" s="3" t="s">
        <v>667</v>
      </c>
      <c r="M693" s="21"/>
      <c r="N693" s="21"/>
      <c r="O693" s="21"/>
    </row>
    <row r="694" customFormat="false" ht="240" hidden="false" customHeight="true" outlineLevel="0" collapsed="false">
      <c r="C694" s="22" t="s">
        <v>668</v>
      </c>
      <c r="M694" s="21"/>
      <c r="N694" s="21"/>
      <c r="O694" s="21"/>
    </row>
    <row r="695" customFormat="false" ht="15" hidden="false" customHeight="true" outlineLevel="0" collapsed="false">
      <c r="C695" s="23" t="s">
        <v>653</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257.12</v>
      </c>
      <c r="K696" s="27" t="n">
        <f aca="false">ROUND(I696*J696,2)</f>
        <v>257.12</v>
      </c>
      <c r="L696" s="29" t="s">
        <v>109</v>
      </c>
      <c r="M696" s="21" t="s">
        <v>110</v>
      </c>
      <c r="N696" s="21" t="s">
        <v>41</v>
      </c>
      <c r="O696" s="21" t="s">
        <v>644</v>
      </c>
    </row>
    <row r="697" customFormat="false" ht="15" hidden="false" customHeight="true" outlineLevel="0" collapsed="false">
      <c r="A697" s="3" t="s">
        <v>669</v>
      </c>
      <c r="B697" s="3" t="s">
        <v>556</v>
      </c>
      <c r="C697" s="3" t="s">
        <v>670</v>
      </c>
      <c r="M697" s="21"/>
      <c r="N697" s="21"/>
      <c r="O697" s="21"/>
    </row>
    <row r="698" customFormat="false" ht="72" hidden="false" customHeight="true" outlineLevel="0" collapsed="false">
      <c r="C698" s="22" t="s">
        <v>671</v>
      </c>
      <c r="M698" s="21"/>
      <c r="N698" s="21"/>
      <c r="O698" s="21"/>
    </row>
    <row r="699" customFormat="false" ht="15" hidden="false" customHeight="true" outlineLevel="0" collapsed="false">
      <c r="C699" s="23" t="s">
        <v>653</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165.3</v>
      </c>
      <c r="K700" s="27" t="n">
        <f aca="false">ROUND(I700*J700,2)</f>
        <v>165.3</v>
      </c>
      <c r="L700" s="29" t="s">
        <v>109</v>
      </c>
      <c r="M700" s="21" t="s">
        <v>110</v>
      </c>
      <c r="N700" s="21" t="s">
        <v>41</v>
      </c>
      <c r="O700" s="21" t="s">
        <v>644</v>
      </c>
    </row>
    <row r="701" customFormat="false" ht="15" hidden="false" customHeight="true" outlineLevel="0" collapsed="false">
      <c r="A701" s="3" t="s">
        <v>672</v>
      </c>
      <c r="B701" s="3" t="s">
        <v>556</v>
      </c>
      <c r="C701" s="3" t="s">
        <v>673</v>
      </c>
      <c r="M701" s="21"/>
      <c r="N701" s="21"/>
      <c r="O701" s="21"/>
    </row>
    <row r="702" customFormat="false" ht="48" hidden="false" customHeight="true" outlineLevel="0" collapsed="false">
      <c r="C702" s="22" t="s">
        <v>674</v>
      </c>
      <c r="M702" s="21"/>
      <c r="N702" s="21"/>
      <c r="O702" s="21"/>
    </row>
    <row r="703" customFormat="false" ht="15" hidden="false" customHeight="true" outlineLevel="0" collapsed="false">
      <c r="C703" s="23" t="s">
        <v>653</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190.27</v>
      </c>
      <c r="K704" s="27" t="n">
        <f aca="false">ROUND(I704*J704,2)</f>
        <v>190.27</v>
      </c>
      <c r="L704" s="29" t="s">
        <v>109</v>
      </c>
      <c r="M704" s="21" t="s">
        <v>110</v>
      </c>
      <c r="N704" s="21" t="s">
        <v>41</v>
      </c>
      <c r="O704" s="21" t="s">
        <v>644</v>
      </c>
    </row>
    <row r="705" customFormat="false" ht="15" hidden="false" customHeight="true" outlineLevel="0" collapsed="false">
      <c r="A705" s="3" t="s">
        <v>675</v>
      </c>
      <c r="B705" s="3" t="s">
        <v>556</v>
      </c>
      <c r="C705" s="3" t="s">
        <v>676</v>
      </c>
      <c r="M705" s="21"/>
      <c r="N705" s="21"/>
      <c r="O705" s="21"/>
    </row>
    <row r="706" customFormat="false" ht="48" hidden="false" customHeight="true" outlineLevel="0" collapsed="false">
      <c r="C706" s="22" t="s">
        <v>677</v>
      </c>
      <c r="M706" s="21"/>
      <c r="N706" s="21"/>
      <c r="O706" s="21"/>
    </row>
    <row r="707" customFormat="false" ht="15" hidden="false" customHeight="true" outlineLevel="0" collapsed="false">
      <c r="C707" s="23" t="s">
        <v>653</v>
      </c>
      <c r="D707" s="24" t="n">
        <v>1</v>
      </c>
      <c r="H707" s="25" t="n">
        <f aca="false">IF(COUNT(D707:G707)=0,0,D707*IF(E707="",1,E707)*IF(F707="",1,F707)*IF(G707="",1,G707))</f>
        <v>1</v>
      </c>
      <c r="M707" s="21"/>
      <c r="N707" s="21"/>
      <c r="O707" s="21"/>
    </row>
    <row r="708" customFormat="false" ht="15" hidden="false" customHeight="true" outlineLevel="0" collapsed="false">
      <c r="H708" s="26"/>
      <c r="I708" s="27" t="n">
        <f aca="false">ROUND(SUM(H707:H707),2)</f>
        <v>1</v>
      </c>
      <c r="J708" s="28" t="n">
        <v>238.88</v>
      </c>
      <c r="K708" s="27" t="n">
        <f aca="false">ROUND(I708*J708,2)</f>
        <v>238.88</v>
      </c>
      <c r="L708" s="29" t="s">
        <v>109</v>
      </c>
      <c r="M708" s="21" t="s">
        <v>110</v>
      </c>
      <c r="N708" s="21" t="s">
        <v>41</v>
      </c>
      <c r="O708" s="21" t="s">
        <v>644</v>
      </c>
    </row>
    <row r="709" customFormat="false" ht="15" hidden="false" customHeight="true" outlineLevel="0" collapsed="false">
      <c r="A709" s="3" t="s">
        <v>678</v>
      </c>
      <c r="B709" s="3" t="s">
        <v>556</v>
      </c>
      <c r="C709" s="3" t="s">
        <v>679</v>
      </c>
      <c r="M709" s="21"/>
      <c r="N709" s="21"/>
      <c r="O709" s="21"/>
    </row>
    <row r="710" customFormat="false" ht="24" hidden="false" customHeight="true" outlineLevel="0" collapsed="false">
      <c r="C710" s="22" t="s">
        <v>680</v>
      </c>
      <c r="M710" s="21"/>
      <c r="N710" s="21"/>
      <c r="O710" s="21"/>
    </row>
    <row r="711" customFormat="false" ht="15" hidden="false" customHeight="true" outlineLevel="0" collapsed="false">
      <c r="C711" s="23" t="s">
        <v>653</v>
      </c>
      <c r="D711" s="24" t="n">
        <v>1</v>
      </c>
      <c r="H711" s="25" t="n">
        <f aca="false">IF(COUNT(D711:G711)=0,0,D711*IF(E711="",1,E711)*IF(F711="",1,F711)*IF(G711="",1,G711))</f>
        <v>1</v>
      </c>
      <c r="M711" s="21"/>
      <c r="N711" s="21"/>
      <c r="O711" s="21"/>
    </row>
    <row r="712" customFormat="false" ht="15" hidden="false" customHeight="true" outlineLevel="0" collapsed="false">
      <c r="H712" s="26"/>
      <c r="I712" s="27" t="n">
        <f aca="false">ROUND(SUM(H711:H711),2)</f>
        <v>1</v>
      </c>
      <c r="J712" s="28" t="n">
        <v>130.14</v>
      </c>
      <c r="K712" s="27" t="n">
        <f aca="false">ROUND(I712*J712,2)</f>
        <v>130.14</v>
      </c>
      <c r="L712" s="29" t="s">
        <v>109</v>
      </c>
      <c r="M712" s="21" t="s">
        <v>110</v>
      </c>
      <c r="N712" s="21" t="s">
        <v>41</v>
      </c>
      <c r="O712" s="21" t="s">
        <v>644</v>
      </c>
    </row>
    <row r="713" customFormat="false" ht="15" hidden="false" customHeight="true" outlineLevel="0" collapsed="false">
      <c r="A713" s="3" t="s">
        <v>681</v>
      </c>
      <c r="B713" s="3" t="s">
        <v>556</v>
      </c>
      <c r="C713" s="3" t="s">
        <v>682</v>
      </c>
      <c r="M713" s="21"/>
      <c r="N713" s="21"/>
      <c r="O713" s="21"/>
    </row>
    <row r="714" customFormat="false" ht="24" hidden="false" customHeight="true" outlineLevel="0" collapsed="false">
      <c r="C714" s="22" t="s">
        <v>683</v>
      </c>
      <c r="M714" s="21"/>
      <c r="N714" s="21"/>
      <c r="O714" s="21"/>
    </row>
    <row r="715" customFormat="false" ht="15" hidden="false" customHeight="true" outlineLevel="0" collapsed="false">
      <c r="C715" s="23" t="s">
        <v>653</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140.49</v>
      </c>
      <c r="K716" s="27" t="n">
        <f aca="false">ROUND(I716*J716,2)</f>
        <v>140.49</v>
      </c>
      <c r="L716" s="29" t="s">
        <v>109</v>
      </c>
      <c r="M716" s="21" t="s">
        <v>110</v>
      </c>
      <c r="N716" s="21" t="s">
        <v>41</v>
      </c>
      <c r="O716" s="21" t="s">
        <v>644</v>
      </c>
    </row>
    <row r="717" customFormat="false" ht="15" hidden="false" customHeight="true" outlineLevel="0" collapsed="false">
      <c r="A717" s="3" t="s">
        <v>684</v>
      </c>
      <c r="B717" s="3" t="s">
        <v>564</v>
      </c>
      <c r="C717" s="3" t="s">
        <v>685</v>
      </c>
      <c r="M717" s="21"/>
      <c r="N717" s="21"/>
      <c r="O717" s="21"/>
    </row>
    <row r="718" customFormat="false" ht="96" hidden="false" customHeight="true" outlineLevel="0" collapsed="false">
      <c r="C718" s="22" t="s">
        <v>686</v>
      </c>
      <c r="M718" s="21"/>
      <c r="N718" s="21"/>
      <c r="O718" s="21"/>
    </row>
    <row r="719" customFormat="false" ht="15" hidden="false" customHeight="true" outlineLevel="0" collapsed="false">
      <c r="C719" s="23" t="s">
        <v>653</v>
      </c>
      <c r="D719" s="24" t="n">
        <v>23</v>
      </c>
      <c r="H719" s="25" t="n">
        <f aca="false">IF(COUNT(D719:G719)=0,0,D719*IF(E719="",1,E719)*IF(F719="",1,F719)*IF(G719="",1,G719))</f>
        <v>23</v>
      </c>
      <c r="M719" s="21"/>
      <c r="N719" s="21"/>
      <c r="O719" s="21"/>
    </row>
    <row r="720" customFormat="false" ht="15" hidden="false" customHeight="true" outlineLevel="0" collapsed="false">
      <c r="H720" s="26"/>
      <c r="I720" s="27" t="n">
        <f aca="false">ROUND(SUM(H719:H719),2)</f>
        <v>23</v>
      </c>
      <c r="J720" s="28" t="n">
        <v>5.51</v>
      </c>
      <c r="K720" s="27" t="n">
        <f aca="false">ROUND(I720*J720,2)</f>
        <v>126.73</v>
      </c>
      <c r="L720" s="29" t="s">
        <v>109</v>
      </c>
      <c r="M720" s="21" t="s">
        <v>110</v>
      </c>
      <c r="N720" s="21" t="s">
        <v>41</v>
      </c>
      <c r="O720" s="21" t="s">
        <v>644</v>
      </c>
    </row>
    <row r="721" customFormat="false" ht="15" hidden="false" customHeight="true" outlineLevel="0" collapsed="false">
      <c r="A721" s="3" t="s">
        <v>687</v>
      </c>
      <c r="B721" s="3" t="s">
        <v>556</v>
      </c>
      <c r="C721" s="3" t="s">
        <v>688</v>
      </c>
      <c r="M721" s="21"/>
      <c r="N721" s="21"/>
      <c r="O721" s="21"/>
    </row>
    <row r="722" customFormat="false" ht="36" hidden="false" customHeight="true" outlineLevel="0" collapsed="false">
      <c r="C722" s="22" t="s">
        <v>689</v>
      </c>
      <c r="M722" s="21"/>
      <c r="N722" s="21"/>
      <c r="O722" s="21"/>
    </row>
    <row r="723" customFormat="false" ht="15" hidden="false" customHeight="true" outlineLevel="0" collapsed="false">
      <c r="C723" s="23" t="s">
        <v>653</v>
      </c>
      <c r="D723" s="24" t="n">
        <v>1</v>
      </c>
      <c r="H723" s="25" t="n">
        <f aca="false">IF(COUNT(D723:G723)=0,0,D723*IF(E723="",1,E723)*IF(F723="",1,F723)*IF(G723="",1,G723))</f>
        <v>1</v>
      </c>
      <c r="M723" s="21"/>
      <c r="N723" s="21"/>
      <c r="O723" s="21"/>
    </row>
    <row r="724" customFormat="false" ht="15" hidden="false" customHeight="true" outlineLevel="0" collapsed="false">
      <c r="H724" s="26"/>
      <c r="I724" s="27" t="n">
        <f aca="false">ROUND(SUM(H723:H723),2)</f>
        <v>1</v>
      </c>
      <c r="J724" s="28" t="n">
        <v>142.75</v>
      </c>
      <c r="K724" s="27" t="n">
        <f aca="false">ROUND(I724*J724,2)</f>
        <v>142.75</v>
      </c>
      <c r="L724" s="29" t="s">
        <v>109</v>
      </c>
      <c r="M724" s="21" t="s">
        <v>110</v>
      </c>
      <c r="N724" s="21" t="s">
        <v>41</v>
      </c>
      <c r="O724" s="21" t="s">
        <v>644</v>
      </c>
    </row>
    <row r="725" customFormat="false" ht="15" hidden="false" customHeight="true" outlineLevel="0" collapsed="false">
      <c r="A725" s="3" t="s">
        <v>690</v>
      </c>
      <c r="B725" s="3" t="s">
        <v>556</v>
      </c>
      <c r="C725" s="3" t="s">
        <v>691</v>
      </c>
      <c r="M725" s="21"/>
      <c r="N725" s="21"/>
      <c r="O725" s="21"/>
    </row>
    <row r="726" customFormat="false" ht="24" hidden="false" customHeight="true" outlineLevel="0" collapsed="false">
      <c r="C726" s="22" t="s">
        <v>692</v>
      </c>
      <c r="M726" s="21"/>
      <c r="N726" s="21"/>
      <c r="O726" s="21"/>
    </row>
    <row r="727" customFormat="false" ht="15" hidden="false" customHeight="true" outlineLevel="0" collapsed="false">
      <c r="C727" s="23" t="s">
        <v>653</v>
      </c>
      <c r="D727" s="24" t="n">
        <v>1</v>
      </c>
      <c r="H727" s="25" t="n">
        <f aca="false">IF(COUNT(D727:G727)=0,0,D727*IF(E727="",1,E727)*IF(F727="",1,F727)*IF(G727="",1,G727))</f>
        <v>1</v>
      </c>
      <c r="M727" s="21"/>
      <c r="N727" s="21"/>
      <c r="O727" s="21"/>
    </row>
    <row r="728" customFormat="false" ht="15" hidden="false" customHeight="true" outlineLevel="0" collapsed="false">
      <c r="H728" s="26"/>
      <c r="I728" s="27" t="n">
        <f aca="false">ROUND(SUM(H727:H727),2)</f>
        <v>1</v>
      </c>
      <c r="J728" s="28" t="n">
        <v>135.9</v>
      </c>
      <c r="K728" s="27" t="n">
        <f aca="false">ROUND(I728*J728,2)</f>
        <v>135.9</v>
      </c>
      <c r="L728" s="29" t="s">
        <v>109</v>
      </c>
      <c r="M728" s="21" t="s">
        <v>110</v>
      </c>
      <c r="N728" s="21" t="s">
        <v>41</v>
      </c>
      <c r="O728" s="21" t="s">
        <v>644</v>
      </c>
    </row>
    <row r="729" customFormat="false" ht="15" hidden="false" customHeight="true" outlineLevel="0" collapsed="false">
      <c r="A729" s="3" t="s">
        <v>693</v>
      </c>
      <c r="B729" s="3" t="s">
        <v>556</v>
      </c>
      <c r="C729" s="3" t="s">
        <v>694</v>
      </c>
      <c r="M729" s="21"/>
      <c r="N729" s="21"/>
      <c r="O729" s="21"/>
    </row>
    <row r="730" customFormat="false" ht="24" hidden="false" customHeight="true" outlineLevel="0" collapsed="false">
      <c r="C730" s="22" t="s">
        <v>695</v>
      </c>
      <c r="M730" s="21"/>
      <c r="N730" s="21"/>
      <c r="O730" s="21"/>
    </row>
    <row r="731" customFormat="false" ht="15" hidden="false" customHeight="true" outlineLevel="0" collapsed="false">
      <c r="C731" s="23" t="s">
        <v>653</v>
      </c>
      <c r="D731" s="24" t="n">
        <v>1</v>
      </c>
      <c r="H731" s="25" t="n">
        <f aca="false">IF(COUNT(D731:G731)=0,0,D731*IF(E731="",1,E731)*IF(F731="",1,F731)*IF(G731="",1,G731))</f>
        <v>1</v>
      </c>
      <c r="M731" s="21"/>
      <c r="N731" s="21"/>
      <c r="O731" s="21"/>
    </row>
    <row r="732" customFormat="false" ht="15" hidden="false" customHeight="true" outlineLevel="0" collapsed="false">
      <c r="H732" s="26"/>
      <c r="I732" s="27" t="n">
        <f aca="false">ROUND(SUM(H731:H731),2)</f>
        <v>1</v>
      </c>
      <c r="J732" s="28" t="n">
        <v>135.9</v>
      </c>
      <c r="K732" s="27" t="n">
        <f aca="false">ROUND(I732*J732,2)</f>
        <v>135.9</v>
      </c>
      <c r="L732" s="29" t="s">
        <v>109</v>
      </c>
      <c r="M732" s="21" t="s">
        <v>110</v>
      </c>
      <c r="N732" s="21" t="s">
        <v>41</v>
      </c>
      <c r="O732" s="21" t="s">
        <v>644</v>
      </c>
    </row>
    <row r="733" customFormat="false" ht="15" hidden="false" customHeight="true" outlineLevel="0" collapsed="false">
      <c r="A733" s="3" t="s">
        <v>696</v>
      </c>
      <c r="B733" s="3" t="s">
        <v>153</v>
      </c>
      <c r="C733" s="3" t="s">
        <v>697</v>
      </c>
      <c r="M733" s="21"/>
      <c r="N733" s="21"/>
      <c r="O733" s="21"/>
    </row>
    <row r="734" customFormat="false" ht="36" hidden="false" customHeight="true" outlineLevel="0" collapsed="false">
      <c r="C734" s="22" t="s">
        <v>698</v>
      </c>
      <c r="M734" s="21"/>
      <c r="N734" s="21"/>
      <c r="O734" s="21"/>
    </row>
    <row r="735" customFormat="false" ht="15" hidden="false" customHeight="true" outlineLevel="0" collapsed="false">
      <c r="C735" s="23" t="s">
        <v>699</v>
      </c>
      <c r="D735" s="24" t="n">
        <v>1</v>
      </c>
      <c r="E735" s="24" t="n">
        <v>176</v>
      </c>
      <c r="H735" s="25" t="n">
        <f aca="false">IF(COUNT(D735:G735)=0,0,D735*IF(E735="",1,E735)*IF(F735="",1,F735)*IF(G735="",1,G735))</f>
        <v>176</v>
      </c>
      <c r="M735" s="21"/>
      <c r="N735" s="21"/>
      <c r="O735" s="21"/>
    </row>
    <row r="736" customFormat="false" ht="15" hidden="false" customHeight="true" outlineLevel="0" collapsed="false">
      <c r="C736" s="23" t="s">
        <v>700</v>
      </c>
      <c r="D736" s="24" t="n">
        <v>1</v>
      </c>
      <c r="E736" s="24" t="n">
        <v>12.3</v>
      </c>
      <c r="H736" s="25" t="n">
        <f aca="false">IF(COUNT(D736:G736)=0,0,D736*IF(E736="",1,E736)*IF(F736="",1,F736)*IF(G736="",1,G736))</f>
        <v>12.3</v>
      </c>
      <c r="M736" s="21"/>
      <c r="N736" s="21"/>
      <c r="O736" s="21"/>
    </row>
    <row r="737" customFormat="false" ht="15" hidden="false" customHeight="true" outlineLevel="0" collapsed="false">
      <c r="H737" s="26"/>
      <c r="I737" s="27" t="n">
        <f aca="false">ROUND(SUM(H735:H736),2)</f>
        <v>188.3</v>
      </c>
      <c r="J737" s="28" t="n">
        <v>24.21</v>
      </c>
      <c r="K737" s="27" t="n">
        <f aca="false">ROUND(I737*J737,2)</f>
        <v>4558.74</v>
      </c>
      <c r="L737" s="29" t="s">
        <v>109</v>
      </c>
      <c r="M737" s="21" t="s">
        <v>110</v>
      </c>
      <c r="N737" s="21" t="s">
        <v>41</v>
      </c>
      <c r="O737" s="21" t="s">
        <v>644</v>
      </c>
    </row>
    <row r="738" customFormat="false" ht="15" hidden="false" customHeight="true" outlineLevel="0" collapsed="false">
      <c r="A738" s="3" t="s">
        <v>701</v>
      </c>
      <c r="B738" s="3" t="s">
        <v>105</v>
      </c>
      <c r="C738" s="3" t="s">
        <v>702</v>
      </c>
      <c r="M738" s="21"/>
      <c r="N738" s="21"/>
      <c r="O738" s="21"/>
    </row>
    <row r="739" customFormat="false" ht="24" hidden="false" customHeight="true" outlineLevel="0" collapsed="false">
      <c r="C739" s="22" t="s">
        <v>703</v>
      </c>
      <c r="M739" s="21"/>
      <c r="N739" s="21"/>
      <c r="O739" s="21"/>
    </row>
    <row r="740" customFormat="false" ht="15" hidden="false" customHeight="true" outlineLevel="0" collapsed="false">
      <c r="C740" s="23" t="s">
        <v>704</v>
      </c>
      <c r="D740" s="24" t="n">
        <v>3</v>
      </c>
      <c r="H740" s="25" t="n">
        <f aca="false">IF(COUNT(D740:G740)=0,0,D740*IF(E740="",1,E740)*IF(F740="",1,F740)*IF(G740="",1,G740))</f>
        <v>3</v>
      </c>
      <c r="M740" s="21"/>
      <c r="N740" s="21"/>
      <c r="O740" s="21"/>
    </row>
    <row r="741" customFormat="false" ht="18.75" hidden="false" customHeight="true" outlineLevel="0" collapsed="false">
      <c r="H741" s="26"/>
      <c r="I741" s="27" t="n">
        <f aca="false">ROUND(SUM(H740:H740),2)</f>
        <v>3</v>
      </c>
      <c r="J741" s="28" t="n">
        <v>520</v>
      </c>
      <c r="K741" s="27" t="n">
        <f aca="false">ROUND(I741*J741,2)</f>
        <v>1560</v>
      </c>
      <c r="L741" s="29" t="s">
        <v>138</v>
      </c>
      <c r="M741" s="21" t="s">
        <v>110</v>
      </c>
      <c r="N741" s="21" t="s">
        <v>41</v>
      </c>
      <c r="O741" s="21" t="s">
        <v>644</v>
      </c>
    </row>
    <row r="742" customFormat="false" ht="15" hidden="false" customHeight="true" outlineLevel="0" collapsed="false">
      <c r="A742" s="3" t="s">
        <v>705</v>
      </c>
      <c r="B742" s="3" t="s">
        <v>556</v>
      </c>
      <c r="C742" s="3" t="s">
        <v>706</v>
      </c>
      <c r="M742" s="21"/>
      <c r="N742" s="21"/>
      <c r="O742" s="21"/>
    </row>
    <row r="743" customFormat="false" ht="12" hidden="false" customHeight="true" outlineLevel="0" collapsed="false">
      <c r="C743" s="22" t="s">
        <v>707</v>
      </c>
      <c r="M743" s="21"/>
      <c r="N743" s="21"/>
      <c r="O743" s="21"/>
    </row>
    <row r="744" customFormat="false" ht="15" hidden="false" customHeight="true" outlineLevel="0" collapsed="false">
      <c r="C744" s="23" t="s">
        <v>708</v>
      </c>
      <c r="D744" s="24" t="n">
        <v>6</v>
      </c>
      <c r="H744" s="25" t="n">
        <f aca="false">IF(COUNT(D744:G744)=0,0,D744*IF(E744="",1,E744)*IF(F744="",1,F744)*IF(G744="",1,G744))</f>
        <v>6</v>
      </c>
      <c r="M744" s="21"/>
      <c r="N744" s="21"/>
      <c r="O744" s="21"/>
    </row>
    <row r="745" customFormat="false" ht="15" hidden="false" customHeight="true" outlineLevel="0" collapsed="false">
      <c r="H745" s="26"/>
      <c r="I745" s="27" t="n">
        <f aca="false">ROUND(SUM(H744:H744),2)</f>
        <v>6</v>
      </c>
      <c r="J745" s="28" t="n">
        <v>80.8</v>
      </c>
      <c r="K745" s="27" t="n">
        <f aca="false">ROUND(I745*J745,2)</f>
        <v>484.8</v>
      </c>
      <c r="L745" s="29" t="s">
        <v>109</v>
      </c>
      <c r="M745" s="21" t="s">
        <v>110</v>
      </c>
      <c r="N745" s="21" t="s">
        <v>41</v>
      </c>
      <c r="O745" s="21" t="s">
        <v>644</v>
      </c>
    </row>
    <row r="746" customFormat="false" ht="15" hidden="false" customHeight="true" outlineLevel="0" collapsed="false">
      <c r="A746" s="3" t="s">
        <v>709</v>
      </c>
      <c r="B746" s="3" t="s">
        <v>556</v>
      </c>
      <c r="C746" s="3" t="s">
        <v>710</v>
      </c>
      <c r="M746" s="21"/>
      <c r="N746" s="21"/>
      <c r="O746" s="21"/>
    </row>
    <row r="747" customFormat="false" ht="48" hidden="false" customHeight="true" outlineLevel="0" collapsed="false">
      <c r="C747" s="22" t="s">
        <v>711</v>
      </c>
      <c r="M747" s="21"/>
      <c r="N747" s="21"/>
      <c r="O747" s="21"/>
    </row>
    <row r="748" customFormat="false" ht="15" hidden="false" customHeight="true" outlineLevel="0" collapsed="false">
      <c r="C748" s="23" t="s">
        <v>108</v>
      </c>
      <c r="D748" s="24" t="n">
        <v>1</v>
      </c>
      <c r="H748" s="25" t="n">
        <f aca="false">IF(COUNT(D748:G748)=0,0,D748*IF(E748="",1,E748)*IF(F748="",1,F748)*IF(G748="",1,G748))</f>
        <v>1</v>
      </c>
      <c r="M748" s="21"/>
      <c r="N748" s="21"/>
      <c r="O748" s="21"/>
    </row>
    <row r="749" customFormat="false" ht="15" hidden="false" customHeight="true" outlineLevel="0" collapsed="false">
      <c r="H749" s="26"/>
      <c r="I749" s="27" t="n">
        <f aca="false">ROUND(SUM(H748:H748),2)</f>
        <v>1</v>
      </c>
      <c r="J749" s="28" t="n">
        <v>33.06</v>
      </c>
      <c r="K749" s="27" t="n">
        <f aca="false">ROUND(I749*J749,2)</f>
        <v>33.06</v>
      </c>
      <c r="L749" s="29" t="s">
        <v>109</v>
      </c>
      <c r="M749" s="21" t="s">
        <v>110</v>
      </c>
      <c r="N749" s="21" t="s">
        <v>41</v>
      </c>
      <c r="O749" s="21" t="s">
        <v>644</v>
      </c>
    </row>
    <row r="750" customFormat="false" ht="15" hidden="false" customHeight="true" outlineLevel="0" collapsed="false">
      <c r="A750" s="3" t="s">
        <v>712</v>
      </c>
      <c r="C750" s="3" t="s">
        <v>713</v>
      </c>
      <c r="M750" s="21" t="s">
        <v>194</v>
      </c>
      <c r="N750" s="21" t="s">
        <v>41</v>
      </c>
      <c r="O750" s="21" t="s">
        <v>712</v>
      </c>
    </row>
    <row r="751" customFormat="false" ht="15" hidden="false" customHeight="true" outlineLevel="0" collapsed="false">
      <c r="A751" s="3" t="s">
        <v>714</v>
      </c>
      <c r="B751" s="3" t="s">
        <v>105</v>
      </c>
      <c r="C751" s="3" t="s">
        <v>715</v>
      </c>
      <c r="M751" s="21"/>
      <c r="N751" s="21"/>
      <c r="O751" s="21"/>
    </row>
    <row r="752" customFormat="false" ht="24" hidden="false" customHeight="true" outlineLevel="0" collapsed="false">
      <c r="C752" s="22" t="s">
        <v>716</v>
      </c>
      <c r="M752" s="21"/>
      <c r="N752" s="21"/>
      <c r="O752" s="21"/>
    </row>
    <row r="753" customFormat="false" ht="15" hidden="false" customHeight="true" outlineLevel="0" collapsed="false">
      <c r="C753" s="23" t="s">
        <v>717</v>
      </c>
      <c r="D753" s="24" t="n">
        <v>10</v>
      </c>
      <c r="H753" s="25" t="n">
        <f aca="false">IF(COUNT(D753:G753)=0,0,D753*IF(E753="",1,E753)*IF(F753="",1,F753)*IF(G753="",1,G753))</f>
        <v>10</v>
      </c>
      <c r="M753" s="21"/>
      <c r="N753" s="21"/>
      <c r="O753" s="21"/>
    </row>
    <row r="754" customFormat="false" ht="18.75" hidden="false" customHeight="true" outlineLevel="0" collapsed="false">
      <c r="H754" s="26"/>
      <c r="I754" s="27" t="n">
        <f aca="false">ROUND(SUM(H753:H753),2)</f>
        <v>10</v>
      </c>
      <c r="J754" s="28" t="n">
        <v>38</v>
      </c>
      <c r="K754" s="27" t="n">
        <f aca="false">ROUND(I754*J754,2)</f>
        <v>380</v>
      </c>
      <c r="L754" s="29" t="s">
        <v>718</v>
      </c>
      <c r="M754" s="21" t="s">
        <v>110</v>
      </c>
      <c r="N754" s="21" t="s">
        <v>41</v>
      </c>
      <c r="O754" s="21" t="s">
        <v>712</v>
      </c>
    </row>
    <row r="755" customFormat="false" ht="15" hidden="false" customHeight="true" outlineLevel="0" collapsed="false">
      <c r="A755" s="3" t="s">
        <v>719</v>
      </c>
      <c r="B755" s="3" t="s">
        <v>105</v>
      </c>
      <c r="C755" s="3" t="s">
        <v>720</v>
      </c>
      <c r="M755" s="21"/>
      <c r="N755" s="21"/>
      <c r="O755" s="21"/>
    </row>
    <row r="756" customFormat="false" ht="24" hidden="false" customHeight="true" outlineLevel="0" collapsed="false">
      <c r="C756" s="22" t="s">
        <v>721</v>
      </c>
      <c r="M756" s="21"/>
      <c r="N756" s="21"/>
      <c r="O756" s="21"/>
    </row>
    <row r="757" customFormat="false" ht="15" hidden="false" customHeight="true" outlineLevel="0" collapsed="false">
      <c r="C757" s="23" t="s">
        <v>722</v>
      </c>
      <c r="D757" s="24" t="n">
        <v>10</v>
      </c>
      <c r="H757" s="25" t="n">
        <f aca="false">IF(COUNT(D757:G757)=0,0,D757*IF(E757="",1,E757)*IF(F757="",1,F757)*IF(G757="",1,G757))</f>
        <v>10</v>
      </c>
      <c r="M757" s="21"/>
      <c r="N757" s="21"/>
      <c r="O757" s="21"/>
    </row>
    <row r="758" customFormat="false" ht="18.75" hidden="false" customHeight="true" outlineLevel="0" collapsed="false">
      <c r="H758" s="26"/>
      <c r="I758" s="27" t="n">
        <f aca="false">ROUND(SUM(H757:H757),2)</f>
        <v>10</v>
      </c>
      <c r="J758" s="28" t="n">
        <v>265</v>
      </c>
      <c r="K758" s="27" t="n">
        <f aca="false">ROUND(I758*J758,2)</f>
        <v>2650</v>
      </c>
      <c r="L758" s="29" t="s">
        <v>723</v>
      </c>
      <c r="M758" s="21" t="s">
        <v>110</v>
      </c>
      <c r="N758" s="21" t="s">
        <v>41</v>
      </c>
      <c r="O758" s="21" t="s">
        <v>712</v>
      </c>
    </row>
    <row r="759" customFormat="false" ht="15" hidden="false" customHeight="true" outlineLevel="0" collapsed="false">
      <c r="A759" s="3" t="s">
        <v>724</v>
      </c>
      <c r="B759" s="3" t="s">
        <v>105</v>
      </c>
      <c r="C759" s="3" t="s">
        <v>725</v>
      </c>
      <c r="M759" s="21"/>
      <c r="N759" s="21"/>
      <c r="O759" s="21"/>
    </row>
    <row r="760" customFormat="false" ht="24" hidden="false" customHeight="true" outlineLevel="0" collapsed="false">
      <c r="C760" s="22" t="s">
        <v>726</v>
      </c>
      <c r="M760" s="21"/>
      <c r="N760" s="21"/>
      <c r="O760" s="21"/>
    </row>
    <row r="761" customFormat="false" ht="15" hidden="false" customHeight="true" outlineLevel="0" collapsed="false">
      <c r="C761" s="23" t="s">
        <v>727</v>
      </c>
      <c r="D761" s="24" t="n">
        <v>9</v>
      </c>
      <c r="H761" s="25" t="n">
        <f aca="false">IF(COUNT(D761:G761)=0,0,D761*IF(E761="",1,E761)*IF(F761="",1,F761)*IF(G761="",1,G761))</f>
        <v>9</v>
      </c>
      <c r="M761" s="21"/>
      <c r="N761" s="21"/>
      <c r="O761" s="21"/>
    </row>
    <row r="762" customFormat="false" ht="18.75" hidden="false" customHeight="true" outlineLevel="0" collapsed="false">
      <c r="H762" s="26"/>
      <c r="I762" s="27" t="n">
        <f aca="false">ROUND(SUM(H761:H761),2)</f>
        <v>9</v>
      </c>
      <c r="J762" s="28" t="n">
        <v>42</v>
      </c>
      <c r="K762" s="27" t="n">
        <f aca="false">ROUND(I762*J762,2)</f>
        <v>378</v>
      </c>
      <c r="L762" s="29" t="s">
        <v>138</v>
      </c>
      <c r="M762" s="21" t="s">
        <v>110</v>
      </c>
      <c r="N762" s="21" t="s">
        <v>41</v>
      </c>
      <c r="O762" s="21" t="s">
        <v>712</v>
      </c>
    </row>
    <row r="763" customFormat="false" ht="15" hidden="false" customHeight="true" outlineLevel="0" collapsed="false">
      <c r="A763" s="3" t="s">
        <v>728</v>
      </c>
      <c r="B763" s="3" t="s">
        <v>564</v>
      </c>
      <c r="C763" s="3" t="s">
        <v>729</v>
      </c>
      <c r="M763" s="21"/>
      <c r="N763" s="21"/>
      <c r="O763" s="21"/>
    </row>
    <row r="764" customFormat="false" ht="156" hidden="false" customHeight="true" outlineLevel="0" collapsed="false">
      <c r="C764" s="22" t="s">
        <v>730</v>
      </c>
      <c r="M764" s="21"/>
      <c r="N764" s="21"/>
      <c r="O764" s="21"/>
    </row>
    <row r="765" customFormat="false" ht="15" hidden="false" customHeight="true" outlineLevel="0" collapsed="false">
      <c r="C765" s="23" t="s">
        <v>731</v>
      </c>
      <c r="D765" s="24" t="n">
        <v>1</v>
      </c>
      <c r="E765" s="24" t="n">
        <v>20</v>
      </c>
      <c r="H765" s="25" t="n">
        <f aca="false">IF(COUNT(D765:G765)=0,0,D765*IF(E765="",1,E765)*IF(F765="",1,F765)*IF(G765="",1,G765))</f>
        <v>20</v>
      </c>
      <c r="M765" s="21"/>
      <c r="N765" s="21"/>
      <c r="O765" s="21"/>
    </row>
    <row r="766" customFormat="false" ht="15" hidden="false" customHeight="true" outlineLevel="0" collapsed="false">
      <c r="H766" s="26"/>
      <c r="I766" s="27" t="n">
        <f aca="false">ROUND(SUM(H765:H765),2)</f>
        <v>20</v>
      </c>
      <c r="J766" s="28" t="n">
        <v>13.22</v>
      </c>
      <c r="K766" s="27" t="n">
        <f aca="false">ROUND(I766*J766,2)</f>
        <v>264.4</v>
      </c>
      <c r="L766" s="29" t="s">
        <v>109</v>
      </c>
      <c r="M766" s="21" t="s">
        <v>110</v>
      </c>
      <c r="N766" s="21" t="s">
        <v>41</v>
      </c>
      <c r="O766" s="21" t="s">
        <v>712</v>
      </c>
    </row>
    <row r="767" customFormat="false" ht="15" hidden="false" customHeight="true" outlineLevel="0" collapsed="false">
      <c r="A767" s="3" t="s">
        <v>732</v>
      </c>
      <c r="B767" s="3" t="s">
        <v>564</v>
      </c>
      <c r="C767" s="3" t="s">
        <v>733</v>
      </c>
      <c r="M767" s="21"/>
      <c r="N767" s="21"/>
      <c r="O767" s="21"/>
    </row>
    <row r="768" customFormat="false" ht="156" hidden="false" customHeight="true" outlineLevel="0" collapsed="false">
      <c r="C768" s="22" t="s">
        <v>734</v>
      </c>
      <c r="M768" s="21"/>
      <c r="N768" s="21"/>
      <c r="O768" s="21"/>
    </row>
    <row r="769" customFormat="false" ht="15" hidden="false" customHeight="true" outlineLevel="0" collapsed="false">
      <c r="C769" s="23" t="s">
        <v>735</v>
      </c>
      <c r="D769" s="24" t="n">
        <v>1</v>
      </c>
      <c r="E769" s="24" t="n">
        <v>12</v>
      </c>
      <c r="H769" s="25" t="n">
        <f aca="false">IF(COUNT(D769:G769)=0,0,D769*IF(E769="",1,E769)*IF(F769="",1,F769)*IF(G769="",1,G769))</f>
        <v>12</v>
      </c>
      <c r="M769" s="21"/>
      <c r="N769" s="21"/>
      <c r="O769" s="21"/>
    </row>
    <row r="770" customFormat="false" ht="15" hidden="false" customHeight="true" outlineLevel="0" collapsed="false">
      <c r="H770" s="26"/>
      <c r="I770" s="27" t="n">
        <f aca="false">ROUND(SUM(H769:H769),2)</f>
        <v>12</v>
      </c>
      <c r="J770" s="28" t="n">
        <v>16.15</v>
      </c>
      <c r="K770" s="27" t="n">
        <f aca="false">ROUND(I770*J770,2)</f>
        <v>193.8</v>
      </c>
      <c r="L770" s="29" t="s">
        <v>109</v>
      </c>
      <c r="M770" s="21" t="s">
        <v>110</v>
      </c>
      <c r="N770" s="21" t="s">
        <v>41</v>
      </c>
      <c r="O770" s="21" t="s">
        <v>712</v>
      </c>
    </row>
    <row r="771" customFormat="false" ht="15" hidden="false" customHeight="true" outlineLevel="0" collapsed="false">
      <c r="A771" s="3" t="s">
        <v>736</v>
      </c>
      <c r="B771" s="3" t="s">
        <v>556</v>
      </c>
      <c r="C771" s="3" t="s">
        <v>737</v>
      </c>
      <c r="M771" s="21"/>
      <c r="N771" s="21"/>
      <c r="O771" s="21"/>
    </row>
    <row r="772" customFormat="false" ht="96" hidden="false" customHeight="true" outlineLevel="0" collapsed="false">
      <c r="C772" s="22" t="s">
        <v>738</v>
      </c>
      <c r="M772" s="21"/>
      <c r="N772" s="21"/>
      <c r="O772" s="21"/>
    </row>
    <row r="773" customFormat="false" ht="15" hidden="false" customHeight="true" outlineLevel="0" collapsed="false">
      <c r="C773" s="23" t="s">
        <v>739</v>
      </c>
      <c r="D773" s="24" t="n">
        <v>3</v>
      </c>
      <c r="H773" s="25" t="n">
        <f aca="false">IF(COUNT(D773:G773)=0,0,D773*IF(E773="",1,E773)*IF(F773="",1,F773)*IF(G773="",1,G773))</f>
        <v>3</v>
      </c>
      <c r="M773" s="21"/>
      <c r="N773" s="21"/>
      <c r="O773" s="21"/>
    </row>
    <row r="774" customFormat="false" ht="15" hidden="false" customHeight="true" outlineLevel="0" collapsed="false">
      <c r="H774" s="26"/>
      <c r="I774" s="27" t="n">
        <f aca="false">ROUND(SUM(H773:H773),2)</f>
        <v>3</v>
      </c>
      <c r="J774" s="28" t="n">
        <v>55.1</v>
      </c>
      <c r="K774" s="27" t="n">
        <f aca="false">ROUND(I774*J774,2)</f>
        <v>165.3</v>
      </c>
      <c r="L774" s="29" t="s">
        <v>109</v>
      </c>
      <c r="M774" s="21" t="s">
        <v>110</v>
      </c>
      <c r="N774" s="21" t="s">
        <v>41</v>
      </c>
      <c r="O774" s="21" t="s">
        <v>712</v>
      </c>
    </row>
    <row r="775" customFormat="false" ht="15" hidden="false" customHeight="true" outlineLevel="0" collapsed="false">
      <c r="A775" s="3" t="s">
        <v>740</v>
      </c>
      <c r="C775" s="3" t="s">
        <v>741</v>
      </c>
      <c r="M775" s="21" t="s">
        <v>194</v>
      </c>
      <c r="N775" s="21" t="s">
        <v>41</v>
      </c>
      <c r="O775" s="21" t="s">
        <v>740</v>
      </c>
    </row>
    <row r="776" customFormat="false" ht="15" hidden="false" customHeight="true" outlineLevel="0" collapsed="false">
      <c r="A776" s="3" t="s">
        <v>742</v>
      </c>
      <c r="B776" s="3" t="s">
        <v>564</v>
      </c>
      <c r="C776" s="3" t="s">
        <v>743</v>
      </c>
      <c r="M776" s="21"/>
      <c r="N776" s="21"/>
      <c r="O776" s="21"/>
    </row>
    <row r="777" customFormat="false" ht="36" hidden="false" customHeight="true" outlineLevel="0" collapsed="false">
      <c r="C777" s="22" t="s">
        <v>744</v>
      </c>
      <c r="M777" s="21"/>
      <c r="N777" s="21"/>
      <c r="O777" s="21"/>
    </row>
    <row r="778" customFormat="false" ht="15" hidden="false" customHeight="true" outlineLevel="0" collapsed="false">
      <c r="C778" s="23" t="s">
        <v>653</v>
      </c>
      <c r="D778" s="24" t="n">
        <v>10</v>
      </c>
      <c r="H778" s="25" t="n">
        <f aca="false">IF(COUNT(D778:G778)=0,0,D778*IF(E778="",1,E778)*IF(F778="",1,F778)*IF(G778="",1,G778))</f>
        <v>10</v>
      </c>
      <c r="M778" s="21"/>
      <c r="N778" s="21"/>
      <c r="O778" s="21"/>
    </row>
    <row r="779" customFormat="false" ht="15" hidden="false" customHeight="true" outlineLevel="0" collapsed="false">
      <c r="H779" s="26"/>
      <c r="I779" s="27" t="n">
        <f aca="false">ROUND(SUM(H778:H778),2)</f>
        <v>10</v>
      </c>
      <c r="J779" s="28" t="n">
        <v>15.9</v>
      </c>
      <c r="K779" s="27" t="n">
        <f aca="false">ROUND(I779*J779,2)</f>
        <v>159</v>
      </c>
      <c r="L779" s="29" t="s">
        <v>109</v>
      </c>
      <c r="M779" s="21" t="s">
        <v>110</v>
      </c>
      <c r="N779" s="21" t="s">
        <v>41</v>
      </c>
      <c r="O779" s="21" t="s">
        <v>740</v>
      </c>
    </row>
    <row r="780" customFormat="false" ht="15" hidden="false" customHeight="true" outlineLevel="0" collapsed="false">
      <c r="A780" s="3" t="s">
        <v>745</v>
      </c>
      <c r="B780" s="3" t="s">
        <v>564</v>
      </c>
      <c r="C780" s="3" t="s">
        <v>746</v>
      </c>
      <c r="M780" s="21"/>
      <c r="N780" s="21"/>
      <c r="O780" s="21"/>
    </row>
    <row r="781" customFormat="false" ht="60" hidden="false" customHeight="true" outlineLevel="0" collapsed="false">
      <c r="C781" s="22" t="s">
        <v>747</v>
      </c>
      <c r="M781" s="21"/>
      <c r="N781" s="21"/>
      <c r="O781" s="21"/>
    </row>
    <row r="782" customFormat="false" ht="15" hidden="false" customHeight="true" outlineLevel="0" collapsed="false">
      <c r="C782" s="23" t="s">
        <v>653</v>
      </c>
      <c r="D782" s="24" t="n">
        <v>15</v>
      </c>
      <c r="H782" s="25" t="n">
        <f aca="false">IF(COUNT(D782:G782)=0,0,D782*IF(E782="",1,E782)*IF(F782="",1,F782)*IF(G782="",1,G782))</f>
        <v>15</v>
      </c>
      <c r="M782" s="21"/>
      <c r="N782" s="21"/>
      <c r="O782" s="21"/>
    </row>
    <row r="783" customFormat="false" ht="15" hidden="false" customHeight="true" outlineLevel="0" collapsed="false">
      <c r="H783" s="26"/>
      <c r="I783" s="27" t="n">
        <f aca="false">ROUND(SUM(H782:H782),2)</f>
        <v>15</v>
      </c>
      <c r="J783" s="28" t="n">
        <v>8.14</v>
      </c>
      <c r="K783" s="27" t="n">
        <f aca="false">ROUND(I783*J783,2)</f>
        <v>122.1</v>
      </c>
      <c r="L783" s="29" t="s">
        <v>109</v>
      </c>
      <c r="M783" s="21" t="s">
        <v>110</v>
      </c>
      <c r="N783" s="21" t="s">
        <v>41</v>
      </c>
      <c r="O783" s="21" t="s">
        <v>740</v>
      </c>
    </row>
    <row r="784" customFormat="false" ht="15" hidden="false" customHeight="true" outlineLevel="0" collapsed="false">
      <c r="A784" s="3" t="s">
        <v>748</v>
      </c>
      <c r="B784" s="3" t="s">
        <v>556</v>
      </c>
      <c r="C784" s="3" t="s">
        <v>749</v>
      </c>
      <c r="M784" s="21"/>
      <c r="N784" s="21"/>
      <c r="O784" s="21"/>
    </row>
    <row r="785" customFormat="false" ht="48" hidden="false" customHeight="true" outlineLevel="0" collapsed="false">
      <c r="C785" s="22" t="s">
        <v>750</v>
      </c>
      <c r="M785" s="21"/>
      <c r="N785" s="21"/>
      <c r="O785" s="21"/>
    </row>
    <row r="786" customFormat="false" ht="15" hidden="false" customHeight="true" outlineLevel="0" collapsed="false">
      <c r="C786" s="23" t="s">
        <v>653</v>
      </c>
      <c r="D786" s="24" t="n">
        <v>4</v>
      </c>
      <c r="H786" s="25" t="n">
        <f aca="false">IF(COUNT(D786:G786)=0,0,D786*IF(E786="",1,E786)*IF(F786="",1,F786)*IF(G786="",1,G786))</f>
        <v>4</v>
      </c>
      <c r="M786" s="21"/>
      <c r="N786" s="21"/>
      <c r="O786" s="21"/>
    </row>
    <row r="787" customFormat="false" ht="15" hidden="false" customHeight="true" outlineLevel="0" collapsed="false">
      <c r="H787" s="26"/>
      <c r="I787" s="27" t="n">
        <f aca="false">ROUND(SUM(H786:H786),2)</f>
        <v>4</v>
      </c>
      <c r="J787" s="28" t="n">
        <v>19.93</v>
      </c>
      <c r="K787" s="27" t="n">
        <f aca="false">ROUND(I787*J787,2)</f>
        <v>79.72</v>
      </c>
      <c r="L787" s="29" t="s">
        <v>109</v>
      </c>
      <c r="M787" s="21" t="s">
        <v>110</v>
      </c>
      <c r="N787" s="21" t="s">
        <v>41</v>
      </c>
      <c r="O787" s="21" t="s">
        <v>740</v>
      </c>
    </row>
    <row r="788" customFormat="false" ht="15" hidden="false" customHeight="true" outlineLevel="0" collapsed="false">
      <c r="A788" s="3" t="s">
        <v>751</v>
      </c>
      <c r="B788" s="3" t="s">
        <v>556</v>
      </c>
      <c r="C788" s="3" t="s">
        <v>752</v>
      </c>
      <c r="M788" s="21"/>
      <c r="N788" s="21"/>
      <c r="O788" s="21"/>
    </row>
    <row r="789" customFormat="false" ht="48" hidden="false" customHeight="true" outlineLevel="0" collapsed="false">
      <c r="C789" s="22" t="s">
        <v>753</v>
      </c>
      <c r="M789" s="21"/>
      <c r="N789" s="21"/>
      <c r="O789" s="21"/>
    </row>
    <row r="790" customFormat="false" ht="15" hidden="false" customHeight="true" outlineLevel="0" collapsed="false">
      <c r="C790" s="23" t="s">
        <v>653</v>
      </c>
      <c r="D790" s="24" t="n">
        <v>1</v>
      </c>
      <c r="H790" s="25" t="n">
        <f aca="false">IF(COUNT(D790:G790)=0,0,D790*IF(E790="",1,E790)*IF(F790="",1,F790)*IF(G790="",1,G790))</f>
        <v>1</v>
      </c>
      <c r="M790" s="21"/>
      <c r="N790" s="21"/>
      <c r="O790" s="21"/>
    </row>
    <row r="791" customFormat="false" ht="15" hidden="false" customHeight="true" outlineLevel="0" collapsed="false">
      <c r="H791" s="26"/>
      <c r="I791" s="27" t="n">
        <f aca="false">ROUND(SUM(H790:H790),2)</f>
        <v>1</v>
      </c>
      <c r="J791" s="28" t="n">
        <v>26.43</v>
      </c>
      <c r="K791" s="27" t="n">
        <f aca="false">ROUND(I791*J791,2)</f>
        <v>26.43</v>
      </c>
      <c r="L791" s="29" t="s">
        <v>109</v>
      </c>
      <c r="M791" s="21" t="s">
        <v>110</v>
      </c>
      <c r="N791" s="21" t="s">
        <v>41</v>
      </c>
      <c r="O791" s="21" t="s">
        <v>740</v>
      </c>
    </row>
    <row r="792" customFormat="false" ht="15" hidden="false" customHeight="true" outlineLevel="0" collapsed="false">
      <c r="A792" s="3" t="s">
        <v>754</v>
      </c>
      <c r="B792" s="3" t="s">
        <v>556</v>
      </c>
      <c r="C792" s="3" t="s">
        <v>755</v>
      </c>
      <c r="M792" s="21"/>
      <c r="N792" s="21"/>
      <c r="O792" s="21"/>
    </row>
    <row r="793" customFormat="false" ht="36" hidden="false" customHeight="true" outlineLevel="0" collapsed="false">
      <c r="C793" s="22" t="s">
        <v>756</v>
      </c>
      <c r="M793" s="21"/>
      <c r="N793" s="21"/>
      <c r="O793" s="21"/>
    </row>
    <row r="794" customFormat="false" ht="15" hidden="false" customHeight="true" outlineLevel="0" collapsed="false">
      <c r="C794" s="23" t="s">
        <v>653</v>
      </c>
      <c r="D794" s="24" t="n">
        <v>1</v>
      </c>
      <c r="H794" s="25" t="n">
        <f aca="false">IF(COUNT(D794:G794)=0,0,D794*IF(E794="",1,E794)*IF(F794="",1,F794)*IF(G794="",1,G794))</f>
        <v>1</v>
      </c>
      <c r="M794" s="21"/>
      <c r="N794" s="21"/>
      <c r="O794" s="21"/>
    </row>
    <row r="795" customFormat="false" ht="15" hidden="false" customHeight="true" outlineLevel="0" collapsed="false">
      <c r="H795" s="26"/>
      <c r="I795" s="27" t="n">
        <f aca="false">ROUND(SUM(H794:H794),2)</f>
        <v>1</v>
      </c>
      <c r="J795" s="28" t="n">
        <v>222.21</v>
      </c>
      <c r="K795" s="27" t="n">
        <f aca="false">ROUND(I795*J795,2)</f>
        <v>222.21</v>
      </c>
      <c r="L795" s="29" t="s">
        <v>109</v>
      </c>
      <c r="M795" s="21" t="s">
        <v>110</v>
      </c>
      <c r="N795" s="21" t="s">
        <v>41</v>
      </c>
      <c r="O795" s="21" t="s">
        <v>740</v>
      </c>
    </row>
    <row r="796" customFormat="false" ht="15" hidden="false" customHeight="true" outlineLevel="0" collapsed="false">
      <c r="A796" s="3" t="s">
        <v>757</v>
      </c>
      <c r="B796" s="3" t="s">
        <v>556</v>
      </c>
      <c r="C796" s="3" t="s">
        <v>758</v>
      </c>
      <c r="M796" s="21"/>
      <c r="N796" s="21"/>
      <c r="O796" s="21"/>
    </row>
    <row r="797" customFormat="false" ht="216" hidden="false" customHeight="true" outlineLevel="0" collapsed="false">
      <c r="C797" s="22" t="s">
        <v>759</v>
      </c>
      <c r="M797" s="21"/>
      <c r="N797" s="21"/>
      <c r="O797" s="21"/>
    </row>
    <row r="798" customFormat="false" ht="15" hidden="false" customHeight="true" outlineLevel="0" collapsed="false">
      <c r="C798" s="23" t="s">
        <v>653</v>
      </c>
      <c r="D798" s="24" t="n">
        <v>1</v>
      </c>
      <c r="H798" s="25" t="n">
        <f aca="false">IF(COUNT(D798:G798)=0,0,D798*IF(E798="",1,E798)*IF(F798="",1,F798)*IF(G798="",1,G798))</f>
        <v>1</v>
      </c>
      <c r="M798" s="21"/>
      <c r="N798" s="21"/>
      <c r="O798" s="21"/>
    </row>
    <row r="799" customFormat="false" ht="15" hidden="false" customHeight="true" outlineLevel="0" collapsed="false">
      <c r="H799" s="26"/>
      <c r="I799" s="27" t="n">
        <f aca="false">ROUND(SUM(H798:H798),2)</f>
        <v>1</v>
      </c>
      <c r="J799" s="28" t="n">
        <v>117.05</v>
      </c>
      <c r="K799" s="27" t="n">
        <f aca="false">ROUND(I799*J799,2)</f>
        <v>117.05</v>
      </c>
      <c r="L799" s="29" t="s">
        <v>109</v>
      </c>
      <c r="M799" s="21" t="s">
        <v>110</v>
      </c>
      <c r="N799" s="21" t="s">
        <v>41</v>
      </c>
      <c r="O799" s="21" t="s">
        <v>740</v>
      </c>
    </row>
    <row r="800" customFormat="false" ht="15" hidden="false" customHeight="true" outlineLevel="0" collapsed="false">
      <c r="A800" s="3" t="s">
        <v>760</v>
      </c>
      <c r="B800" s="3" t="s">
        <v>564</v>
      </c>
      <c r="C800" s="3" t="s">
        <v>761</v>
      </c>
      <c r="M800" s="21"/>
      <c r="N800" s="21"/>
      <c r="O800" s="21"/>
    </row>
    <row r="801" customFormat="false" ht="48" hidden="false" customHeight="true" outlineLevel="0" collapsed="false">
      <c r="C801" s="22" t="s">
        <v>762</v>
      </c>
      <c r="M801" s="21"/>
      <c r="N801" s="21"/>
      <c r="O801" s="21"/>
    </row>
    <row r="802" customFormat="false" ht="15" hidden="false" customHeight="true" outlineLevel="0" collapsed="false">
      <c r="C802" s="23" t="s">
        <v>653</v>
      </c>
      <c r="D802" s="24" t="n">
        <v>6</v>
      </c>
      <c r="H802" s="25" t="n">
        <f aca="false">IF(COUNT(D802:G802)=0,0,D802*IF(E802="",1,E802)*IF(F802="",1,F802)*IF(G802="",1,G802))</f>
        <v>6</v>
      </c>
      <c r="M802" s="21"/>
      <c r="N802" s="21"/>
      <c r="O802" s="21"/>
    </row>
    <row r="803" customFormat="false" ht="15" hidden="false" customHeight="true" outlineLevel="0" collapsed="false">
      <c r="H803" s="26"/>
      <c r="I803" s="27" t="n">
        <f aca="false">ROUND(SUM(H802:H802),2)</f>
        <v>6</v>
      </c>
      <c r="J803" s="28" t="n">
        <v>16.96</v>
      </c>
      <c r="K803" s="27" t="n">
        <f aca="false">ROUND(I803*J803,2)</f>
        <v>101.76</v>
      </c>
      <c r="L803" s="29" t="s">
        <v>109</v>
      </c>
      <c r="M803" s="21" t="s">
        <v>110</v>
      </c>
      <c r="N803" s="21" t="s">
        <v>41</v>
      </c>
      <c r="O803" s="21" t="s">
        <v>740</v>
      </c>
    </row>
    <row r="804" customFormat="false" ht="15" hidden="false" customHeight="true" outlineLevel="0" collapsed="false">
      <c r="A804" s="3" t="s">
        <v>763</v>
      </c>
      <c r="B804" s="3" t="s">
        <v>105</v>
      </c>
      <c r="C804" s="3" t="s">
        <v>764</v>
      </c>
      <c r="M804" s="21"/>
      <c r="N804" s="21"/>
      <c r="O804" s="21"/>
    </row>
    <row r="805" customFormat="false" ht="36" hidden="false" customHeight="true" outlineLevel="0" collapsed="false">
      <c r="C805" s="22" t="s">
        <v>765</v>
      </c>
      <c r="M805" s="21"/>
      <c r="N805" s="21"/>
      <c r="O805" s="21"/>
    </row>
    <row r="806" customFormat="false" ht="15" hidden="false" customHeight="true" outlineLevel="0" collapsed="false">
      <c r="C806" s="23" t="s">
        <v>766</v>
      </c>
      <c r="D806" s="24" t="n">
        <v>1</v>
      </c>
      <c r="H806" s="25" t="n">
        <f aca="false">IF(COUNT(D806:G806)=0,0,D806*IF(E806="",1,E806)*IF(F806="",1,F806)*IF(G806="",1,G806))</f>
        <v>1</v>
      </c>
      <c r="M806" s="21"/>
      <c r="N806" s="21"/>
      <c r="O806" s="21"/>
    </row>
    <row r="807" customFormat="false" ht="15" hidden="false" customHeight="true" outlineLevel="0" collapsed="false">
      <c r="C807" s="23" t="s">
        <v>767</v>
      </c>
      <c r="D807" s="24" t="n">
        <v>0.5</v>
      </c>
      <c r="H807" s="25" t="n">
        <f aca="false">IF(COUNT(D807:G807)=0,0,D807*IF(E807="",1,E807)*IF(F807="",1,F807)*IF(G807="",1,G807))</f>
        <v>0.5</v>
      </c>
      <c r="M807" s="21"/>
      <c r="N807" s="21"/>
      <c r="O807" s="21"/>
    </row>
    <row r="808" customFormat="false" ht="18.75" hidden="false" customHeight="true" outlineLevel="0" collapsed="false">
      <c r="H808" s="26"/>
      <c r="I808" s="27" t="n">
        <f aca="false">ROUND(SUM(H806:H807),2)</f>
        <v>1.5</v>
      </c>
      <c r="J808" s="28" t="n">
        <v>1250</v>
      </c>
      <c r="K808" s="27" t="n">
        <f aca="false">ROUND(I808*J808,2)</f>
        <v>1875</v>
      </c>
      <c r="L808" s="29" t="s">
        <v>138</v>
      </c>
      <c r="M808" s="21" t="s">
        <v>110</v>
      </c>
      <c r="N808" s="21" t="s">
        <v>41</v>
      </c>
      <c r="O808" s="21" t="s">
        <v>740</v>
      </c>
    </row>
    <row r="809" customFormat="false" ht="15" hidden="false" customHeight="true" outlineLevel="0" collapsed="false">
      <c r="A809" s="3" t="s">
        <v>768</v>
      </c>
      <c r="B809" s="3" t="s">
        <v>564</v>
      </c>
      <c r="C809" s="3" t="s">
        <v>769</v>
      </c>
      <c r="M809" s="21"/>
      <c r="N809" s="21"/>
      <c r="O809" s="21"/>
    </row>
    <row r="810" customFormat="false" ht="48" hidden="false" customHeight="true" outlineLevel="0" collapsed="false">
      <c r="C810" s="22" t="s">
        <v>770</v>
      </c>
      <c r="M810" s="21"/>
      <c r="N810" s="21"/>
      <c r="O810" s="21"/>
    </row>
    <row r="811" customFormat="false" ht="15" hidden="false" customHeight="true" outlineLevel="0" collapsed="false">
      <c r="C811" s="23" t="s">
        <v>653</v>
      </c>
      <c r="D811" s="24" t="n">
        <v>160</v>
      </c>
      <c r="H811" s="25" t="n">
        <f aca="false">IF(COUNT(D811:G811)=0,0,D811*IF(E811="",1,E811)*IF(F811="",1,F811)*IF(G811="",1,G811))</f>
        <v>160</v>
      </c>
      <c r="M811" s="21"/>
      <c r="N811" s="21"/>
      <c r="O811" s="21"/>
    </row>
    <row r="812" customFormat="false" ht="15" hidden="false" customHeight="true" outlineLevel="0" collapsed="false">
      <c r="H812" s="26"/>
      <c r="I812" s="27" t="n">
        <f aca="false">ROUND(SUM(H811:H811),2)</f>
        <v>160</v>
      </c>
      <c r="J812" s="28" t="n">
        <v>0.51</v>
      </c>
      <c r="K812" s="27" t="n">
        <f aca="false">ROUND(I812*J812,2)</f>
        <v>81.6</v>
      </c>
      <c r="L812" s="29" t="s">
        <v>109</v>
      </c>
      <c r="M812" s="21" t="s">
        <v>110</v>
      </c>
      <c r="N812" s="21" t="s">
        <v>41</v>
      </c>
      <c r="O812" s="21" t="s">
        <v>740</v>
      </c>
    </row>
    <row r="813" customFormat="false" ht="15" hidden="false" customHeight="true" outlineLevel="0" collapsed="false">
      <c r="A813" s="3" t="s">
        <v>771</v>
      </c>
      <c r="B813" s="3" t="s">
        <v>105</v>
      </c>
      <c r="C813" s="3" t="s">
        <v>772</v>
      </c>
      <c r="M813" s="21"/>
      <c r="N813" s="21"/>
      <c r="O813" s="21"/>
    </row>
    <row r="814" customFormat="false" ht="48" hidden="false" customHeight="true" outlineLevel="0" collapsed="false">
      <c r="C814" s="22" t="s">
        <v>773</v>
      </c>
      <c r="M814" s="21"/>
      <c r="N814" s="21"/>
      <c r="O814" s="21"/>
    </row>
    <row r="815" customFormat="false" ht="15" hidden="false" customHeight="true" outlineLevel="0" collapsed="false">
      <c r="C815" s="23" t="s">
        <v>653</v>
      </c>
      <c r="D815" s="24" t="n">
        <v>480</v>
      </c>
      <c r="H815" s="25" t="n">
        <f aca="false">IF(COUNT(D815:G815)=0,0,D815*IF(E815="",1,E815)*IF(F815="",1,F815)*IF(G815="",1,G815))</f>
        <v>480</v>
      </c>
      <c r="M815" s="21"/>
      <c r="N815" s="21"/>
      <c r="O815" s="21"/>
    </row>
    <row r="816" customFormat="false" ht="15" hidden="false" customHeight="true" outlineLevel="0" collapsed="false">
      <c r="H816" s="26"/>
      <c r="I816" s="27" t="n">
        <f aca="false">ROUND(SUM(H815:H815),2)</f>
        <v>480</v>
      </c>
      <c r="J816" s="28" t="n">
        <v>0.57</v>
      </c>
      <c r="K816" s="27" t="n">
        <f aca="false">ROUND(I816*J816,2)</f>
        <v>273.6</v>
      </c>
      <c r="L816" s="29" t="s">
        <v>109</v>
      </c>
      <c r="M816" s="21" t="s">
        <v>110</v>
      </c>
      <c r="N816" s="21" t="s">
        <v>41</v>
      </c>
      <c r="O816" s="21" t="s">
        <v>740</v>
      </c>
    </row>
    <row r="817" customFormat="false" ht="15" hidden="false" customHeight="true" outlineLevel="0" collapsed="false">
      <c r="A817" s="3" t="s">
        <v>774</v>
      </c>
      <c r="B817" s="3" t="s">
        <v>564</v>
      </c>
      <c r="C817" s="3" t="s">
        <v>775</v>
      </c>
      <c r="M817" s="21"/>
      <c r="N817" s="21"/>
      <c r="O817" s="21"/>
    </row>
    <row r="818" customFormat="false" ht="48" hidden="false" customHeight="true" outlineLevel="0" collapsed="false">
      <c r="C818" s="22" t="s">
        <v>776</v>
      </c>
      <c r="M818" s="21"/>
      <c r="N818" s="21"/>
      <c r="O818" s="21"/>
    </row>
    <row r="819" customFormat="false" ht="15" hidden="false" customHeight="true" outlineLevel="0" collapsed="false">
      <c r="C819" s="23" t="s">
        <v>653</v>
      </c>
      <c r="D819" s="24" t="n">
        <v>70</v>
      </c>
      <c r="H819" s="25" t="n">
        <f aca="false">IF(COUNT(D819:G819)=0,0,D819*IF(E819="",1,E819)*IF(F819="",1,F819)*IF(G819="",1,G819))</f>
        <v>70</v>
      </c>
      <c r="M819" s="21"/>
      <c r="N819" s="21"/>
      <c r="O819" s="21"/>
    </row>
    <row r="820" customFormat="false" ht="15" hidden="false" customHeight="true" outlineLevel="0" collapsed="false">
      <c r="H820" s="26"/>
      <c r="I820" s="27" t="n">
        <f aca="false">ROUND(SUM(H819:H819),2)</f>
        <v>70</v>
      </c>
      <c r="J820" s="28" t="n">
        <v>0.64</v>
      </c>
      <c r="K820" s="27" t="n">
        <f aca="false">ROUND(I820*J820,2)</f>
        <v>44.8</v>
      </c>
      <c r="L820" s="29" t="s">
        <v>109</v>
      </c>
      <c r="M820" s="21" t="s">
        <v>110</v>
      </c>
      <c r="N820" s="21" t="s">
        <v>41</v>
      </c>
      <c r="O820" s="21" t="s">
        <v>740</v>
      </c>
    </row>
    <row r="821" customFormat="false" ht="15" hidden="false" customHeight="true" outlineLevel="0" collapsed="false">
      <c r="A821" s="3" t="s">
        <v>777</v>
      </c>
      <c r="B821" s="3" t="s">
        <v>564</v>
      </c>
      <c r="C821" s="3" t="s">
        <v>778</v>
      </c>
      <c r="M821" s="21"/>
      <c r="N821" s="21"/>
      <c r="O821" s="21"/>
    </row>
    <row r="822" customFormat="false" ht="48" hidden="false" customHeight="true" outlineLevel="0" collapsed="false">
      <c r="C822" s="22" t="s">
        <v>779</v>
      </c>
      <c r="M822" s="21"/>
      <c r="N822" s="21"/>
      <c r="O822" s="21"/>
    </row>
    <row r="823" customFormat="false" ht="15" hidden="false" customHeight="true" outlineLevel="0" collapsed="false">
      <c r="C823" s="23" t="s">
        <v>653</v>
      </c>
      <c r="D823" s="24" t="n">
        <v>30</v>
      </c>
      <c r="H823" s="25" t="n">
        <f aca="false">IF(COUNT(D823:G823)=0,0,D823*IF(E823="",1,E823)*IF(F823="",1,F823)*IF(G823="",1,G823))</f>
        <v>30</v>
      </c>
      <c r="M823" s="21"/>
      <c r="N823" s="21"/>
      <c r="O823" s="21"/>
    </row>
    <row r="824" customFormat="false" ht="15" hidden="false" customHeight="true" outlineLevel="0" collapsed="false">
      <c r="H824" s="26"/>
      <c r="I824" s="27" t="n">
        <f aca="false">ROUND(SUM(H823:H823),2)</f>
        <v>30</v>
      </c>
      <c r="J824" s="28" t="n">
        <v>0.7</v>
      </c>
      <c r="K824" s="27" t="n">
        <f aca="false">ROUND(I824*J824,2)</f>
        <v>21</v>
      </c>
      <c r="L824" s="29" t="s">
        <v>109</v>
      </c>
      <c r="M824" s="21" t="s">
        <v>110</v>
      </c>
      <c r="N824" s="21" t="s">
        <v>41</v>
      </c>
      <c r="O824" s="21" t="s">
        <v>740</v>
      </c>
    </row>
    <row r="825" customFormat="false" ht="15" hidden="false" customHeight="true" outlineLevel="0" collapsed="false">
      <c r="A825" s="3" t="s">
        <v>780</v>
      </c>
      <c r="B825" s="3" t="s">
        <v>564</v>
      </c>
      <c r="C825" s="3" t="s">
        <v>781</v>
      </c>
      <c r="M825" s="21"/>
      <c r="N825" s="21"/>
      <c r="O825" s="21"/>
    </row>
    <row r="826" customFormat="false" ht="36" hidden="false" customHeight="true" outlineLevel="0" collapsed="false">
      <c r="C826" s="22" t="s">
        <v>782</v>
      </c>
      <c r="M826" s="21"/>
      <c r="N826" s="21"/>
      <c r="O826" s="21"/>
    </row>
    <row r="827" customFormat="false" ht="15" hidden="false" customHeight="true" outlineLevel="0" collapsed="false">
      <c r="C827" s="23" t="s">
        <v>653</v>
      </c>
      <c r="D827" s="24" t="n">
        <v>15</v>
      </c>
      <c r="H827" s="25" t="n">
        <f aca="false">IF(COUNT(D827:G827)=0,0,D827*IF(E827="",1,E827)*IF(F827="",1,F827)*IF(G827="",1,G827))</f>
        <v>15</v>
      </c>
      <c r="M827" s="21"/>
      <c r="N827" s="21"/>
      <c r="O827" s="21"/>
    </row>
    <row r="828" customFormat="false" ht="15" hidden="false" customHeight="true" outlineLevel="0" collapsed="false">
      <c r="H828" s="26"/>
      <c r="I828" s="27" t="n">
        <f aca="false">ROUND(SUM(H827:H827),2)</f>
        <v>15</v>
      </c>
      <c r="J828" s="28" t="n">
        <v>24.42</v>
      </c>
      <c r="K828" s="27" t="n">
        <f aca="false">ROUND(I828*J828,2)</f>
        <v>366.3</v>
      </c>
      <c r="L828" s="29" t="s">
        <v>109</v>
      </c>
      <c r="M828" s="21" t="s">
        <v>110</v>
      </c>
      <c r="N828" s="21" t="s">
        <v>41</v>
      </c>
      <c r="O828" s="21" t="s">
        <v>740</v>
      </c>
    </row>
    <row r="829" customFormat="false" ht="15" hidden="false" customHeight="true" outlineLevel="0" collapsed="false">
      <c r="A829" s="3" t="s">
        <v>783</v>
      </c>
      <c r="B829" s="3" t="s">
        <v>564</v>
      </c>
      <c r="C829" s="3" t="s">
        <v>784</v>
      </c>
      <c r="M829" s="21"/>
      <c r="N829" s="21"/>
      <c r="O829" s="21"/>
    </row>
    <row r="830" customFormat="false" ht="36" hidden="false" customHeight="true" outlineLevel="0" collapsed="false">
      <c r="C830" s="22" t="s">
        <v>785</v>
      </c>
      <c r="M830" s="21"/>
      <c r="N830" s="21"/>
      <c r="O830" s="21"/>
    </row>
    <row r="831" customFormat="false" ht="15" hidden="false" customHeight="true" outlineLevel="0" collapsed="false">
      <c r="C831" s="23" t="s">
        <v>653</v>
      </c>
      <c r="D831" s="24" t="n">
        <v>600</v>
      </c>
      <c r="H831" s="25" t="n">
        <f aca="false">IF(COUNT(D831:G831)=0,0,D831*IF(E831="",1,E831)*IF(F831="",1,F831)*IF(G831="",1,G831))</f>
        <v>600</v>
      </c>
      <c r="M831" s="21"/>
      <c r="N831" s="21"/>
      <c r="O831" s="21"/>
    </row>
    <row r="832" customFormat="false" ht="15" hidden="false" customHeight="true" outlineLevel="0" collapsed="false">
      <c r="H832" s="26"/>
      <c r="I832" s="27" t="n">
        <f aca="false">ROUND(SUM(H831:H831),2)</f>
        <v>600</v>
      </c>
      <c r="J832" s="28" t="n">
        <v>0.95</v>
      </c>
      <c r="K832" s="27" t="n">
        <f aca="false">ROUND(I832*J832,2)</f>
        <v>570</v>
      </c>
      <c r="L832" s="29" t="s">
        <v>109</v>
      </c>
      <c r="M832" s="21" t="s">
        <v>110</v>
      </c>
      <c r="N832" s="21" t="s">
        <v>41</v>
      </c>
      <c r="O832" s="21" t="s">
        <v>740</v>
      </c>
    </row>
    <row r="833" customFormat="false" ht="15" hidden="false" customHeight="true" outlineLevel="0" collapsed="false">
      <c r="A833" s="3" t="s">
        <v>786</v>
      </c>
      <c r="B833" s="3" t="s">
        <v>564</v>
      </c>
      <c r="C833" s="3" t="s">
        <v>787</v>
      </c>
      <c r="M833" s="21"/>
      <c r="N833" s="21"/>
      <c r="O833" s="21"/>
    </row>
    <row r="834" customFormat="false" ht="36" hidden="false" customHeight="true" outlineLevel="0" collapsed="false">
      <c r="C834" s="22" t="s">
        <v>788</v>
      </c>
      <c r="M834" s="21"/>
      <c r="N834" s="21"/>
      <c r="O834" s="21"/>
    </row>
    <row r="835" customFormat="false" ht="15" hidden="false" customHeight="true" outlineLevel="0" collapsed="false">
      <c r="C835" s="23" t="s">
        <v>653</v>
      </c>
      <c r="D835" s="24" t="n">
        <v>1100</v>
      </c>
      <c r="H835" s="25" t="n">
        <f aca="false">IF(COUNT(D835:G835)=0,0,D835*IF(E835="",1,E835)*IF(F835="",1,F835)*IF(G835="",1,G835))</f>
        <v>1100</v>
      </c>
      <c r="M835" s="21"/>
      <c r="N835" s="21"/>
      <c r="O835" s="21"/>
    </row>
    <row r="836" customFormat="false" ht="15" hidden="false" customHeight="true" outlineLevel="0" collapsed="false">
      <c r="H836" s="26"/>
      <c r="I836" s="27" t="n">
        <f aca="false">ROUND(SUM(H835:H835),2)</f>
        <v>1100</v>
      </c>
      <c r="J836" s="28" t="n">
        <v>1.06</v>
      </c>
      <c r="K836" s="27" t="n">
        <f aca="false">ROUND(I836*J836,2)</f>
        <v>1166</v>
      </c>
      <c r="L836" s="29" t="s">
        <v>109</v>
      </c>
      <c r="M836" s="21" t="s">
        <v>110</v>
      </c>
      <c r="N836" s="21" t="s">
        <v>41</v>
      </c>
      <c r="O836" s="21" t="s">
        <v>740</v>
      </c>
    </row>
    <row r="837" customFormat="false" ht="15" hidden="false" customHeight="true" outlineLevel="0" collapsed="false">
      <c r="A837" s="3" t="s">
        <v>789</v>
      </c>
      <c r="B837" s="3" t="s">
        <v>564</v>
      </c>
      <c r="C837" s="3" t="s">
        <v>790</v>
      </c>
      <c r="M837" s="21"/>
      <c r="N837" s="21"/>
      <c r="O837" s="21"/>
    </row>
    <row r="838" customFormat="false" ht="36" hidden="false" customHeight="true" outlineLevel="0" collapsed="false">
      <c r="C838" s="22" t="s">
        <v>791</v>
      </c>
      <c r="M838" s="21"/>
      <c r="N838" s="21"/>
      <c r="O838" s="21"/>
    </row>
    <row r="839" customFormat="false" ht="15" hidden="false" customHeight="true" outlineLevel="0" collapsed="false">
      <c r="C839" s="23" t="s">
        <v>653</v>
      </c>
      <c r="D839" s="24" t="n">
        <v>200</v>
      </c>
      <c r="H839" s="25" t="n">
        <f aca="false">IF(COUNT(D839:G839)=0,0,D839*IF(E839="",1,E839)*IF(F839="",1,F839)*IF(G839="",1,G839))</f>
        <v>200</v>
      </c>
      <c r="M839" s="21"/>
      <c r="N839" s="21"/>
      <c r="O839" s="21"/>
    </row>
    <row r="840" customFormat="false" ht="15" hidden="false" customHeight="true" outlineLevel="0" collapsed="false">
      <c r="H840" s="26"/>
      <c r="I840" s="27" t="n">
        <f aca="false">ROUND(SUM(H839:H839),2)</f>
        <v>200</v>
      </c>
      <c r="J840" s="28" t="n">
        <v>2.12</v>
      </c>
      <c r="K840" s="27" t="n">
        <f aca="false">ROUND(I840*J840,2)</f>
        <v>424</v>
      </c>
      <c r="L840" s="29" t="s">
        <v>109</v>
      </c>
      <c r="M840" s="21" t="s">
        <v>110</v>
      </c>
      <c r="N840" s="21" t="s">
        <v>41</v>
      </c>
      <c r="O840" s="21" t="s">
        <v>740</v>
      </c>
    </row>
    <row r="841" customFormat="false" ht="15" hidden="false" customHeight="true" outlineLevel="0" collapsed="false">
      <c r="A841" s="3" t="s">
        <v>792</v>
      </c>
      <c r="B841" s="3" t="s">
        <v>564</v>
      </c>
      <c r="C841" s="3" t="s">
        <v>793</v>
      </c>
      <c r="M841" s="21"/>
      <c r="N841" s="21"/>
      <c r="O841" s="21"/>
    </row>
    <row r="842" customFormat="false" ht="12" hidden="false" customHeight="true" outlineLevel="0" collapsed="false">
      <c r="C842" s="22"/>
      <c r="M842" s="21"/>
      <c r="N842" s="21"/>
      <c r="O842" s="21"/>
    </row>
    <row r="843" customFormat="false" ht="15" hidden="false" customHeight="true" outlineLevel="0" collapsed="false">
      <c r="C843" s="23" t="s">
        <v>653</v>
      </c>
      <c r="D843" s="24" t="n">
        <v>30</v>
      </c>
      <c r="H843" s="25" t="n">
        <f aca="false">IF(COUNT(D843:G843)=0,0,D843*IF(E843="",1,E843)*IF(F843="",1,F843)*IF(G843="",1,G843))</f>
        <v>30</v>
      </c>
      <c r="M843" s="21"/>
      <c r="N843" s="21"/>
      <c r="O843" s="21"/>
    </row>
    <row r="844" customFormat="false" ht="15" hidden="false" customHeight="true" outlineLevel="0" collapsed="false">
      <c r="H844" s="26"/>
      <c r="I844" s="27" t="n">
        <f aca="false">ROUND(SUM(H843:H843),2)</f>
        <v>30</v>
      </c>
      <c r="J844" s="28" t="n">
        <v>7.08</v>
      </c>
      <c r="K844" s="27" t="n">
        <f aca="false">ROUND(I844*J844,2)</f>
        <v>212.4</v>
      </c>
      <c r="L844" s="29" t="s">
        <v>109</v>
      </c>
      <c r="M844" s="21" t="s">
        <v>110</v>
      </c>
      <c r="N844" s="21" t="s">
        <v>41</v>
      </c>
      <c r="O844" s="21" t="s">
        <v>740</v>
      </c>
    </row>
    <row r="845" customFormat="false" ht="15" hidden="false" customHeight="true" outlineLevel="0" collapsed="false">
      <c r="A845" s="3" t="s">
        <v>794</v>
      </c>
      <c r="B845" s="3" t="s">
        <v>556</v>
      </c>
      <c r="C845" s="3" t="s">
        <v>795</v>
      </c>
      <c r="M845" s="21"/>
      <c r="N845" s="21"/>
      <c r="O845" s="21"/>
    </row>
    <row r="846" customFormat="false" ht="72" hidden="false" customHeight="true" outlineLevel="0" collapsed="false">
      <c r="C846" s="22" t="s">
        <v>796</v>
      </c>
      <c r="M846" s="21"/>
      <c r="N846" s="21"/>
      <c r="O846" s="21"/>
    </row>
    <row r="847" customFormat="false" ht="15" hidden="false" customHeight="true" outlineLevel="0" collapsed="false">
      <c r="C847" s="23" t="s">
        <v>797</v>
      </c>
      <c r="D847" s="24" t="n">
        <v>32</v>
      </c>
      <c r="H847" s="25" t="n">
        <f aca="false">IF(COUNT(D847:G847)=0,0,D847*IF(E847="",1,E847)*IF(F847="",1,F847)*IF(G847="",1,G847))</f>
        <v>32</v>
      </c>
      <c r="M847" s="21"/>
      <c r="N847" s="21"/>
      <c r="O847" s="21"/>
    </row>
    <row r="848" customFormat="false" ht="15" hidden="false" customHeight="true" outlineLevel="0" collapsed="false">
      <c r="H848" s="26"/>
      <c r="I848" s="27" t="n">
        <f aca="false">ROUND(SUM(H847:H847),2)</f>
        <v>32</v>
      </c>
      <c r="J848" s="28" t="n">
        <v>9.54</v>
      </c>
      <c r="K848" s="27" t="n">
        <f aca="false">ROUND(I848*J848,2)</f>
        <v>305.28</v>
      </c>
      <c r="L848" s="29" t="s">
        <v>109</v>
      </c>
      <c r="M848" s="21" t="s">
        <v>110</v>
      </c>
      <c r="N848" s="21" t="s">
        <v>41</v>
      </c>
      <c r="O848" s="21" t="s">
        <v>740</v>
      </c>
    </row>
    <row r="849" customFormat="false" ht="15" hidden="false" customHeight="true" outlineLevel="0" collapsed="false">
      <c r="A849" s="3" t="s">
        <v>798</v>
      </c>
      <c r="B849" s="3" t="s">
        <v>556</v>
      </c>
      <c r="C849" s="3" t="s">
        <v>799</v>
      </c>
      <c r="M849" s="21"/>
      <c r="N849" s="21"/>
      <c r="O849" s="21"/>
    </row>
    <row r="850" customFormat="false" ht="72" hidden="false" customHeight="true" outlineLevel="0" collapsed="false">
      <c r="C850" s="22" t="s">
        <v>800</v>
      </c>
      <c r="M850" s="21"/>
      <c r="N850" s="21"/>
      <c r="O850" s="21"/>
    </row>
    <row r="851" customFormat="false" ht="15" hidden="false" customHeight="true" outlineLevel="0" collapsed="false">
      <c r="C851" s="23" t="s">
        <v>801</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9.54</v>
      </c>
      <c r="K852" s="27" t="n">
        <f aca="false">ROUND(I852*J852,2)</f>
        <v>19.08</v>
      </c>
      <c r="L852" s="29" t="s">
        <v>109</v>
      </c>
      <c r="M852" s="21" t="s">
        <v>110</v>
      </c>
      <c r="N852" s="21" t="s">
        <v>41</v>
      </c>
      <c r="O852" s="21" t="s">
        <v>740</v>
      </c>
    </row>
    <row r="853" customFormat="false" ht="15" hidden="false" customHeight="true" outlineLevel="0" collapsed="false">
      <c r="A853" s="3" t="s">
        <v>802</v>
      </c>
      <c r="B853" s="3" t="s">
        <v>556</v>
      </c>
      <c r="C853" s="3" t="s">
        <v>803</v>
      </c>
      <c r="M853" s="21"/>
      <c r="N853" s="21"/>
      <c r="O853" s="21"/>
    </row>
    <row r="854" customFormat="false" ht="72" hidden="false" customHeight="true" outlineLevel="0" collapsed="false">
      <c r="C854" s="22" t="s">
        <v>804</v>
      </c>
      <c r="M854" s="21"/>
      <c r="N854" s="21"/>
      <c r="O854" s="21"/>
    </row>
    <row r="855" customFormat="false" ht="15" hidden="false" customHeight="true" outlineLevel="0" collapsed="false">
      <c r="C855" s="23" t="s">
        <v>805</v>
      </c>
      <c r="D855" s="24" t="n">
        <v>72</v>
      </c>
      <c r="H855" s="25" t="n">
        <f aca="false">IF(COUNT(D855:G855)=0,0,D855*IF(E855="",1,E855)*IF(F855="",1,F855)*IF(G855="",1,G855))</f>
        <v>72</v>
      </c>
      <c r="M855" s="21"/>
      <c r="N855" s="21"/>
      <c r="O855" s="21"/>
    </row>
    <row r="856" customFormat="false" ht="15" hidden="false" customHeight="true" outlineLevel="0" collapsed="false">
      <c r="H856" s="26"/>
      <c r="I856" s="27" t="n">
        <f aca="false">ROUND(SUM(H855:H855),2)</f>
        <v>72</v>
      </c>
      <c r="J856" s="28" t="n">
        <v>10.07</v>
      </c>
      <c r="K856" s="27" t="n">
        <f aca="false">ROUND(I856*J856,2)</f>
        <v>725.04</v>
      </c>
      <c r="L856" s="29" t="s">
        <v>109</v>
      </c>
      <c r="M856" s="21" t="s">
        <v>110</v>
      </c>
      <c r="N856" s="21" t="s">
        <v>41</v>
      </c>
      <c r="O856" s="21" t="s">
        <v>740</v>
      </c>
    </row>
    <row r="857" customFormat="false" ht="15" hidden="false" customHeight="true" outlineLevel="0" collapsed="false">
      <c r="A857" s="3" t="s">
        <v>806</v>
      </c>
      <c r="B857" s="3" t="s">
        <v>556</v>
      </c>
      <c r="C857" s="3" t="s">
        <v>807</v>
      </c>
      <c r="M857" s="21"/>
      <c r="N857" s="21"/>
      <c r="O857" s="21"/>
    </row>
    <row r="858" customFormat="false" ht="60" hidden="false" customHeight="true" outlineLevel="0" collapsed="false">
      <c r="C858" s="22" t="s">
        <v>808</v>
      </c>
      <c r="M858" s="21"/>
      <c r="N858" s="21"/>
      <c r="O858" s="21"/>
    </row>
    <row r="859" customFormat="false" ht="15" hidden="false" customHeight="true" outlineLevel="0" collapsed="false">
      <c r="C859" s="23" t="s">
        <v>809</v>
      </c>
      <c r="D859" s="24" t="n">
        <v>2</v>
      </c>
      <c r="H859" s="25" t="n">
        <f aca="false">IF(COUNT(D859:G859)=0,0,D859*IF(E859="",1,E859)*IF(F859="",1,F859)*IF(G859="",1,G859))</f>
        <v>2</v>
      </c>
      <c r="M859" s="21"/>
      <c r="N859" s="21"/>
      <c r="O859" s="21"/>
    </row>
    <row r="860" customFormat="false" ht="15" hidden="false" customHeight="true" outlineLevel="0" collapsed="false">
      <c r="H860" s="26"/>
      <c r="I860" s="27" t="n">
        <f aca="false">ROUND(SUM(H859:H859),2)</f>
        <v>2</v>
      </c>
      <c r="J860" s="28" t="n">
        <v>10.6</v>
      </c>
      <c r="K860" s="27" t="n">
        <f aca="false">ROUND(I860*J860,2)</f>
        <v>21.2</v>
      </c>
      <c r="L860" s="29" t="s">
        <v>109</v>
      </c>
      <c r="M860" s="21" t="s">
        <v>110</v>
      </c>
      <c r="N860" s="21" t="s">
        <v>41</v>
      </c>
      <c r="O860" s="21" t="s">
        <v>740</v>
      </c>
    </row>
    <row r="861" customFormat="false" ht="15" hidden="false" customHeight="true" outlineLevel="0" collapsed="false">
      <c r="A861" s="3" t="s">
        <v>810</v>
      </c>
      <c r="B861" s="3" t="s">
        <v>556</v>
      </c>
      <c r="C861" s="3" t="s">
        <v>811</v>
      </c>
      <c r="M861" s="21"/>
      <c r="N861" s="21"/>
      <c r="O861" s="21"/>
    </row>
    <row r="862" customFormat="false" ht="60" hidden="false" customHeight="true" outlineLevel="0" collapsed="false">
      <c r="C862" s="22" t="s">
        <v>812</v>
      </c>
      <c r="M862" s="21"/>
      <c r="N862" s="21"/>
      <c r="O862" s="21"/>
    </row>
    <row r="863" customFormat="false" ht="15" hidden="false" customHeight="true" outlineLevel="0" collapsed="false">
      <c r="C863" s="23" t="s">
        <v>813</v>
      </c>
      <c r="D863" s="24" t="n">
        <v>2</v>
      </c>
      <c r="H863" s="25" t="n">
        <f aca="false">IF(COUNT(D863:G863)=0,0,D863*IF(E863="",1,E863)*IF(F863="",1,F863)*IF(G863="",1,G863))</f>
        <v>2</v>
      </c>
      <c r="M863" s="21"/>
      <c r="N863" s="21"/>
      <c r="O863" s="21"/>
    </row>
    <row r="864" customFormat="false" ht="15" hidden="false" customHeight="true" outlineLevel="0" collapsed="false">
      <c r="H864" s="26"/>
      <c r="I864" s="27" t="n">
        <f aca="false">ROUND(SUM(H863:H863),2)</f>
        <v>2</v>
      </c>
      <c r="J864" s="28" t="n">
        <v>15.86</v>
      </c>
      <c r="K864" s="27" t="n">
        <f aca="false">ROUND(I864*J864,2)</f>
        <v>31.72</v>
      </c>
      <c r="L864" s="29" t="s">
        <v>109</v>
      </c>
      <c r="M864" s="21" t="s">
        <v>110</v>
      </c>
      <c r="N864" s="21" t="s">
        <v>41</v>
      </c>
      <c r="O864" s="21" t="s">
        <v>740</v>
      </c>
    </row>
    <row r="865" customFormat="false" ht="15" hidden="false" customHeight="true" outlineLevel="0" collapsed="false">
      <c r="A865" s="3" t="s">
        <v>814</v>
      </c>
      <c r="B865" s="3" t="s">
        <v>556</v>
      </c>
      <c r="C865" s="3" t="s">
        <v>815</v>
      </c>
      <c r="M865" s="21"/>
      <c r="N865" s="21"/>
      <c r="O865" s="21"/>
    </row>
    <row r="866" customFormat="false" ht="36" hidden="false" customHeight="true" outlineLevel="0" collapsed="false">
      <c r="C866" s="22" t="s">
        <v>816</v>
      </c>
      <c r="M866" s="21"/>
      <c r="N866" s="21"/>
      <c r="O866" s="21"/>
    </row>
    <row r="867" customFormat="false" ht="15" hidden="false" customHeight="true" outlineLevel="0" collapsed="false">
      <c r="C867" s="23" t="s">
        <v>817</v>
      </c>
      <c r="D867" s="24" t="n">
        <v>9</v>
      </c>
      <c r="H867" s="25" t="n">
        <f aca="false">IF(COUNT(D867:G867)=0,0,D867*IF(E867="",1,E867)*IF(F867="",1,F867)*IF(G867="",1,G867))</f>
        <v>9</v>
      </c>
      <c r="M867" s="21"/>
      <c r="N867" s="21"/>
      <c r="O867" s="21"/>
    </row>
    <row r="868" customFormat="false" ht="15" hidden="false" customHeight="true" outlineLevel="0" collapsed="false">
      <c r="H868" s="26"/>
      <c r="I868" s="27" t="n">
        <f aca="false">ROUND(SUM(H867:H867),2)</f>
        <v>9</v>
      </c>
      <c r="J868" s="28" t="n">
        <v>10.07</v>
      </c>
      <c r="K868" s="27" t="n">
        <f aca="false">ROUND(I868*J868,2)</f>
        <v>90.63</v>
      </c>
      <c r="L868" s="29" t="s">
        <v>109</v>
      </c>
      <c r="M868" s="21" t="s">
        <v>110</v>
      </c>
      <c r="N868" s="21" t="s">
        <v>41</v>
      </c>
      <c r="O868" s="21" t="s">
        <v>740</v>
      </c>
    </row>
    <row r="869" customFormat="false" ht="15" hidden="false" customHeight="true" outlineLevel="0" collapsed="false">
      <c r="A869" s="3" t="s">
        <v>818</v>
      </c>
      <c r="B869" s="3" t="s">
        <v>556</v>
      </c>
      <c r="C869" s="3" t="s">
        <v>819</v>
      </c>
      <c r="M869" s="21"/>
      <c r="N869" s="21"/>
      <c r="O869" s="21"/>
    </row>
    <row r="870" customFormat="false" ht="60" hidden="false" customHeight="true" outlineLevel="0" collapsed="false">
      <c r="C870" s="22" t="s">
        <v>820</v>
      </c>
      <c r="M870" s="21"/>
      <c r="N870" s="21"/>
      <c r="O870" s="21"/>
    </row>
    <row r="871" customFormat="false" ht="15" hidden="false" customHeight="true" outlineLevel="0" collapsed="false">
      <c r="C871" s="23" t="s">
        <v>821</v>
      </c>
      <c r="D871" s="24" t="n">
        <v>11</v>
      </c>
      <c r="H871" s="25" t="n">
        <f aca="false">IF(COUNT(D871:G871)=0,0,D871*IF(E871="",1,E871)*IF(F871="",1,F871)*IF(G871="",1,G871))</f>
        <v>11</v>
      </c>
      <c r="M871" s="21"/>
      <c r="N871" s="21"/>
      <c r="O871" s="21"/>
    </row>
    <row r="872" customFormat="false" ht="15" hidden="false" customHeight="true" outlineLevel="0" collapsed="false">
      <c r="H872" s="26"/>
      <c r="I872" s="27" t="n">
        <f aca="false">ROUND(SUM(H871:H871),2)</f>
        <v>11</v>
      </c>
      <c r="J872" s="28" t="n">
        <v>9.54</v>
      </c>
      <c r="K872" s="27" t="n">
        <f aca="false">ROUND(I872*J872,2)</f>
        <v>104.94</v>
      </c>
      <c r="L872" s="29" t="s">
        <v>109</v>
      </c>
      <c r="M872" s="21" t="s">
        <v>110</v>
      </c>
      <c r="N872" s="21" t="s">
        <v>41</v>
      </c>
      <c r="O872" s="21" t="s">
        <v>740</v>
      </c>
    </row>
    <row r="873" customFormat="false" ht="15" hidden="false" customHeight="true" outlineLevel="0" collapsed="false">
      <c r="A873" s="3" t="s">
        <v>822</v>
      </c>
      <c r="B873" s="3" t="s">
        <v>556</v>
      </c>
      <c r="C873" s="3" t="s">
        <v>823</v>
      </c>
      <c r="M873" s="21"/>
      <c r="N873" s="21"/>
      <c r="O873" s="21"/>
    </row>
    <row r="874" customFormat="false" ht="48" hidden="false" customHeight="true" outlineLevel="0" collapsed="false">
      <c r="C874" s="22" t="s">
        <v>824</v>
      </c>
      <c r="M874" s="21"/>
      <c r="N874" s="21"/>
      <c r="O874" s="21"/>
    </row>
    <row r="875" customFormat="false" ht="15" hidden="false" customHeight="true" outlineLevel="0" collapsed="false">
      <c r="C875" s="23" t="s">
        <v>825</v>
      </c>
      <c r="D875" s="24" t="n">
        <v>15</v>
      </c>
      <c r="H875" s="25" t="n">
        <f aca="false">IF(COUNT(D875:G875)=0,0,D875*IF(E875="",1,E875)*IF(F875="",1,F875)*IF(G875="",1,G875))</f>
        <v>15</v>
      </c>
      <c r="M875" s="21"/>
      <c r="N875" s="21"/>
      <c r="O875" s="21"/>
    </row>
    <row r="876" customFormat="false" ht="15" hidden="false" customHeight="true" outlineLevel="0" collapsed="false">
      <c r="H876" s="26"/>
      <c r="I876" s="27" t="n">
        <f aca="false">ROUND(SUM(H875:H875),2)</f>
        <v>15</v>
      </c>
      <c r="J876" s="28" t="n">
        <v>13.78</v>
      </c>
      <c r="K876" s="27" t="n">
        <f aca="false">ROUND(I876*J876,2)</f>
        <v>206.7</v>
      </c>
      <c r="L876" s="29" t="s">
        <v>109</v>
      </c>
      <c r="M876" s="21" t="s">
        <v>110</v>
      </c>
      <c r="N876" s="21" t="s">
        <v>41</v>
      </c>
      <c r="O876" s="21" t="s">
        <v>740</v>
      </c>
    </row>
    <row r="877" customFormat="false" ht="15" hidden="false" customHeight="true" outlineLevel="0" collapsed="false">
      <c r="A877" s="3" t="s">
        <v>826</v>
      </c>
      <c r="B877" s="3" t="s">
        <v>556</v>
      </c>
      <c r="C877" s="3" t="s">
        <v>827</v>
      </c>
      <c r="M877" s="21"/>
      <c r="N877" s="21"/>
      <c r="O877" s="21"/>
    </row>
    <row r="878" customFormat="false" ht="48" hidden="false" customHeight="true" outlineLevel="0" collapsed="false">
      <c r="C878" s="22" t="s">
        <v>828</v>
      </c>
      <c r="M878" s="21"/>
      <c r="N878" s="21"/>
      <c r="O878" s="21"/>
    </row>
    <row r="879" customFormat="false" ht="15" hidden="false" customHeight="true" outlineLevel="0" collapsed="false">
      <c r="C879" s="23" t="s">
        <v>829</v>
      </c>
      <c r="D879" s="24" t="n">
        <v>10</v>
      </c>
      <c r="H879" s="25" t="n">
        <f aca="false">IF(COUNT(D879:G879)=0,0,D879*IF(E879="",1,E879)*IF(F879="",1,F879)*IF(G879="",1,G879))</f>
        <v>10</v>
      </c>
      <c r="M879" s="21"/>
      <c r="N879" s="21"/>
      <c r="O879" s="21"/>
    </row>
    <row r="880" customFormat="false" ht="15" hidden="false" customHeight="true" outlineLevel="0" collapsed="false">
      <c r="H880" s="26"/>
      <c r="I880" s="27" t="n">
        <f aca="false">ROUND(SUM(H879:H879),2)</f>
        <v>10</v>
      </c>
      <c r="J880" s="28" t="n">
        <v>9.69</v>
      </c>
      <c r="K880" s="27" t="n">
        <f aca="false">ROUND(I880*J880,2)</f>
        <v>96.9</v>
      </c>
      <c r="L880" s="29" t="s">
        <v>109</v>
      </c>
      <c r="M880" s="21" t="s">
        <v>110</v>
      </c>
      <c r="N880" s="21" t="s">
        <v>41</v>
      </c>
      <c r="O880" s="21" t="s">
        <v>740</v>
      </c>
    </row>
    <row r="881" customFormat="false" ht="15" hidden="false" customHeight="true" outlineLevel="0" collapsed="false">
      <c r="A881" s="3" t="s">
        <v>830</v>
      </c>
      <c r="B881" s="3" t="s">
        <v>556</v>
      </c>
      <c r="C881" s="3" t="s">
        <v>831</v>
      </c>
      <c r="M881" s="21"/>
      <c r="N881" s="21"/>
      <c r="O881" s="21"/>
    </row>
    <row r="882" customFormat="false" ht="48" hidden="false" customHeight="true" outlineLevel="0" collapsed="false">
      <c r="C882" s="22" t="s">
        <v>832</v>
      </c>
      <c r="M882" s="21"/>
      <c r="N882" s="21"/>
      <c r="O882" s="21"/>
    </row>
    <row r="883" customFormat="false" ht="15" hidden="false" customHeight="true" outlineLevel="0" collapsed="false">
      <c r="C883" s="23" t="s">
        <v>618</v>
      </c>
      <c r="D883" s="24" t="n">
        <v>4</v>
      </c>
      <c r="H883" s="25" t="n">
        <f aca="false">IF(COUNT(D883:G883)=0,0,D883*IF(E883="",1,E883)*IF(F883="",1,F883)*IF(G883="",1,G883))</f>
        <v>4</v>
      </c>
      <c r="M883" s="21"/>
      <c r="N883" s="21"/>
      <c r="O883" s="21"/>
    </row>
    <row r="884" customFormat="false" ht="15" hidden="false" customHeight="true" outlineLevel="0" collapsed="false">
      <c r="H884" s="26"/>
      <c r="I884" s="27" t="n">
        <f aca="false">ROUND(SUM(H883:H883),2)</f>
        <v>4</v>
      </c>
      <c r="J884" s="28" t="n">
        <v>6.26</v>
      </c>
      <c r="K884" s="27" t="n">
        <f aca="false">ROUND(I884*J884,2)</f>
        <v>25.04</v>
      </c>
      <c r="L884" s="29" t="s">
        <v>109</v>
      </c>
      <c r="M884" s="21" t="s">
        <v>110</v>
      </c>
      <c r="N884" s="21" t="s">
        <v>41</v>
      </c>
      <c r="O884" s="21" t="s">
        <v>740</v>
      </c>
    </row>
    <row r="885" customFormat="false" ht="15" hidden="false" customHeight="true" outlineLevel="0" collapsed="false">
      <c r="A885" s="3" t="s">
        <v>833</v>
      </c>
      <c r="B885" s="3" t="s">
        <v>556</v>
      </c>
      <c r="C885" s="3" t="s">
        <v>834</v>
      </c>
      <c r="M885" s="21"/>
      <c r="N885" s="21"/>
      <c r="O885" s="21"/>
    </row>
    <row r="886" customFormat="false" ht="36" hidden="false" customHeight="true" outlineLevel="0" collapsed="false">
      <c r="C886" s="22" t="s">
        <v>835</v>
      </c>
      <c r="M886" s="21"/>
      <c r="N886" s="21"/>
      <c r="O886" s="21"/>
    </row>
    <row r="887" customFormat="false" ht="15" hidden="false" customHeight="true" outlineLevel="0" collapsed="false">
      <c r="C887" s="23" t="s">
        <v>836</v>
      </c>
      <c r="D887" s="24" t="n">
        <v>3</v>
      </c>
      <c r="H887" s="25" t="n">
        <f aca="false">IF(COUNT(D887:G887)=0,0,D887*IF(E887="",1,E887)*IF(F887="",1,F887)*IF(G887="",1,G887))</f>
        <v>3</v>
      </c>
      <c r="M887" s="21"/>
      <c r="N887" s="21"/>
      <c r="O887" s="21"/>
    </row>
    <row r="888" customFormat="false" ht="15" hidden="false" customHeight="true" outlineLevel="0" collapsed="false">
      <c r="H888" s="26"/>
      <c r="I888" s="27" t="n">
        <f aca="false">ROUND(SUM(H887:H887),2)</f>
        <v>3</v>
      </c>
      <c r="J888" s="28" t="n">
        <v>72.34</v>
      </c>
      <c r="K888" s="27" t="n">
        <f aca="false">ROUND(I888*J888,2)</f>
        <v>217.02</v>
      </c>
      <c r="L888" s="29" t="s">
        <v>109</v>
      </c>
      <c r="M888" s="21" t="s">
        <v>110</v>
      </c>
      <c r="N888" s="21" t="s">
        <v>41</v>
      </c>
      <c r="O888" s="21" t="s">
        <v>740</v>
      </c>
    </row>
    <row r="889" customFormat="false" ht="15" hidden="false" customHeight="true" outlineLevel="0" collapsed="false">
      <c r="A889" s="3" t="s">
        <v>837</v>
      </c>
      <c r="B889" s="3" t="s">
        <v>556</v>
      </c>
      <c r="C889" s="3" t="s">
        <v>838</v>
      </c>
      <c r="M889" s="21"/>
      <c r="N889" s="21"/>
      <c r="O889" s="21"/>
    </row>
    <row r="890" customFormat="false" ht="24" hidden="false" customHeight="true" outlineLevel="0" collapsed="false">
      <c r="C890" s="22" t="s">
        <v>839</v>
      </c>
      <c r="M890" s="21"/>
      <c r="N890" s="21"/>
      <c r="O890" s="21"/>
    </row>
    <row r="891" customFormat="false" ht="15" hidden="false" customHeight="true" outlineLevel="0" collapsed="false">
      <c r="C891" s="23" t="s">
        <v>840</v>
      </c>
      <c r="D891" s="24" t="n">
        <v>4</v>
      </c>
      <c r="H891" s="25" t="n">
        <f aca="false">IF(COUNT(D891:G891)=0,0,D891*IF(E891="",1,E891)*IF(F891="",1,F891)*IF(G891="",1,G891))</f>
        <v>4</v>
      </c>
      <c r="M891" s="21"/>
      <c r="N891" s="21"/>
      <c r="O891" s="21"/>
    </row>
    <row r="892" customFormat="false" ht="15" hidden="false" customHeight="true" outlineLevel="0" collapsed="false">
      <c r="H892" s="26"/>
      <c r="I892" s="27" t="n">
        <f aca="false">ROUND(SUM(H891:H891),2)</f>
        <v>4</v>
      </c>
      <c r="J892" s="28" t="n">
        <v>95.4</v>
      </c>
      <c r="K892" s="27" t="n">
        <f aca="false">ROUND(I892*J892,2)</f>
        <v>381.6</v>
      </c>
      <c r="L892" s="29" t="s">
        <v>109</v>
      </c>
      <c r="M892" s="21" t="s">
        <v>110</v>
      </c>
      <c r="N892" s="21" t="s">
        <v>41</v>
      </c>
      <c r="O892" s="21" t="s">
        <v>740</v>
      </c>
    </row>
    <row r="893" customFormat="false" ht="15" hidden="false" customHeight="true" outlineLevel="0" collapsed="false">
      <c r="A893" s="3" t="s">
        <v>841</v>
      </c>
      <c r="B893" s="3" t="s">
        <v>556</v>
      </c>
      <c r="C893" s="3" t="s">
        <v>842</v>
      </c>
      <c r="M893" s="21"/>
      <c r="N893" s="21"/>
      <c r="O893" s="21"/>
    </row>
    <row r="894" customFormat="false" ht="12" hidden="false" customHeight="true" outlineLevel="0" collapsed="false">
      <c r="C894" s="22" t="s">
        <v>843</v>
      </c>
      <c r="M894" s="21"/>
      <c r="N894" s="21"/>
      <c r="O894" s="21"/>
    </row>
    <row r="895" customFormat="false" ht="15" hidden="false" customHeight="true" outlineLevel="0" collapsed="false">
      <c r="C895" s="23" t="s">
        <v>844</v>
      </c>
      <c r="D895" s="24" t="n">
        <v>7</v>
      </c>
      <c r="H895" s="25" t="n">
        <f aca="false">IF(COUNT(D895:G895)=0,0,D895*IF(E895="",1,E895)*IF(F895="",1,F895)*IF(G895="",1,G895))</f>
        <v>7</v>
      </c>
      <c r="M895" s="21"/>
      <c r="N895" s="21"/>
      <c r="O895" s="21"/>
    </row>
    <row r="896" customFormat="false" ht="15" hidden="false" customHeight="true" outlineLevel="0" collapsed="false">
      <c r="H896" s="26"/>
      <c r="I896" s="27" t="n">
        <f aca="false">ROUND(SUM(H895:H895),2)</f>
        <v>7</v>
      </c>
      <c r="J896" s="28" t="n">
        <v>28.49</v>
      </c>
      <c r="K896" s="27" t="n">
        <f aca="false">ROUND(I896*J896,2)</f>
        <v>199.43</v>
      </c>
      <c r="L896" s="29" t="s">
        <v>109</v>
      </c>
      <c r="M896" s="21" t="s">
        <v>110</v>
      </c>
      <c r="N896" s="21" t="s">
        <v>41</v>
      </c>
      <c r="O896" s="21" t="s">
        <v>740</v>
      </c>
    </row>
    <row r="897" customFormat="false" ht="15" hidden="false" customHeight="true" outlineLevel="0" collapsed="false">
      <c r="A897" s="3" t="s">
        <v>845</v>
      </c>
      <c r="B897" s="3" t="s">
        <v>556</v>
      </c>
      <c r="C897" s="3" t="s">
        <v>846</v>
      </c>
      <c r="M897" s="21"/>
      <c r="N897" s="21"/>
      <c r="O897" s="21"/>
    </row>
    <row r="898" customFormat="false" ht="60" hidden="false" customHeight="true" outlineLevel="0" collapsed="false">
      <c r="C898" s="22" t="s">
        <v>847</v>
      </c>
      <c r="M898" s="21"/>
      <c r="N898" s="21"/>
      <c r="O898" s="21"/>
    </row>
    <row r="899" customFormat="false" ht="15" hidden="false" customHeight="true" outlineLevel="0" collapsed="false">
      <c r="C899" s="23" t="s">
        <v>801</v>
      </c>
      <c r="D899" s="24" t="n">
        <v>2</v>
      </c>
      <c r="H899" s="25" t="n">
        <f aca="false">IF(COUNT(D899:G899)=0,0,D899*IF(E899="",1,E899)*IF(F899="",1,F899)*IF(G899="",1,G899))</f>
        <v>2</v>
      </c>
      <c r="M899" s="21"/>
      <c r="N899" s="21"/>
      <c r="O899" s="21"/>
    </row>
    <row r="900" customFormat="false" ht="15" hidden="false" customHeight="true" outlineLevel="0" collapsed="false">
      <c r="H900" s="26"/>
      <c r="I900" s="27" t="n">
        <f aca="false">ROUND(SUM(H899:H899),2)</f>
        <v>2</v>
      </c>
      <c r="J900" s="28" t="n">
        <v>45.56</v>
      </c>
      <c r="K900" s="27" t="n">
        <f aca="false">ROUND(I900*J900,2)</f>
        <v>91.12</v>
      </c>
      <c r="L900" s="29" t="s">
        <v>109</v>
      </c>
      <c r="M900" s="21" t="s">
        <v>110</v>
      </c>
      <c r="N900" s="21" t="s">
        <v>41</v>
      </c>
      <c r="O900" s="21" t="s">
        <v>740</v>
      </c>
    </row>
    <row r="901" customFormat="false" ht="15" hidden="false" customHeight="true" outlineLevel="0" collapsed="false">
      <c r="A901" s="3" t="s">
        <v>848</v>
      </c>
      <c r="B901" s="3" t="s">
        <v>556</v>
      </c>
      <c r="C901" s="3" t="s">
        <v>849</v>
      </c>
      <c r="M901" s="21"/>
      <c r="N901" s="21"/>
      <c r="O901" s="21"/>
    </row>
    <row r="902" customFormat="false" ht="36" hidden="false" customHeight="true" outlineLevel="0" collapsed="false">
      <c r="C902" s="22" t="s">
        <v>850</v>
      </c>
      <c r="M902" s="21"/>
      <c r="N902" s="21"/>
      <c r="O902" s="21"/>
    </row>
    <row r="903" customFormat="false" ht="15" hidden="false" customHeight="true" outlineLevel="0" collapsed="false">
      <c r="C903" s="23" t="s">
        <v>825</v>
      </c>
      <c r="D903" s="24" t="n">
        <v>15</v>
      </c>
      <c r="H903" s="25" t="n">
        <f aca="false">IF(COUNT(D903:G903)=0,0,D903*IF(E903="",1,E903)*IF(F903="",1,F903)*IF(G903="",1,G903))</f>
        <v>15</v>
      </c>
      <c r="M903" s="21"/>
      <c r="N903" s="21"/>
      <c r="O903" s="21"/>
    </row>
    <row r="904" customFormat="false" ht="15" hidden="false" customHeight="true" outlineLevel="0" collapsed="false">
      <c r="H904" s="26"/>
      <c r="I904" s="27" t="n">
        <f aca="false">ROUND(SUM(H903:H903),2)</f>
        <v>15</v>
      </c>
      <c r="J904" s="28" t="n">
        <v>12.37</v>
      </c>
      <c r="K904" s="27" t="n">
        <f aca="false">ROUND(I904*J904,2)</f>
        <v>185.55</v>
      </c>
      <c r="L904" s="29" t="s">
        <v>109</v>
      </c>
      <c r="M904" s="21" t="s">
        <v>110</v>
      </c>
      <c r="N904" s="21" t="s">
        <v>41</v>
      </c>
      <c r="O904" s="21" t="s">
        <v>740</v>
      </c>
    </row>
    <row r="905" customFormat="false" ht="15" hidden="false" customHeight="true" outlineLevel="0" collapsed="false">
      <c r="A905" s="3" t="s">
        <v>851</v>
      </c>
      <c r="B905" s="3" t="s">
        <v>556</v>
      </c>
      <c r="C905" s="3" t="s">
        <v>852</v>
      </c>
      <c r="M905" s="21"/>
      <c r="N905" s="21"/>
      <c r="O905" s="21"/>
    </row>
    <row r="906" customFormat="false" ht="36" hidden="false" customHeight="true" outlineLevel="0" collapsed="false">
      <c r="C906" s="22" t="s">
        <v>853</v>
      </c>
      <c r="M906" s="21"/>
      <c r="N906" s="21"/>
      <c r="O906" s="21"/>
    </row>
    <row r="907" customFormat="false" ht="15" hidden="false" customHeight="true" outlineLevel="0" collapsed="false">
      <c r="C907" s="23" t="s">
        <v>854</v>
      </c>
      <c r="D907" s="24" t="n">
        <v>10</v>
      </c>
      <c r="H907" s="25" t="n">
        <f aca="false">IF(COUNT(D907:G907)=0,0,D907*IF(E907="",1,E907)*IF(F907="",1,F907)*IF(G907="",1,G907))</f>
        <v>10</v>
      </c>
      <c r="M907" s="21"/>
      <c r="N907" s="21"/>
      <c r="O907" s="21"/>
    </row>
    <row r="908" customFormat="false" ht="15" hidden="false" customHeight="true" outlineLevel="0" collapsed="false">
      <c r="H908" s="26"/>
      <c r="I908" s="27" t="n">
        <f aca="false">ROUND(SUM(H907:H907),2)</f>
        <v>10</v>
      </c>
      <c r="J908" s="28" t="n">
        <v>15.49</v>
      </c>
      <c r="K908" s="27" t="n">
        <f aca="false">ROUND(I908*J908,2)</f>
        <v>154.9</v>
      </c>
      <c r="L908" s="29" t="s">
        <v>109</v>
      </c>
      <c r="M908" s="21" t="s">
        <v>110</v>
      </c>
      <c r="N908" s="21" t="s">
        <v>41</v>
      </c>
      <c r="O908" s="21" t="s">
        <v>740</v>
      </c>
    </row>
    <row r="909" customFormat="false" ht="15" hidden="false" customHeight="true" outlineLevel="0" collapsed="false">
      <c r="A909" s="3" t="s">
        <v>855</v>
      </c>
      <c r="B909" s="3" t="s">
        <v>556</v>
      </c>
      <c r="C909" s="3" t="s">
        <v>856</v>
      </c>
      <c r="M909" s="21"/>
      <c r="N909" s="21"/>
      <c r="O909" s="21"/>
    </row>
    <row r="910" customFormat="false" ht="36" hidden="false" customHeight="true" outlineLevel="0" collapsed="false">
      <c r="C910" s="22" t="s">
        <v>857</v>
      </c>
      <c r="M910" s="21"/>
      <c r="N910" s="21"/>
      <c r="O910" s="21"/>
    </row>
    <row r="911" customFormat="false" ht="15" hidden="false" customHeight="true" outlineLevel="0" collapsed="false">
      <c r="C911" s="23" t="s">
        <v>813</v>
      </c>
      <c r="D911" s="24" t="n">
        <v>2</v>
      </c>
      <c r="H911" s="25" t="n">
        <f aca="false">IF(COUNT(D911:G911)=0,0,D911*IF(E911="",1,E911)*IF(F911="",1,F911)*IF(G911="",1,G911))</f>
        <v>2</v>
      </c>
      <c r="M911" s="21"/>
      <c r="N911" s="21"/>
      <c r="O911" s="21"/>
    </row>
    <row r="912" customFormat="false" ht="15" hidden="false" customHeight="true" outlineLevel="0" collapsed="false">
      <c r="H912" s="26"/>
      <c r="I912" s="27" t="n">
        <f aca="false">ROUND(SUM(H911:H911),2)</f>
        <v>2</v>
      </c>
      <c r="J912" s="28" t="n">
        <v>17.07</v>
      </c>
      <c r="K912" s="27" t="n">
        <f aca="false">ROUND(I912*J912,2)</f>
        <v>34.14</v>
      </c>
      <c r="L912" s="29" t="s">
        <v>109</v>
      </c>
      <c r="M912" s="21" t="s">
        <v>110</v>
      </c>
      <c r="N912" s="21" t="s">
        <v>41</v>
      </c>
      <c r="O912" s="21" t="s">
        <v>740</v>
      </c>
    </row>
    <row r="913" customFormat="false" ht="15" hidden="false" customHeight="true" outlineLevel="0" collapsed="false">
      <c r="A913" s="3" t="s">
        <v>858</v>
      </c>
      <c r="B913" s="3" t="s">
        <v>556</v>
      </c>
      <c r="C913" s="3" t="s">
        <v>859</v>
      </c>
      <c r="M913" s="21"/>
      <c r="N913" s="21"/>
      <c r="O913" s="21"/>
    </row>
    <row r="914" customFormat="false" ht="36" hidden="false" customHeight="true" outlineLevel="0" collapsed="false">
      <c r="C914" s="22" t="s">
        <v>860</v>
      </c>
      <c r="M914" s="21"/>
      <c r="N914" s="21"/>
      <c r="O914" s="21"/>
    </row>
    <row r="915" customFormat="false" ht="15" hidden="false" customHeight="true" outlineLevel="0" collapsed="false">
      <c r="C915" s="23" t="s">
        <v>805</v>
      </c>
      <c r="D915" s="24" t="n">
        <v>72</v>
      </c>
      <c r="H915" s="25" t="n">
        <f aca="false">IF(COUNT(D915:G915)=0,0,D915*IF(E915="",1,E915)*IF(F915="",1,F915)*IF(G915="",1,G915))</f>
        <v>72</v>
      </c>
      <c r="M915" s="21"/>
      <c r="N915" s="21"/>
      <c r="O915" s="21"/>
    </row>
    <row r="916" customFormat="false" ht="15" hidden="false" customHeight="true" outlineLevel="0" collapsed="false">
      <c r="H916" s="26"/>
      <c r="I916" s="27" t="n">
        <f aca="false">ROUND(SUM(H915:H915),2)</f>
        <v>72</v>
      </c>
      <c r="J916" s="28" t="n">
        <v>12.37</v>
      </c>
      <c r="K916" s="27" t="n">
        <f aca="false">ROUND(I916*J916,2)</f>
        <v>890.64</v>
      </c>
      <c r="L916" s="29" t="s">
        <v>109</v>
      </c>
      <c r="M916" s="21" t="s">
        <v>110</v>
      </c>
      <c r="N916" s="21" t="s">
        <v>41</v>
      </c>
      <c r="O916" s="21" t="s">
        <v>740</v>
      </c>
    </row>
    <row r="917" customFormat="false" ht="15" hidden="false" customHeight="true" outlineLevel="0" collapsed="false">
      <c r="A917" s="3" t="s">
        <v>861</v>
      </c>
      <c r="B917" s="3" t="s">
        <v>556</v>
      </c>
      <c r="C917" s="3" t="s">
        <v>862</v>
      </c>
      <c r="M917" s="21"/>
      <c r="N917" s="21"/>
      <c r="O917" s="21"/>
    </row>
    <row r="918" customFormat="false" ht="24" hidden="false" customHeight="true" outlineLevel="0" collapsed="false">
      <c r="C918" s="22" t="s">
        <v>863</v>
      </c>
      <c r="M918" s="21"/>
      <c r="N918" s="21"/>
      <c r="O918" s="21"/>
    </row>
    <row r="919" customFormat="false" ht="15" hidden="false" customHeight="true" outlineLevel="0" collapsed="false">
      <c r="C919" s="23" t="s">
        <v>864</v>
      </c>
      <c r="D919" s="24" t="n">
        <v>9</v>
      </c>
      <c r="H919" s="25" t="n">
        <f aca="false">IF(COUNT(D919:G919)=0,0,D919*IF(E919="",1,E919)*IF(F919="",1,F919)*IF(G919="",1,G919))</f>
        <v>9</v>
      </c>
      <c r="M919" s="21"/>
      <c r="N919" s="21"/>
      <c r="O919" s="21"/>
    </row>
    <row r="920" customFormat="false" ht="15" hidden="false" customHeight="true" outlineLevel="0" collapsed="false">
      <c r="H920" s="26"/>
      <c r="I920" s="27" t="n">
        <f aca="false">ROUND(SUM(H919:H919),2)</f>
        <v>9</v>
      </c>
      <c r="J920" s="28" t="n">
        <v>19.07</v>
      </c>
      <c r="K920" s="27" t="n">
        <f aca="false">ROUND(I920*J920,2)</f>
        <v>171.63</v>
      </c>
      <c r="L920" s="29" t="s">
        <v>109</v>
      </c>
      <c r="M920" s="21" t="s">
        <v>110</v>
      </c>
      <c r="N920" s="21" t="s">
        <v>41</v>
      </c>
      <c r="O920" s="21" t="s">
        <v>740</v>
      </c>
    </row>
    <row r="921" customFormat="false" ht="15" hidden="false" customHeight="true" outlineLevel="0" collapsed="false">
      <c r="A921" s="3" t="s">
        <v>865</v>
      </c>
      <c r="B921" s="3" t="s">
        <v>105</v>
      </c>
      <c r="C921" s="3" t="s">
        <v>866</v>
      </c>
      <c r="M921" s="21"/>
      <c r="N921" s="21"/>
      <c r="O921" s="21"/>
    </row>
    <row r="922" customFormat="false" ht="36" hidden="false" customHeight="true" outlineLevel="0" collapsed="false">
      <c r="C922" s="22" t="s">
        <v>867</v>
      </c>
      <c r="M922" s="21"/>
      <c r="N922" s="21"/>
      <c r="O922" s="21"/>
    </row>
    <row r="923" customFormat="false" ht="15" hidden="false" customHeight="true" outlineLevel="0" collapsed="false">
      <c r="C923" s="23" t="s">
        <v>868</v>
      </c>
      <c r="D923" s="24" t="n">
        <v>1</v>
      </c>
      <c r="H923" s="25" t="n">
        <f aca="false">IF(COUNT(D923:G923)=0,0,D923*IF(E923="",1,E923)*IF(F923="",1,F923)*IF(G923="",1,G923))</f>
        <v>1</v>
      </c>
      <c r="M923" s="21"/>
      <c r="N923" s="21"/>
      <c r="O923" s="21"/>
    </row>
    <row r="924" customFormat="false" ht="18.75" hidden="false" customHeight="true" outlineLevel="0" collapsed="false">
      <c r="H924" s="26"/>
      <c r="I924" s="27" t="n">
        <f aca="false">ROUND(SUM(H923:H923),2)</f>
        <v>1</v>
      </c>
      <c r="J924" s="28" t="n">
        <v>210</v>
      </c>
      <c r="K924" s="27" t="n">
        <f aca="false">ROUND(I924*J924,2)</f>
        <v>210</v>
      </c>
      <c r="L924" s="29" t="s">
        <v>138</v>
      </c>
      <c r="M924" s="21" t="s">
        <v>110</v>
      </c>
      <c r="N924" s="21" t="s">
        <v>41</v>
      </c>
      <c r="O924" s="21" t="s">
        <v>740</v>
      </c>
    </row>
    <row r="925" customFormat="false" ht="15" hidden="false" customHeight="true" outlineLevel="0" collapsed="false">
      <c r="A925" s="3" t="s">
        <v>869</v>
      </c>
      <c r="B925" s="3" t="s">
        <v>105</v>
      </c>
      <c r="C925" s="3" t="s">
        <v>870</v>
      </c>
      <c r="M925" s="21"/>
      <c r="N925" s="21"/>
      <c r="O925" s="21"/>
    </row>
    <row r="926" customFormat="false" ht="24" hidden="false" customHeight="true" outlineLevel="0" collapsed="false">
      <c r="C926" s="22" t="s">
        <v>871</v>
      </c>
      <c r="M926" s="21"/>
      <c r="N926" s="21"/>
      <c r="O926" s="21"/>
    </row>
    <row r="927" customFormat="false" ht="15" hidden="false" customHeight="true" outlineLevel="0" collapsed="false">
      <c r="C927" s="23" t="s">
        <v>635</v>
      </c>
      <c r="D927" s="24" t="n">
        <v>1</v>
      </c>
      <c r="H927" s="25" t="n">
        <f aca="false">IF(COUNT(D927:G927)=0,0,D927*IF(E927="",1,E927)*IF(F927="",1,F927)*IF(G927="",1,G927))</f>
        <v>1</v>
      </c>
      <c r="M927" s="21"/>
      <c r="N927" s="21"/>
      <c r="O927" s="21"/>
    </row>
    <row r="928" customFormat="false" ht="27.75" hidden="false" customHeight="true" outlineLevel="0" collapsed="false">
      <c r="H928" s="26"/>
      <c r="I928" s="27" t="n">
        <f aca="false">ROUND(SUM(H927:H927),2)</f>
        <v>1</v>
      </c>
      <c r="J928" s="28" t="n">
        <v>2500</v>
      </c>
      <c r="K928" s="27" t="n">
        <f aca="false">ROUND(I928*J928,2)</f>
        <v>2500</v>
      </c>
      <c r="L928" s="29" t="s">
        <v>872</v>
      </c>
      <c r="M928" s="21" t="s">
        <v>110</v>
      </c>
      <c r="N928" s="21" t="s">
        <v>41</v>
      </c>
      <c r="O928" s="21" t="s">
        <v>740</v>
      </c>
    </row>
    <row r="929" customFormat="false" ht="15" hidden="false" customHeight="true" outlineLevel="0" collapsed="false">
      <c r="A929" s="3" t="s">
        <v>873</v>
      </c>
      <c r="C929" s="3" t="s">
        <v>874</v>
      </c>
      <c r="M929" s="21" t="s">
        <v>194</v>
      </c>
      <c r="N929" s="21" t="s">
        <v>41</v>
      </c>
      <c r="O929" s="21" t="s">
        <v>873</v>
      </c>
    </row>
    <row r="930" customFormat="false" ht="15" hidden="false" customHeight="true" outlineLevel="0" collapsed="false">
      <c r="A930" s="3" t="s">
        <v>875</v>
      </c>
      <c r="B930" s="3" t="s">
        <v>556</v>
      </c>
      <c r="C930" s="3" t="s">
        <v>876</v>
      </c>
      <c r="M930" s="21"/>
      <c r="N930" s="21"/>
      <c r="O930" s="21"/>
    </row>
    <row r="931" customFormat="false" ht="36" hidden="false" customHeight="true" outlineLevel="0" collapsed="false">
      <c r="C931" s="22" t="s">
        <v>877</v>
      </c>
      <c r="M931" s="21"/>
      <c r="N931" s="21"/>
      <c r="O931" s="21"/>
    </row>
    <row r="932" customFormat="false" ht="15" hidden="false" customHeight="true" outlineLevel="0" collapsed="false">
      <c r="C932" s="23" t="s">
        <v>653</v>
      </c>
      <c r="D932" s="24" t="n">
        <v>1</v>
      </c>
      <c r="H932" s="25" t="n">
        <f aca="false">IF(COUNT(D932:G932)=0,0,D932*IF(E932="",1,E932)*IF(F932="",1,F932)*IF(G932="",1,G932))</f>
        <v>1</v>
      </c>
      <c r="M932" s="21"/>
      <c r="N932" s="21"/>
      <c r="O932" s="21"/>
    </row>
    <row r="933" customFormat="false" ht="15" hidden="false" customHeight="true" outlineLevel="0" collapsed="false">
      <c r="H933" s="26"/>
      <c r="I933" s="27" t="n">
        <f aca="false">ROUND(SUM(H932:H932),2)</f>
        <v>1</v>
      </c>
      <c r="J933" s="28" t="n">
        <v>371</v>
      </c>
      <c r="K933" s="27" t="n">
        <f aca="false">ROUND(I933*J933,2)</f>
        <v>371</v>
      </c>
      <c r="L933" s="29" t="s">
        <v>109</v>
      </c>
      <c r="M933" s="21" t="s">
        <v>110</v>
      </c>
      <c r="N933" s="21" t="s">
        <v>41</v>
      </c>
      <c r="O933" s="21" t="s">
        <v>873</v>
      </c>
    </row>
    <row r="934" customFormat="false" ht="15" hidden="false" customHeight="true" outlineLevel="0" collapsed="false">
      <c r="A934" s="3" t="s">
        <v>878</v>
      </c>
      <c r="B934" s="3" t="s">
        <v>556</v>
      </c>
      <c r="C934" s="3" t="s">
        <v>879</v>
      </c>
      <c r="M934" s="21"/>
      <c r="N934" s="21"/>
      <c r="O934" s="21"/>
    </row>
    <row r="935" customFormat="false" ht="24" hidden="false" customHeight="true" outlineLevel="0" collapsed="false">
      <c r="C935" s="22" t="s">
        <v>880</v>
      </c>
      <c r="M935" s="21"/>
      <c r="N935" s="21"/>
      <c r="O935" s="21"/>
    </row>
    <row r="936" customFormat="false" ht="15" hidden="false" customHeight="true" outlineLevel="0" collapsed="false">
      <c r="C936" s="23" t="s">
        <v>653</v>
      </c>
      <c r="D936" s="24" t="n">
        <v>1</v>
      </c>
      <c r="H936" s="25" t="n">
        <f aca="false">IF(COUNT(D936:G936)=0,0,D936*IF(E936="",1,E936)*IF(F936="",1,F936)*IF(G936="",1,G936))</f>
        <v>1</v>
      </c>
      <c r="M936" s="21"/>
      <c r="N936" s="21"/>
      <c r="O936" s="21"/>
    </row>
    <row r="937" customFormat="false" ht="15" hidden="false" customHeight="true" outlineLevel="0" collapsed="false">
      <c r="H937" s="26"/>
      <c r="I937" s="27" t="n">
        <f aca="false">ROUND(SUM(H936:H936),2)</f>
        <v>1</v>
      </c>
      <c r="J937" s="28" t="n">
        <v>270.3</v>
      </c>
      <c r="K937" s="27" t="n">
        <f aca="false">ROUND(I937*J937,2)</f>
        <v>270.3</v>
      </c>
      <c r="L937" s="29" t="s">
        <v>109</v>
      </c>
      <c r="M937" s="21" t="s">
        <v>110</v>
      </c>
      <c r="N937" s="21" t="s">
        <v>41</v>
      </c>
      <c r="O937" s="21" t="s">
        <v>873</v>
      </c>
    </row>
    <row r="938" customFormat="false" ht="15" hidden="false" customHeight="true" outlineLevel="0" collapsed="false">
      <c r="A938" s="3" t="s">
        <v>881</v>
      </c>
      <c r="B938" s="3" t="s">
        <v>556</v>
      </c>
      <c r="C938" s="3" t="s">
        <v>882</v>
      </c>
      <c r="M938" s="21"/>
      <c r="N938" s="21"/>
      <c r="O938" s="21"/>
    </row>
    <row r="939" customFormat="false" ht="72" hidden="false" customHeight="true" outlineLevel="0" collapsed="false">
      <c r="C939" s="22" t="s">
        <v>883</v>
      </c>
      <c r="M939" s="21"/>
      <c r="N939" s="21"/>
      <c r="O939" s="21"/>
    </row>
    <row r="940" customFormat="false" ht="15" hidden="false" customHeight="true" outlineLevel="0" collapsed="false">
      <c r="C940" s="23" t="s">
        <v>653</v>
      </c>
      <c r="D940" s="24" t="n">
        <v>1</v>
      </c>
      <c r="H940" s="25" t="n">
        <f aca="false">IF(COUNT(D940:G940)=0,0,D940*IF(E940="",1,E940)*IF(F940="",1,F940)*IF(G940="",1,G940))</f>
        <v>1</v>
      </c>
      <c r="M940" s="21"/>
      <c r="N940" s="21"/>
      <c r="O940" s="21"/>
    </row>
    <row r="941" customFormat="false" ht="15" hidden="false" customHeight="true" outlineLevel="0" collapsed="false">
      <c r="H941" s="26"/>
      <c r="I941" s="27" t="n">
        <f aca="false">ROUND(SUM(H940:H940),2)</f>
        <v>1</v>
      </c>
      <c r="J941" s="28" t="n">
        <v>381.6</v>
      </c>
      <c r="K941" s="27" t="n">
        <f aca="false">ROUND(I941*J941,2)</f>
        <v>381.6</v>
      </c>
      <c r="L941" s="29" t="s">
        <v>109</v>
      </c>
      <c r="M941" s="21" t="s">
        <v>110</v>
      </c>
      <c r="N941" s="21" t="s">
        <v>41</v>
      </c>
      <c r="O941" s="21" t="s">
        <v>873</v>
      </c>
    </row>
    <row r="942" customFormat="false" ht="15" hidden="false" customHeight="true" outlineLevel="0" collapsed="false">
      <c r="A942" s="3" t="s">
        <v>884</v>
      </c>
      <c r="B942" s="3" t="s">
        <v>564</v>
      </c>
      <c r="C942" s="3" t="s">
        <v>885</v>
      </c>
      <c r="M942" s="21"/>
      <c r="N942" s="21"/>
      <c r="O942" s="21"/>
    </row>
    <row r="943" customFormat="false" ht="12" hidden="false" customHeight="true" outlineLevel="0" collapsed="false">
      <c r="C943" s="22" t="s">
        <v>886</v>
      </c>
      <c r="M943" s="21"/>
      <c r="N943" s="21"/>
      <c r="O943" s="21"/>
    </row>
    <row r="944" customFormat="false" ht="15" hidden="false" customHeight="true" outlineLevel="0" collapsed="false">
      <c r="C944" s="23" t="s">
        <v>653</v>
      </c>
      <c r="D944" s="24" t="n">
        <v>100</v>
      </c>
      <c r="H944" s="25" t="n">
        <f aca="false">IF(COUNT(D944:G944)=0,0,D944*IF(E944="",1,E944)*IF(F944="",1,F944)*IF(G944="",1,G944))</f>
        <v>100</v>
      </c>
      <c r="M944" s="21"/>
      <c r="N944" s="21"/>
      <c r="O944" s="21"/>
    </row>
    <row r="945" customFormat="false" ht="15" hidden="false" customHeight="true" outlineLevel="0" collapsed="false">
      <c r="H945" s="26"/>
      <c r="I945" s="27" t="n">
        <f aca="false">ROUND(SUM(H944:H944),2)</f>
        <v>100</v>
      </c>
      <c r="J945" s="28" t="n">
        <v>2.12</v>
      </c>
      <c r="K945" s="27" t="n">
        <f aca="false">ROUND(I945*J945,2)</f>
        <v>212</v>
      </c>
      <c r="L945" s="29" t="s">
        <v>109</v>
      </c>
      <c r="M945" s="21" t="s">
        <v>110</v>
      </c>
      <c r="N945" s="21" t="s">
        <v>41</v>
      </c>
      <c r="O945" s="21" t="s">
        <v>873</v>
      </c>
    </row>
    <row r="946" customFormat="false" ht="15" hidden="false" customHeight="true" outlineLevel="0" collapsed="false">
      <c r="A946" s="3" t="s">
        <v>887</v>
      </c>
      <c r="B946" s="3" t="s">
        <v>556</v>
      </c>
      <c r="C946" s="3" t="s">
        <v>888</v>
      </c>
      <c r="M946" s="21"/>
      <c r="N946" s="21"/>
      <c r="O946" s="21"/>
    </row>
    <row r="947" customFormat="false" ht="12" hidden="false" customHeight="true" outlineLevel="0" collapsed="false">
      <c r="C947" s="22" t="s">
        <v>889</v>
      </c>
      <c r="M947" s="21"/>
      <c r="N947" s="21"/>
      <c r="O947" s="21"/>
    </row>
    <row r="948" customFormat="false" ht="15" hidden="false" customHeight="true" outlineLevel="0" collapsed="false">
      <c r="C948" s="23" t="s">
        <v>653</v>
      </c>
      <c r="D948" s="24" t="n">
        <v>1</v>
      </c>
      <c r="H948" s="25" t="n">
        <f aca="false">IF(COUNT(D948:G948)=0,0,D948*IF(E948="",1,E948)*IF(F948="",1,F948)*IF(G948="",1,G948))</f>
        <v>1</v>
      </c>
      <c r="M948" s="21"/>
      <c r="N948" s="21"/>
      <c r="O948" s="21"/>
    </row>
    <row r="949" customFormat="false" ht="15" hidden="false" customHeight="true" outlineLevel="0" collapsed="false">
      <c r="H949" s="26"/>
      <c r="I949" s="27" t="n">
        <f aca="false">ROUND(SUM(H948:H948),2)</f>
        <v>1</v>
      </c>
      <c r="J949" s="28" t="n">
        <v>127.2</v>
      </c>
      <c r="K949" s="27" t="n">
        <f aca="false">ROUND(I949*J949,2)</f>
        <v>127.2</v>
      </c>
      <c r="L949" s="29" t="s">
        <v>109</v>
      </c>
      <c r="M949" s="21" t="s">
        <v>110</v>
      </c>
      <c r="N949" s="21" t="s">
        <v>41</v>
      </c>
      <c r="O949" s="21" t="s">
        <v>873</v>
      </c>
    </row>
    <row r="950" customFormat="false" ht="15" hidden="false" customHeight="true" outlineLevel="0" collapsed="false">
      <c r="A950" s="3" t="s">
        <v>890</v>
      </c>
      <c r="B950" s="3" t="s">
        <v>556</v>
      </c>
      <c r="C950" s="3" t="s">
        <v>891</v>
      </c>
      <c r="M950" s="21"/>
      <c r="N950" s="21"/>
      <c r="O950" s="21"/>
    </row>
    <row r="951" customFormat="false" ht="48" hidden="false" customHeight="true" outlineLevel="0" collapsed="false">
      <c r="C951" s="22" t="s">
        <v>892</v>
      </c>
      <c r="M951" s="21"/>
      <c r="N951" s="21"/>
      <c r="O951" s="21"/>
    </row>
    <row r="952" customFormat="false" ht="15" hidden="false" customHeight="true" outlineLevel="0" collapsed="false">
      <c r="C952" s="23" t="s">
        <v>653</v>
      </c>
      <c r="D952" s="24" t="n">
        <v>3</v>
      </c>
      <c r="H952" s="25" t="n">
        <f aca="false">IF(COUNT(D952:G952)=0,0,D952*IF(E952="",1,E952)*IF(F952="",1,F952)*IF(G952="",1,G952))</f>
        <v>3</v>
      </c>
      <c r="M952" s="21"/>
      <c r="N952" s="21"/>
      <c r="O952" s="21"/>
    </row>
    <row r="953" customFormat="false" ht="15" hidden="false" customHeight="true" outlineLevel="0" collapsed="false">
      <c r="H953" s="26"/>
      <c r="I953" s="27" t="n">
        <f aca="false">ROUND(SUM(H952:H952),2)</f>
        <v>3</v>
      </c>
      <c r="J953" s="28" t="n">
        <v>16.15</v>
      </c>
      <c r="K953" s="27" t="n">
        <f aca="false">ROUND(I953*J953,2)</f>
        <v>48.45</v>
      </c>
      <c r="L953" s="29" t="s">
        <v>109</v>
      </c>
      <c r="M953" s="21" t="s">
        <v>110</v>
      </c>
      <c r="N953" s="21" t="s">
        <v>41</v>
      </c>
      <c r="O953" s="21" t="s">
        <v>873</v>
      </c>
    </row>
    <row r="954" customFormat="false" ht="15" hidden="false" customHeight="true" outlineLevel="0" collapsed="false">
      <c r="A954" s="3" t="s">
        <v>893</v>
      </c>
      <c r="B954" s="3" t="s">
        <v>556</v>
      </c>
      <c r="C954" s="3" t="s">
        <v>894</v>
      </c>
      <c r="M954" s="21"/>
      <c r="N954" s="21"/>
      <c r="O954" s="21"/>
    </row>
    <row r="955" customFormat="false" ht="120" hidden="false" customHeight="true" outlineLevel="0" collapsed="false">
      <c r="C955" s="22" t="s">
        <v>895</v>
      </c>
      <c r="M955" s="21"/>
      <c r="N955" s="21"/>
      <c r="O955" s="21"/>
    </row>
    <row r="956" customFormat="false" ht="15" hidden="false" customHeight="true" outlineLevel="0" collapsed="false">
      <c r="C956" s="23" t="s">
        <v>653</v>
      </c>
      <c r="D956" s="24" t="n">
        <v>1</v>
      </c>
      <c r="H956" s="25" t="n">
        <f aca="false">IF(COUNT(D956:G956)=0,0,D956*IF(E956="",1,E956)*IF(F956="",1,F956)*IF(G956="",1,G956))</f>
        <v>1</v>
      </c>
      <c r="M956" s="21"/>
      <c r="N956" s="21"/>
      <c r="O956" s="21"/>
    </row>
    <row r="957" customFormat="false" ht="15" hidden="false" customHeight="true" outlineLevel="0" collapsed="false">
      <c r="H957" s="26"/>
      <c r="I957" s="27" t="n">
        <f aca="false">ROUND(SUM(H956:H956),2)</f>
        <v>1</v>
      </c>
      <c r="J957" s="28" t="n">
        <v>614.8</v>
      </c>
      <c r="K957" s="27" t="n">
        <f aca="false">ROUND(I957*J957,2)</f>
        <v>614.8</v>
      </c>
      <c r="L957" s="29" t="s">
        <v>109</v>
      </c>
      <c r="M957" s="21" t="s">
        <v>110</v>
      </c>
      <c r="N957" s="21" t="s">
        <v>41</v>
      </c>
      <c r="O957" s="21" t="s">
        <v>873</v>
      </c>
    </row>
    <row r="958" customFormat="false" ht="15" hidden="false" customHeight="true" outlineLevel="0" collapsed="false">
      <c r="A958" s="3" t="s">
        <v>896</v>
      </c>
      <c r="B958" s="3" t="s">
        <v>564</v>
      </c>
      <c r="C958" s="3" t="s">
        <v>897</v>
      </c>
      <c r="M958" s="21"/>
      <c r="N958" s="21"/>
      <c r="O958" s="21"/>
    </row>
    <row r="959" customFormat="false" ht="48" hidden="false" customHeight="true" outlineLevel="0" collapsed="false">
      <c r="C959" s="22" t="s">
        <v>898</v>
      </c>
      <c r="M959" s="21"/>
      <c r="N959" s="21"/>
      <c r="O959" s="21"/>
    </row>
    <row r="960" customFormat="false" ht="15" hidden="false" customHeight="true" outlineLevel="0" collapsed="false">
      <c r="C960" s="23" t="s">
        <v>653</v>
      </c>
      <c r="D960" s="24" t="n">
        <v>35</v>
      </c>
      <c r="H960" s="25" t="n">
        <f aca="false">IF(COUNT(D960:G960)=0,0,D960*IF(E960="",1,E960)*IF(F960="",1,F960)*IF(G960="",1,G960))</f>
        <v>35</v>
      </c>
      <c r="M960" s="21"/>
      <c r="N960" s="21"/>
      <c r="O960" s="21"/>
    </row>
    <row r="961" customFormat="false" ht="15" hidden="false" customHeight="true" outlineLevel="0" collapsed="false">
      <c r="H961" s="26"/>
      <c r="I961" s="27" t="n">
        <f aca="false">ROUND(SUM(H960:H960),2)</f>
        <v>35</v>
      </c>
      <c r="J961" s="28" t="n">
        <v>11.66</v>
      </c>
      <c r="K961" s="27" t="n">
        <f aca="false">ROUND(I961*J961,2)</f>
        <v>408.1</v>
      </c>
      <c r="L961" s="29" t="s">
        <v>109</v>
      </c>
      <c r="M961" s="21" t="s">
        <v>110</v>
      </c>
      <c r="N961" s="21" t="s">
        <v>41</v>
      </c>
      <c r="O961" s="21" t="s">
        <v>873</v>
      </c>
    </row>
    <row r="962" customFormat="false" ht="15" hidden="false" customHeight="true" outlineLevel="0" collapsed="false">
      <c r="A962" s="3" t="s">
        <v>899</v>
      </c>
      <c r="B962" s="3" t="s">
        <v>556</v>
      </c>
      <c r="C962" s="3" t="s">
        <v>900</v>
      </c>
      <c r="M962" s="21"/>
      <c r="N962" s="21"/>
      <c r="O962" s="21"/>
    </row>
    <row r="963" customFormat="false" ht="84" hidden="false" customHeight="true" outlineLevel="0" collapsed="false">
      <c r="C963" s="22" t="s">
        <v>901</v>
      </c>
      <c r="M963" s="21"/>
      <c r="N963" s="21"/>
      <c r="O963" s="21"/>
    </row>
    <row r="964" customFormat="false" ht="15" hidden="false" customHeight="true" outlineLevel="0" collapsed="false">
      <c r="C964" s="23" t="s">
        <v>653</v>
      </c>
      <c r="D964" s="24" t="n">
        <v>1</v>
      </c>
      <c r="H964" s="25" t="n">
        <f aca="false">IF(COUNT(D964:G964)=0,0,D964*IF(E964="",1,E964)*IF(F964="",1,F964)*IF(G964="",1,G964))</f>
        <v>1</v>
      </c>
      <c r="M964" s="21"/>
      <c r="N964" s="21"/>
      <c r="O964" s="21"/>
    </row>
    <row r="965" customFormat="false" ht="15" hidden="false" customHeight="true" outlineLevel="0" collapsed="false">
      <c r="H965" s="26"/>
      <c r="I965" s="27" t="n">
        <f aca="false">ROUND(SUM(H964:H964),2)</f>
        <v>1</v>
      </c>
      <c r="J965" s="28" t="n">
        <v>148.4</v>
      </c>
      <c r="K965" s="27" t="n">
        <f aca="false">ROUND(I965*J965,2)</f>
        <v>148.4</v>
      </c>
      <c r="L965" s="29" t="s">
        <v>109</v>
      </c>
      <c r="M965" s="21" t="s">
        <v>110</v>
      </c>
      <c r="N965" s="21" t="s">
        <v>41</v>
      </c>
      <c r="O965" s="21" t="s">
        <v>873</v>
      </c>
    </row>
    <row r="966" customFormat="false" ht="15" hidden="false" customHeight="true" outlineLevel="0" collapsed="false">
      <c r="A966" s="3" t="s">
        <v>902</v>
      </c>
      <c r="B966" s="3" t="s">
        <v>556</v>
      </c>
      <c r="C966" s="3" t="s">
        <v>903</v>
      </c>
      <c r="M966" s="21"/>
      <c r="N966" s="21"/>
      <c r="O966" s="21"/>
    </row>
    <row r="967" customFormat="false" ht="36" hidden="false" customHeight="true" outlineLevel="0" collapsed="false">
      <c r="C967" s="22" t="s">
        <v>904</v>
      </c>
      <c r="M967" s="21"/>
      <c r="N967" s="21"/>
      <c r="O967" s="21"/>
    </row>
    <row r="968" customFormat="false" ht="15" hidden="false" customHeight="true" outlineLevel="0" collapsed="false">
      <c r="C968" s="23" t="s">
        <v>905</v>
      </c>
      <c r="D968" s="24" t="n">
        <v>7</v>
      </c>
      <c r="H968" s="25" t="n">
        <f aca="false">IF(COUNT(D968:G968)=0,0,D968*IF(E968="",1,E968)*IF(F968="",1,F968)*IF(G968="",1,G968))</f>
        <v>7</v>
      </c>
      <c r="M968" s="21"/>
      <c r="N968" s="21"/>
      <c r="O968" s="21"/>
    </row>
    <row r="969" customFormat="false" ht="15" hidden="false" customHeight="true" outlineLevel="0" collapsed="false">
      <c r="H969" s="26"/>
      <c r="I969" s="27" t="n">
        <f aca="false">ROUND(SUM(H968:H968),2)</f>
        <v>7</v>
      </c>
      <c r="J969" s="28" t="n">
        <v>13.78</v>
      </c>
      <c r="K969" s="27" t="n">
        <f aca="false">ROUND(I969*J969,2)</f>
        <v>96.46</v>
      </c>
      <c r="L969" s="29" t="s">
        <v>109</v>
      </c>
      <c r="M969" s="21" t="s">
        <v>110</v>
      </c>
      <c r="N969" s="21" t="s">
        <v>41</v>
      </c>
      <c r="O969" s="21" t="s">
        <v>873</v>
      </c>
    </row>
    <row r="970" customFormat="false" ht="15" hidden="false" customHeight="true" outlineLevel="0" collapsed="false">
      <c r="C970" s="30" t="s">
        <v>906</v>
      </c>
      <c r="K970" s="11" t="n">
        <f aca="false">SUMIFS($K$5:$K$969,$M$5:$M$969,"P",$N$5:$N$969,"16")</f>
        <v>45949.51</v>
      </c>
      <c r="M970" s="21"/>
      <c r="N970" s="21"/>
      <c r="O970" s="21"/>
    </row>
    <row r="971" customFormat="false" ht="15" hidden="false" customHeight="true" outlineLevel="0" collapsed="false">
      <c r="M971" s="21"/>
      <c r="N971" s="21"/>
      <c r="O971" s="21"/>
    </row>
    <row r="972" customFormat="false" ht="15" hidden="false" customHeight="true" outlineLevel="0" collapsed="false">
      <c r="A972" s="19" t="s">
        <v>55</v>
      </c>
      <c r="B972" s="20"/>
      <c r="C972" s="19" t="s">
        <v>56</v>
      </c>
      <c r="D972" s="20"/>
      <c r="E972" s="20"/>
      <c r="F972" s="20"/>
      <c r="G972" s="20"/>
      <c r="H972" s="20"/>
      <c r="I972" s="20"/>
      <c r="J972" s="20"/>
      <c r="K972" s="20"/>
      <c r="L972" s="20"/>
      <c r="M972" s="21" t="s">
        <v>103</v>
      </c>
      <c r="N972" s="21" t="s">
        <v>55</v>
      </c>
      <c r="O972" s="21"/>
    </row>
    <row r="973" customFormat="false" ht="15" hidden="false" customHeight="true" outlineLevel="0" collapsed="false">
      <c r="A973" s="3" t="s">
        <v>907</v>
      </c>
      <c r="C973" s="3" t="s">
        <v>908</v>
      </c>
      <c r="M973" s="21" t="s">
        <v>194</v>
      </c>
      <c r="N973" s="21" t="s">
        <v>55</v>
      </c>
      <c r="O973" s="21" t="s">
        <v>907</v>
      </c>
    </row>
    <row r="974" customFormat="false" ht="15" hidden="false" customHeight="true" outlineLevel="0" collapsed="false">
      <c r="A974" s="3" t="s">
        <v>909</v>
      </c>
      <c r="B974" s="3" t="s">
        <v>556</v>
      </c>
      <c r="C974" s="3" t="s">
        <v>910</v>
      </c>
      <c r="M974" s="21"/>
      <c r="N974" s="21"/>
      <c r="O974" s="21"/>
    </row>
    <row r="975" customFormat="false" ht="96" hidden="false" customHeight="true" outlineLevel="0" collapsed="false">
      <c r="C975" s="22" t="s">
        <v>911</v>
      </c>
      <c r="M975" s="21"/>
      <c r="N975" s="21"/>
      <c r="O975" s="21"/>
    </row>
    <row r="976" customFormat="false" ht="15" hidden="false" customHeight="true" outlineLevel="0" collapsed="false">
      <c r="C976" s="23" t="s">
        <v>912</v>
      </c>
      <c r="D976" s="24" t="n">
        <v>1</v>
      </c>
      <c r="H976" s="25" t="n">
        <f aca="false">IF(COUNT(D976:G976)=0,0,D976*IF(E976="",1,E976)*IF(F976="",1,F976)*IF(G976="",1,G976))</f>
        <v>1</v>
      </c>
      <c r="M976" s="21"/>
      <c r="N976" s="21"/>
      <c r="O976" s="21"/>
    </row>
    <row r="977" customFormat="false" ht="18.75" hidden="false" customHeight="true" outlineLevel="0" collapsed="false">
      <c r="H977" s="26"/>
      <c r="I977" s="27" t="n">
        <f aca="false">ROUND(SUM(H976:H976),2)</f>
        <v>1</v>
      </c>
      <c r="J977" s="28" t="n">
        <v>140</v>
      </c>
      <c r="K977" s="27" t="n">
        <f aca="false">ROUND(I977*J977,2)</f>
        <v>140</v>
      </c>
      <c r="L977" s="29" t="s">
        <v>131</v>
      </c>
      <c r="M977" s="21" t="s">
        <v>110</v>
      </c>
      <c r="N977" s="21" t="s">
        <v>55</v>
      </c>
      <c r="O977" s="21" t="s">
        <v>907</v>
      </c>
    </row>
    <row r="978" customFormat="false" ht="15" hidden="false" customHeight="true" outlineLevel="0" collapsed="false">
      <c r="A978" s="3" t="s">
        <v>913</v>
      </c>
      <c r="B978" s="3" t="s">
        <v>556</v>
      </c>
      <c r="C978" s="3" t="s">
        <v>914</v>
      </c>
      <c r="M978" s="21"/>
      <c r="N978" s="21"/>
      <c r="O978" s="21"/>
    </row>
    <row r="979" customFormat="false" ht="120" hidden="false" customHeight="true" outlineLevel="0" collapsed="false">
      <c r="C979" s="22" t="s">
        <v>915</v>
      </c>
      <c r="M979" s="21"/>
      <c r="N979" s="21"/>
      <c r="O979" s="21"/>
    </row>
    <row r="980" customFormat="false" ht="15" hidden="false" customHeight="true" outlineLevel="0" collapsed="false">
      <c r="C980" s="23" t="s">
        <v>912</v>
      </c>
      <c r="D980" s="24" t="n">
        <v>4</v>
      </c>
      <c r="H980" s="25" t="n">
        <f aca="false">IF(COUNT(D980:G980)=0,0,D980*IF(E980="",1,E980)*IF(F980="",1,F980)*IF(G980="",1,G980))</f>
        <v>4</v>
      </c>
      <c r="M980" s="21"/>
      <c r="N980" s="21"/>
      <c r="O980" s="21"/>
    </row>
    <row r="981" customFormat="false" ht="18.75" hidden="false" customHeight="true" outlineLevel="0" collapsed="false">
      <c r="H981" s="26"/>
      <c r="I981" s="27" t="n">
        <f aca="false">ROUND(SUM(H980:H980),2)</f>
        <v>4</v>
      </c>
      <c r="J981" s="28" t="n">
        <v>90</v>
      </c>
      <c r="K981" s="27" t="n">
        <f aca="false">ROUND(I981*J981,2)</f>
        <v>360</v>
      </c>
      <c r="L981" s="29" t="s">
        <v>131</v>
      </c>
      <c r="M981" s="21" t="s">
        <v>110</v>
      </c>
      <c r="N981" s="21" t="s">
        <v>55</v>
      </c>
      <c r="O981" s="21" t="s">
        <v>907</v>
      </c>
    </row>
    <row r="982" customFormat="false" ht="15" hidden="false" customHeight="true" outlineLevel="0" collapsed="false">
      <c r="A982" s="3" t="s">
        <v>916</v>
      </c>
      <c r="C982" s="3" t="s">
        <v>917</v>
      </c>
      <c r="M982" s="21" t="s">
        <v>194</v>
      </c>
      <c r="N982" s="21" t="s">
        <v>55</v>
      </c>
      <c r="O982" s="21" t="s">
        <v>916</v>
      </c>
    </row>
    <row r="983" customFormat="false" ht="15" hidden="false" customHeight="true" outlineLevel="0" collapsed="false">
      <c r="A983" s="3" t="s">
        <v>918</v>
      </c>
      <c r="B983" s="3" t="s">
        <v>556</v>
      </c>
      <c r="C983" s="3" t="s">
        <v>917</v>
      </c>
      <c r="M983" s="21"/>
      <c r="N983" s="21"/>
      <c r="O983" s="21"/>
    </row>
    <row r="984" customFormat="false" ht="204" hidden="false" customHeight="true" outlineLevel="0" collapsed="false">
      <c r="C984" s="22" t="s">
        <v>919</v>
      </c>
      <c r="M984" s="21"/>
      <c r="N984" s="21"/>
      <c r="O984" s="21"/>
    </row>
    <row r="985" customFormat="false" ht="15" hidden="false" customHeight="true" outlineLevel="0" collapsed="false">
      <c r="C985" s="23" t="s">
        <v>912</v>
      </c>
      <c r="D985" s="24" t="n">
        <v>1</v>
      </c>
      <c r="H985" s="25" t="n">
        <f aca="false">IF(COUNT(D985:G985)=0,0,D985*IF(E985="",1,E985)*IF(F985="",1,F985)*IF(G985="",1,G985))</f>
        <v>1</v>
      </c>
      <c r="M985" s="21"/>
      <c r="N985" s="21"/>
      <c r="O985" s="21"/>
    </row>
    <row r="986" customFormat="false" ht="18.75" hidden="false" customHeight="true" outlineLevel="0" collapsed="false">
      <c r="H986" s="26"/>
      <c r="I986" s="27" t="n">
        <f aca="false">ROUND(SUM(H985:H985),2)</f>
        <v>1</v>
      </c>
      <c r="J986" s="28" t="n">
        <v>1024.5</v>
      </c>
      <c r="K986" s="27" t="n">
        <f aca="false">ROUND(I986*J986,2)</f>
        <v>1024.5</v>
      </c>
      <c r="L986" s="29" t="s">
        <v>131</v>
      </c>
      <c r="M986" s="21" t="s">
        <v>110</v>
      </c>
      <c r="N986" s="21" t="s">
        <v>55</v>
      </c>
      <c r="O986" s="21" t="s">
        <v>916</v>
      </c>
    </row>
    <row r="987" customFormat="false" ht="15" hidden="false" customHeight="true" outlineLevel="0" collapsed="false">
      <c r="C987" s="30" t="s">
        <v>920</v>
      </c>
      <c r="K987" s="11" t="n">
        <f aca="false">SUMIFS($K$5:$K$986,$M$5:$M$986,"P",$N$5:$N$986,"18")</f>
        <v>1524.5</v>
      </c>
      <c r="M987" s="21"/>
      <c r="N987" s="21"/>
      <c r="O987" s="21"/>
    </row>
    <row r="988" customFormat="false" ht="15" hidden="false" customHeight="true" outlineLevel="0" collapsed="false">
      <c r="M988" s="21"/>
      <c r="N988" s="21"/>
      <c r="O988" s="21"/>
    </row>
    <row r="989" customFormat="false" ht="15" hidden="false" customHeight="true" outlineLevel="0" collapsed="false">
      <c r="A989" s="19" t="s">
        <v>61</v>
      </c>
      <c r="B989" s="20"/>
      <c r="C989" s="19" t="s">
        <v>62</v>
      </c>
      <c r="D989" s="20"/>
      <c r="E989" s="20"/>
      <c r="F989" s="20"/>
      <c r="G989" s="20"/>
      <c r="H989" s="20"/>
      <c r="I989" s="20"/>
      <c r="J989" s="20"/>
      <c r="K989" s="20"/>
      <c r="L989" s="20"/>
      <c r="M989" s="21" t="s">
        <v>103</v>
      </c>
      <c r="N989" s="21" t="s">
        <v>61</v>
      </c>
      <c r="O989" s="21"/>
    </row>
    <row r="990" customFormat="false" ht="15" hidden="false" customHeight="true" outlineLevel="0" collapsed="false">
      <c r="A990" s="3" t="s">
        <v>921</v>
      </c>
      <c r="B990" s="3" t="s">
        <v>91</v>
      </c>
      <c r="C990" s="3" t="s">
        <v>922</v>
      </c>
      <c r="M990" s="21"/>
      <c r="N990" s="21"/>
      <c r="O990" s="21"/>
    </row>
    <row r="991" customFormat="false" ht="132" hidden="false" customHeight="true" outlineLevel="0" collapsed="false">
      <c r="C991" s="22" t="s">
        <v>923</v>
      </c>
      <c r="M991" s="21"/>
      <c r="N991" s="21"/>
      <c r="O991" s="21"/>
    </row>
    <row r="992" customFormat="false" ht="15" hidden="false" customHeight="true" outlineLevel="0" collapsed="false">
      <c r="C992" s="23" t="s">
        <v>912</v>
      </c>
      <c r="D992" s="24" t="n">
        <v>4</v>
      </c>
      <c r="H992" s="25" t="n">
        <f aca="false">IF(COUNT(D992:G992)=0,0,D992*IF(E992="",1,E992)*IF(F992="",1,F992)*IF(G992="",1,G992))</f>
        <v>4</v>
      </c>
      <c r="M992" s="21"/>
      <c r="N992" s="21"/>
      <c r="O992" s="21"/>
    </row>
    <row r="993" customFormat="false" ht="18.75" hidden="false" customHeight="true" outlineLevel="0" collapsed="false">
      <c r="H993" s="26"/>
      <c r="I993" s="27" t="n">
        <f aca="false">ROUND(SUM(H992:H992),2)</f>
        <v>4</v>
      </c>
      <c r="J993" s="28" t="n">
        <v>152.78</v>
      </c>
      <c r="K993" s="27" t="n">
        <f aca="false">ROUND(I993*J993,2)</f>
        <v>611.12</v>
      </c>
      <c r="L993" s="29" t="s">
        <v>131</v>
      </c>
      <c r="M993" s="21" t="s">
        <v>110</v>
      </c>
      <c r="N993" s="21" t="s">
        <v>61</v>
      </c>
      <c r="O993" s="21"/>
    </row>
    <row r="994" customFormat="false" ht="15" hidden="false" customHeight="true" outlineLevel="0" collapsed="false">
      <c r="A994" s="3" t="s">
        <v>924</v>
      </c>
      <c r="B994" s="3" t="s">
        <v>91</v>
      </c>
      <c r="C994" s="3" t="s">
        <v>925</v>
      </c>
      <c r="M994" s="21"/>
      <c r="N994" s="21"/>
      <c r="O994" s="21"/>
    </row>
    <row r="995" customFormat="false" ht="132" hidden="false" customHeight="true" outlineLevel="0" collapsed="false">
      <c r="C995" s="22" t="s">
        <v>926</v>
      </c>
      <c r="M995" s="21"/>
      <c r="N995" s="21"/>
      <c r="O995" s="21"/>
    </row>
    <row r="996" customFormat="false" ht="15" hidden="false" customHeight="true" outlineLevel="0" collapsed="false">
      <c r="C996" s="23" t="s">
        <v>912</v>
      </c>
      <c r="D996" s="24" t="n">
        <v>8</v>
      </c>
      <c r="H996" s="25" t="n">
        <f aca="false">IF(COUNT(D996:G996)=0,0,D996*IF(E996="",1,E996)*IF(F996="",1,F996)*IF(G996="",1,G996))</f>
        <v>8</v>
      </c>
      <c r="M996" s="21"/>
      <c r="N996" s="21"/>
      <c r="O996" s="21"/>
    </row>
    <row r="997" customFormat="false" ht="18.75" hidden="false" customHeight="true" outlineLevel="0" collapsed="false">
      <c r="H997" s="26"/>
      <c r="I997" s="27" t="n">
        <f aca="false">ROUND(SUM(H996:H996),2)</f>
        <v>8</v>
      </c>
      <c r="J997" s="28" t="n">
        <v>152.78</v>
      </c>
      <c r="K997" s="27" t="n">
        <f aca="false">ROUND(I997*J997,2)</f>
        <v>1222.24</v>
      </c>
      <c r="L997" s="29" t="s">
        <v>131</v>
      </c>
      <c r="M997" s="21" t="s">
        <v>110</v>
      </c>
      <c r="N997" s="21" t="s">
        <v>61</v>
      </c>
      <c r="O997" s="21"/>
    </row>
    <row r="998" customFormat="false" ht="15" hidden="false" customHeight="true" outlineLevel="0" collapsed="false">
      <c r="A998" s="3" t="s">
        <v>927</v>
      </c>
      <c r="B998" s="3" t="s">
        <v>91</v>
      </c>
      <c r="C998" s="3" t="s">
        <v>928</v>
      </c>
      <c r="M998" s="21"/>
      <c r="N998" s="21"/>
      <c r="O998" s="21"/>
    </row>
    <row r="999" customFormat="false" ht="120" hidden="false" customHeight="true" outlineLevel="0" collapsed="false">
      <c r="C999" s="22" t="s">
        <v>929</v>
      </c>
      <c r="M999" s="21"/>
      <c r="N999" s="21"/>
      <c r="O999" s="21"/>
    </row>
    <row r="1000" customFormat="false" ht="15" hidden="false" customHeight="true" outlineLevel="0" collapsed="false">
      <c r="C1000" s="23" t="s">
        <v>912</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930</v>
      </c>
      <c r="B1002" s="3" t="s">
        <v>91</v>
      </c>
      <c r="C1002" s="3" t="s">
        <v>931</v>
      </c>
      <c r="M1002" s="21"/>
      <c r="N1002" s="21"/>
      <c r="O1002" s="21"/>
    </row>
    <row r="1003" customFormat="false" ht="120" hidden="false" customHeight="true" outlineLevel="0" collapsed="false">
      <c r="C1003" s="22" t="s">
        <v>932</v>
      </c>
      <c r="M1003" s="21"/>
      <c r="N1003" s="21"/>
      <c r="O1003" s="21"/>
    </row>
    <row r="1004" customFormat="false" ht="15" hidden="false" customHeight="true" outlineLevel="0" collapsed="false">
      <c r="C1004" s="23" t="s">
        <v>912</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933</v>
      </c>
      <c r="B1006" s="3" t="s">
        <v>91</v>
      </c>
      <c r="C1006" s="3" t="s">
        <v>934</v>
      </c>
      <c r="M1006" s="21"/>
      <c r="N1006" s="21"/>
      <c r="O1006" s="21"/>
    </row>
    <row r="1007" customFormat="false" ht="120" hidden="false" customHeight="true" outlineLevel="0" collapsed="false">
      <c r="C1007" s="22" t="s">
        <v>935</v>
      </c>
      <c r="M1007" s="21"/>
      <c r="N1007" s="21"/>
      <c r="O1007" s="21"/>
    </row>
    <row r="1008" customFormat="false" ht="15" hidden="false" customHeight="true" outlineLevel="0" collapsed="false">
      <c r="C1008" s="23" t="s">
        <v>912</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A1010" s="3" t="s">
        <v>936</v>
      </c>
      <c r="B1010" s="3" t="s">
        <v>91</v>
      </c>
      <c r="C1010" s="3" t="s">
        <v>937</v>
      </c>
      <c r="M1010" s="21"/>
      <c r="N1010" s="21"/>
      <c r="O1010" s="21"/>
    </row>
    <row r="1011" customFormat="false" ht="120" hidden="false" customHeight="true" outlineLevel="0" collapsed="false">
      <c r="C1011" s="22" t="s">
        <v>938</v>
      </c>
      <c r="M1011" s="21"/>
      <c r="N1011" s="21"/>
      <c r="O1011" s="21"/>
    </row>
    <row r="1012" customFormat="false" ht="15" hidden="false" customHeight="true" outlineLevel="0" collapsed="false">
      <c r="C1012" s="23" t="s">
        <v>912</v>
      </c>
      <c r="D1012" s="24" t="n">
        <v>1</v>
      </c>
      <c r="H1012" s="25" t="n">
        <f aca="false">IF(COUNT(D1012:G1012)=0,0,D1012*IF(E1012="",1,E1012)*IF(F1012="",1,F1012)*IF(G1012="",1,G1012))</f>
        <v>1</v>
      </c>
      <c r="M1012" s="21"/>
      <c r="N1012" s="21"/>
      <c r="O1012" s="21"/>
    </row>
    <row r="1013" customFormat="false" ht="18.75" hidden="false" customHeight="true" outlineLevel="0" collapsed="false">
      <c r="H1013" s="26"/>
      <c r="I1013" s="27" t="n">
        <f aca="false">ROUND(SUM(H1012:H1012),2)</f>
        <v>1</v>
      </c>
      <c r="J1013" s="28" t="n">
        <v>152.78</v>
      </c>
      <c r="K1013" s="27" t="n">
        <f aca="false">ROUND(I1013*J1013,2)</f>
        <v>152.78</v>
      </c>
      <c r="L1013" s="29" t="s">
        <v>131</v>
      </c>
      <c r="M1013" s="21" t="s">
        <v>110</v>
      </c>
      <c r="N1013" s="21" t="s">
        <v>61</v>
      </c>
      <c r="O1013" s="21"/>
    </row>
    <row r="1014" customFormat="false" ht="15" hidden="false" customHeight="true" outlineLevel="0" collapsed="false">
      <c r="A1014" s="3" t="s">
        <v>939</v>
      </c>
      <c r="B1014" s="3" t="s">
        <v>91</v>
      </c>
      <c r="C1014" s="3" t="s">
        <v>940</v>
      </c>
      <c r="M1014" s="21"/>
      <c r="N1014" s="21"/>
      <c r="O1014" s="21"/>
    </row>
    <row r="1015" customFormat="false" ht="120" hidden="false" customHeight="true" outlineLevel="0" collapsed="false">
      <c r="C1015" s="22" t="s">
        <v>941</v>
      </c>
      <c r="M1015" s="21"/>
      <c r="N1015" s="21"/>
      <c r="O1015" s="21"/>
    </row>
    <row r="1016" customFormat="false" ht="15" hidden="false" customHeight="true" outlineLevel="0" collapsed="false">
      <c r="C1016" s="23" t="s">
        <v>912</v>
      </c>
      <c r="D1016" s="24" t="n">
        <v>1</v>
      </c>
      <c r="H1016" s="25" t="n">
        <f aca="false">IF(COUNT(D1016:G1016)=0,0,D1016*IF(E1016="",1,E1016)*IF(F1016="",1,F1016)*IF(G1016="",1,G1016))</f>
        <v>1</v>
      </c>
      <c r="M1016" s="21"/>
      <c r="N1016" s="21"/>
      <c r="O1016" s="21"/>
    </row>
    <row r="1017" customFormat="false" ht="18.75" hidden="false" customHeight="true" outlineLevel="0" collapsed="false">
      <c r="H1017" s="26"/>
      <c r="I1017" s="27" t="n">
        <f aca="false">ROUND(SUM(H1016:H1016),2)</f>
        <v>1</v>
      </c>
      <c r="J1017" s="28" t="n">
        <v>152.78</v>
      </c>
      <c r="K1017" s="27" t="n">
        <f aca="false">ROUND(I1017*J1017,2)</f>
        <v>152.78</v>
      </c>
      <c r="L1017" s="29" t="s">
        <v>131</v>
      </c>
      <c r="M1017" s="21" t="s">
        <v>110</v>
      </c>
      <c r="N1017" s="21" t="s">
        <v>61</v>
      </c>
      <c r="O1017" s="21"/>
    </row>
    <row r="1018" customFormat="false" ht="15" hidden="false" customHeight="true" outlineLevel="0" collapsed="false">
      <c r="A1018" s="3" t="s">
        <v>942</v>
      </c>
      <c r="B1018" s="3" t="s">
        <v>91</v>
      </c>
      <c r="C1018" s="3" t="s">
        <v>943</v>
      </c>
      <c r="M1018" s="21"/>
      <c r="N1018" s="21"/>
      <c r="O1018" s="21"/>
    </row>
    <row r="1019" customFormat="false" ht="108" hidden="false" customHeight="true" outlineLevel="0" collapsed="false">
      <c r="C1019" s="22" t="s">
        <v>944</v>
      </c>
      <c r="M1019" s="21"/>
      <c r="N1019" s="21"/>
      <c r="O1019" s="21"/>
    </row>
    <row r="1020" customFormat="false" ht="15" hidden="false" customHeight="true" outlineLevel="0" collapsed="false">
      <c r="C1020" s="23" t="s">
        <v>912</v>
      </c>
      <c r="D1020" s="24" t="n">
        <v>1</v>
      </c>
      <c r="H1020" s="25" t="n">
        <f aca="false">IF(COUNT(D1020:G1020)=0,0,D1020*IF(E1020="",1,E1020)*IF(F1020="",1,F1020)*IF(G1020="",1,G1020))</f>
        <v>1</v>
      </c>
      <c r="M1020" s="21"/>
      <c r="N1020" s="21"/>
      <c r="O1020" s="21"/>
    </row>
    <row r="1021" customFormat="false" ht="18.75" hidden="false" customHeight="true" outlineLevel="0" collapsed="false">
      <c r="H1021" s="26"/>
      <c r="I1021" s="27" t="n">
        <f aca="false">ROUND(SUM(H1020:H1020),2)</f>
        <v>1</v>
      </c>
      <c r="J1021" s="28" t="n">
        <v>152.78</v>
      </c>
      <c r="K1021" s="27" t="n">
        <f aca="false">ROUND(I1021*J1021,2)</f>
        <v>152.78</v>
      </c>
      <c r="L1021" s="29" t="s">
        <v>131</v>
      </c>
      <c r="M1021" s="21" t="s">
        <v>110</v>
      </c>
      <c r="N1021" s="21" t="s">
        <v>61</v>
      </c>
      <c r="O1021" s="21"/>
    </row>
    <row r="1022" customFormat="false" ht="15" hidden="false" customHeight="true" outlineLevel="0" collapsed="false">
      <c r="C1022" s="30" t="s">
        <v>945</v>
      </c>
      <c r="K1022" s="11" t="n">
        <f aca="false">SUMIFS($K$5:$K$1021,$M$5:$M$1021,"P",$N$5:$N$1021,"19")</f>
        <v>2750.04</v>
      </c>
      <c r="M1022" s="21"/>
      <c r="N1022" s="21"/>
      <c r="O1022" s="21"/>
    </row>
    <row r="1023" customFormat="false" ht="15" hidden="false" customHeight="true" outlineLevel="0" collapsed="false">
      <c r="M1023" s="21"/>
      <c r="N1023" s="21"/>
      <c r="O1023" s="21"/>
    </row>
    <row r="1024" customFormat="false" ht="15" hidden="false" customHeight="true" outlineLevel="0" collapsed="false">
      <c r="A1024" s="19" t="s">
        <v>63</v>
      </c>
      <c r="B1024" s="20"/>
      <c r="C1024" s="19" t="s">
        <v>64</v>
      </c>
      <c r="D1024" s="20"/>
      <c r="E1024" s="20"/>
      <c r="F1024" s="20"/>
      <c r="G1024" s="20"/>
      <c r="H1024" s="20"/>
      <c r="I1024" s="20"/>
      <c r="J1024" s="20"/>
      <c r="K1024" s="20"/>
      <c r="L1024" s="20"/>
      <c r="M1024" s="21" t="s">
        <v>103</v>
      </c>
      <c r="N1024" s="21" t="s">
        <v>63</v>
      </c>
      <c r="O1024" s="21"/>
    </row>
    <row r="1025" customFormat="false" ht="15" hidden="false" customHeight="true" outlineLevel="0" collapsed="false">
      <c r="A1025" s="3" t="s">
        <v>946</v>
      </c>
      <c r="C1025" s="3" t="s">
        <v>947</v>
      </c>
      <c r="M1025" s="21" t="s">
        <v>194</v>
      </c>
      <c r="N1025" s="21" t="s">
        <v>63</v>
      </c>
      <c r="O1025" s="21" t="s">
        <v>946</v>
      </c>
    </row>
    <row r="1026" customFormat="false" ht="15" hidden="false" customHeight="true" outlineLevel="0" collapsed="false">
      <c r="A1026" s="3" t="s">
        <v>948</v>
      </c>
      <c r="B1026" s="3" t="s">
        <v>949</v>
      </c>
      <c r="C1026" s="3" t="s">
        <v>950</v>
      </c>
      <c r="M1026" s="21"/>
      <c r="N1026" s="21"/>
      <c r="O1026" s="21"/>
    </row>
    <row r="1027" customFormat="false" ht="48" hidden="false" customHeight="true" outlineLevel="0" collapsed="false">
      <c r="C1027" s="22" t="s">
        <v>951</v>
      </c>
      <c r="M1027" s="21"/>
      <c r="N1027" s="21"/>
      <c r="O1027" s="21"/>
    </row>
    <row r="1028" customFormat="false" ht="15" hidden="false" customHeight="true" outlineLevel="0" collapsed="false">
      <c r="C1028" s="23" t="s">
        <v>912</v>
      </c>
      <c r="D1028" s="24" t="n">
        <v>156</v>
      </c>
      <c r="H1028" s="25" t="n">
        <f aca="false">IF(COUNT(D1028:G1028)=0,0,D1028*IF(E1028="",1,E1028)*IF(F1028="",1,F1028)*IF(G1028="",1,G1028))</f>
        <v>156</v>
      </c>
      <c r="M1028" s="21"/>
      <c r="N1028" s="21"/>
      <c r="O1028" s="21"/>
    </row>
    <row r="1029" customFormat="false" ht="18.75" hidden="false" customHeight="true" outlineLevel="0" collapsed="false">
      <c r="H1029" s="26"/>
      <c r="I1029" s="27" t="n">
        <f aca="false">ROUND(SUM(H1028:H1028),2)</f>
        <v>156</v>
      </c>
      <c r="J1029" s="28" t="n">
        <v>15.41</v>
      </c>
      <c r="K1029" s="27" t="n">
        <f aca="false">ROUND(I1029*J1029,2)</f>
        <v>2403.96</v>
      </c>
      <c r="L1029" s="29" t="s">
        <v>131</v>
      </c>
      <c r="M1029" s="21" t="s">
        <v>110</v>
      </c>
      <c r="N1029" s="21" t="s">
        <v>63</v>
      </c>
      <c r="O1029" s="21" t="s">
        <v>946</v>
      </c>
    </row>
    <row r="1030" customFormat="false" ht="15" hidden="false" customHeight="true" outlineLevel="0" collapsed="false">
      <c r="A1030" s="3" t="s">
        <v>952</v>
      </c>
      <c r="B1030" s="3" t="s">
        <v>564</v>
      </c>
      <c r="C1030" s="3" t="s">
        <v>953</v>
      </c>
      <c r="M1030" s="21"/>
      <c r="N1030" s="21"/>
      <c r="O1030" s="21"/>
    </row>
    <row r="1031" customFormat="false" ht="84" hidden="false" customHeight="true" outlineLevel="0" collapsed="false">
      <c r="C1031" s="22" t="s">
        <v>954</v>
      </c>
      <c r="M1031" s="21"/>
      <c r="N1031" s="21"/>
      <c r="O1031" s="21"/>
    </row>
    <row r="1032" customFormat="false" ht="15" hidden="false" customHeight="true" outlineLevel="0" collapsed="false">
      <c r="C1032" s="23" t="s">
        <v>912</v>
      </c>
      <c r="D1032" s="24" t="n">
        <v>25</v>
      </c>
      <c r="H1032" s="25" t="n">
        <f aca="false">IF(COUNT(D1032:G1032)=0,0,D1032*IF(E1032="",1,E1032)*IF(F1032="",1,F1032)*IF(G1032="",1,G1032))</f>
        <v>25</v>
      </c>
      <c r="M1032" s="21"/>
      <c r="N1032" s="21"/>
      <c r="O1032" s="21"/>
    </row>
    <row r="1033" customFormat="false" ht="18.75" hidden="false" customHeight="true" outlineLevel="0" collapsed="false">
      <c r="H1033" s="26"/>
      <c r="I1033" s="27" t="n">
        <f aca="false">ROUND(SUM(H1032:H1032),2)</f>
        <v>25</v>
      </c>
      <c r="J1033" s="28" t="n">
        <v>11.84</v>
      </c>
      <c r="K1033" s="27" t="n">
        <f aca="false">ROUND(I1033*J1033,2)</f>
        <v>296</v>
      </c>
      <c r="L1033" s="29" t="s">
        <v>131</v>
      </c>
      <c r="M1033" s="21" t="s">
        <v>110</v>
      </c>
      <c r="N1033" s="21" t="s">
        <v>63</v>
      </c>
      <c r="O1033" s="21" t="s">
        <v>946</v>
      </c>
    </row>
    <row r="1034" customFormat="false" ht="15" hidden="false" customHeight="true" outlineLevel="0" collapsed="false">
      <c r="A1034" s="3" t="s">
        <v>955</v>
      </c>
      <c r="B1034" s="3" t="s">
        <v>564</v>
      </c>
      <c r="C1034" s="3" t="s">
        <v>956</v>
      </c>
      <c r="M1034" s="21"/>
      <c r="N1034" s="21"/>
      <c r="O1034" s="21"/>
    </row>
    <row r="1035" customFormat="false" ht="84" hidden="false" customHeight="true" outlineLevel="0" collapsed="false">
      <c r="C1035" s="22" t="s">
        <v>957</v>
      </c>
      <c r="M1035" s="21"/>
      <c r="N1035" s="21"/>
      <c r="O1035" s="21"/>
    </row>
    <row r="1036" customFormat="false" ht="15" hidden="false" customHeight="true" outlineLevel="0" collapsed="false">
      <c r="C1036" s="23" t="s">
        <v>912</v>
      </c>
      <c r="D1036" s="24" t="n">
        <v>10</v>
      </c>
      <c r="H1036" s="25" t="n">
        <f aca="false">IF(COUNT(D1036:G1036)=0,0,D1036*IF(E1036="",1,E1036)*IF(F1036="",1,F1036)*IF(G1036="",1,G1036))</f>
        <v>10</v>
      </c>
      <c r="M1036" s="21"/>
      <c r="N1036" s="21"/>
      <c r="O1036" s="21"/>
    </row>
    <row r="1037" customFormat="false" ht="18.75" hidden="false" customHeight="true" outlineLevel="0" collapsed="false">
      <c r="H1037" s="26"/>
      <c r="I1037" s="27" t="n">
        <f aca="false">ROUND(SUM(H1036:H1036),2)</f>
        <v>10</v>
      </c>
      <c r="J1037" s="28" t="n">
        <v>8.68</v>
      </c>
      <c r="K1037" s="27" t="n">
        <f aca="false">ROUND(I1037*J1037,2)</f>
        <v>86.8</v>
      </c>
      <c r="L1037" s="29" t="s">
        <v>131</v>
      </c>
      <c r="M1037" s="21" t="s">
        <v>110</v>
      </c>
      <c r="N1037" s="21" t="s">
        <v>63</v>
      </c>
      <c r="O1037" s="21" t="s">
        <v>946</v>
      </c>
    </row>
    <row r="1038" customFormat="false" ht="15" hidden="false" customHeight="true" outlineLevel="0" collapsed="false">
      <c r="A1038" s="3" t="s">
        <v>958</v>
      </c>
      <c r="B1038" s="3" t="s">
        <v>564</v>
      </c>
      <c r="C1038" s="3" t="s">
        <v>959</v>
      </c>
      <c r="M1038" s="21"/>
      <c r="N1038" s="21"/>
      <c r="O1038" s="21"/>
    </row>
    <row r="1039" customFormat="false" ht="72" hidden="false" customHeight="true" outlineLevel="0" collapsed="false">
      <c r="C1039" s="22" t="s">
        <v>960</v>
      </c>
      <c r="M1039" s="21"/>
      <c r="N1039" s="21"/>
      <c r="O1039" s="21"/>
    </row>
    <row r="1040" customFormat="false" ht="15" hidden="false" customHeight="true" outlineLevel="0" collapsed="false">
      <c r="C1040" s="23" t="s">
        <v>912</v>
      </c>
      <c r="D1040" s="24" t="n">
        <v>10</v>
      </c>
      <c r="H1040" s="25" t="n">
        <f aca="false">IF(COUNT(D1040:G1040)=0,0,D1040*IF(E1040="",1,E1040)*IF(F1040="",1,F1040)*IF(G1040="",1,G1040))</f>
        <v>10</v>
      </c>
      <c r="M1040" s="21"/>
      <c r="N1040" s="21"/>
      <c r="O1040" s="21"/>
    </row>
    <row r="1041" customFormat="false" ht="18.75" hidden="false" customHeight="true" outlineLevel="0" collapsed="false">
      <c r="H1041" s="26"/>
      <c r="I1041" s="27" t="n">
        <f aca="false">ROUND(SUM(H1040:H1040),2)</f>
        <v>10</v>
      </c>
      <c r="J1041" s="28" t="n">
        <v>6.31</v>
      </c>
      <c r="K1041" s="27" t="n">
        <f aca="false">ROUND(I1041*J1041,2)</f>
        <v>63.1</v>
      </c>
      <c r="L1041" s="29" t="s">
        <v>131</v>
      </c>
      <c r="M1041" s="21" t="s">
        <v>110</v>
      </c>
      <c r="N1041" s="21" t="s">
        <v>63</v>
      </c>
      <c r="O1041" s="21" t="s">
        <v>946</v>
      </c>
    </row>
    <row r="1042" customFormat="false" ht="15" hidden="false" customHeight="true" outlineLevel="0" collapsed="false">
      <c r="A1042" s="3" t="s">
        <v>961</v>
      </c>
      <c r="B1042" s="3" t="s">
        <v>556</v>
      </c>
      <c r="C1042" s="3" t="s">
        <v>962</v>
      </c>
      <c r="M1042" s="21"/>
      <c r="N1042" s="21"/>
      <c r="O1042" s="21"/>
    </row>
    <row r="1043" customFormat="false" ht="108" hidden="false" customHeight="true" outlineLevel="0" collapsed="false">
      <c r="C1043" s="22" t="s">
        <v>963</v>
      </c>
      <c r="M1043" s="21"/>
      <c r="N1043" s="21"/>
      <c r="O1043" s="21"/>
    </row>
    <row r="1044" customFormat="false" ht="15" hidden="false" customHeight="true" outlineLevel="0" collapsed="false">
      <c r="C1044" s="23" t="s">
        <v>912</v>
      </c>
      <c r="D1044" s="24" t="n">
        <v>10</v>
      </c>
      <c r="H1044" s="25" t="n">
        <f aca="false">IF(COUNT(D1044:G1044)=0,0,D1044*IF(E1044="",1,E1044)*IF(F1044="",1,F1044)*IF(G1044="",1,G1044))</f>
        <v>10</v>
      </c>
      <c r="M1044" s="21"/>
      <c r="N1044" s="21"/>
      <c r="O1044" s="21"/>
    </row>
    <row r="1045" customFormat="false" ht="18.75" hidden="false" customHeight="true" outlineLevel="0" collapsed="false">
      <c r="H1045" s="26"/>
      <c r="I1045" s="27" t="n">
        <f aca="false">ROUND(SUM(H1044:H1044),2)</f>
        <v>10</v>
      </c>
      <c r="J1045" s="28" t="n">
        <v>11.84</v>
      </c>
      <c r="K1045" s="27" t="n">
        <f aca="false">ROUND(I1045*J1045,2)</f>
        <v>118.4</v>
      </c>
      <c r="L1045" s="29" t="s">
        <v>131</v>
      </c>
      <c r="M1045" s="21" t="s">
        <v>110</v>
      </c>
      <c r="N1045" s="21" t="s">
        <v>63</v>
      </c>
      <c r="O1045" s="21" t="s">
        <v>946</v>
      </c>
    </row>
    <row r="1046" customFormat="false" ht="15" hidden="false" customHeight="true" outlineLevel="0" collapsed="false">
      <c r="A1046" s="3" t="s">
        <v>964</v>
      </c>
      <c r="B1046" s="3" t="s">
        <v>564</v>
      </c>
      <c r="C1046" s="3" t="s">
        <v>965</v>
      </c>
      <c r="M1046" s="21"/>
      <c r="N1046" s="21"/>
      <c r="O1046" s="21"/>
    </row>
    <row r="1047" customFormat="false" ht="144" hidden="false" customHeight="true" outlineLevel="0" collapsed="false">
      <c r="C1047" s="22" t="s">
        <v>966</v>
      </c>
      <c r="M1047" s="21"/>
      <c r="N1047" s="21"/>
      <c r="O1047" s="21"/>
    </row>
    <row r="1048" customFormat="false" ht="15" hidden="false" customHeight="true" outlineLevel="0" collapsed="false">
      <c r="C1048" s="23" t="s">
        <v>912</v>
      </c>
      <c r="D1048" s="24" t="n">
        <v>5</v>
      </c>
      <c r="H1048" s="25" t="n">
        <f aca="false">IF(COUNT(D1048:G1048)=0,0,D1048*IF(E1048="",1,E1048)*IF(F1048="",1,F1048)*IF(G1048="",1,G1048))</f>
        <v>5</v>
      </c>
      <c r="M1048" s="21"/>
      <c r="N1048" s="21"/>
      <c r="O1048" s="21"/>
    </row>
    <row r="1049" customFormat="false" ht="18.75" hidden="false" customHeight="true" outlineLevel="0" collapsed="false">
      <c r="H1049" s="26"/>
      <c r="I1049" s="27" t="n">
        <f aca="false">ROUND(SUM(H1048:H1048),2)</f>
        <v>5</v>
      </c>
      <c r="J1049" s="28" t="n">
        <v>1.37</v>
      </c>
      <c r="K1049" s="27" t="n">
        <f aca="false">ROUND(I1049*J1049,2)</f>
        <v>6.85</v>
      </c>
      <c r="L1049" s="29" t="s">
        <v>131</v>
      </c>
      <c r="M1049" s="21" t="s">
        <v>110</v>
      </c>
      <c r="N1049" s="21" t="s">
        <v>63</v>
      </c>
      <c r="O1049" s="21" t="s">
        <v>946</v>
      </c>
    </row>
    <row r="1050" customFormat="false" ht="15" hidden="false" customHeight="true" outlineLevel="0" collapsed="false">
      <c r="A1050" s="3" t="s">
        <v>967</v>
      </c>
      <c r="B1050" s="3" t="s">
        <v>949</v>
      </c>
      <c r="C1050" s="3" t="s">
        <v>968</v>
      </c>
      <c r="M1050" s="21"/>
      <c r="N1050" s="21"/>
      <c r="O1050" s="21"/>
    </row>
    <row r="1051" customFormat="false" ht="84" hidden="false" customHeight="true" outlineLevel="0" collapsed="false">
      <c r="C1051" s="22" t="s">
        <v>969</v>
      </c>
      <c r="M1051" s="21"/>
      <c r="N1051" s="21"/>
      <c r="O1051" s="21"/>
    </row>
    <row r="1052" customFormat="false" ht="15" hidden="false" customHeight="true" outlineLevel="0" collapsed="false">
      <c r="C1052" s="23" t="s">
        <v>912</v>
      </c>
      <c r="D1052" s="24" t="n">
        <v>25</v>
      </c>
      <c r="H1052" s="25" t="n">
        <f aca="false">IF(COUNT(D1052:G1052)=0,0,D1052*IF(E1052="",1,E1052)*IF(F1052="",1,F1052)*IF(G1052="",1,G1052))</f>
        <v>25</v>
      </c>
      <c r="M1052" s="21"/>
      <c r="N1052" s="21"/>
      <c r="O1052" s="21"/>
    </row>
    <row r="1053" customFormat="false" ht="18.75" hidden="false" customHeight="true" outlineLevel="0" collapsed="false">
      <c r="H1053" s="26"/>
      <c r="I1053" s="27" t="n">
        <f aca="false">ROUND(SUM(H1052:H1052),2)</f>
        <v>25</v>
      </c>
      <c r="J1053" s="28" t="n">
        <v>2.54</v>
      </c>
      <c r="K1053" s="27" t="n">
        <f aca="false">ROUND(I1053*J1053,2)</f>
        <v>63.5</v>
      </c>
      <c r="L1053" s="29" t="s">
        <v>131</v>
      </c>
      <c r="M1053" s="21" t="s">
        <v>110</v>
      </c>
      <c r="N1053" s="21" t="s">
        <v>63</v>
      </c>
      <c r="O1053" s="21" t="s">
        <v>946</v>
      </c>
    </row>
    <row r="1054" customFormat="false" ht="15" hidden="false" customHeight="true" outlineLevel="0" collapsed="false">
      <c r="A1054" s="3" t="s">
        <v>970</v>
      </c>
      <c r="B1054" s="3" t="s">
        <v>556</v>
      </c>
      <c r="C1054" s="3" t="s">
        <v>971</v>
      </c>
      <c r="M1054" s="21"/>
      <c r="N1054" s="21"/>
      <c r="O1054" s="21"/>
    </row>
    <row r="1055" customFormat="false" ht="48" hidden="false" customHeight="true" outlineLevel="0" collapsed="false">
      <c r="C1055" s="22" t="s">
        <v>972</v>
      </c>
      <c r="M1055" s="21"/>
      <c r="N1055" s="21"/>
      <c r="O1055" s="21"/>
    </row>
    <row r="1056" customFormat="false" ht="15" hidden="false" customHeight="true" outlineLevel="0" collapsed="false">
      <c r="C1056" s="23" t="s">
        <v>912</v>
      </c>
      <c r="D1056" s="24" t="n">
        <v>100</v>
      </c>
      <c r="H1056" s="25" t="n">
        <f aca="false">IF(COUNT(D1056:G1056)=0,0,D1056*IF(E1056="",1,E1056)*IF(F1056="",1,F1056)*IF(G1056="",1,G1056))</f>
        <v>100</v>
      </c>
      <c r="M1056" s="21"/>
      <c r="N1056" s="21"/>
      <c r="O1056" s="21"/>
    </row>
    <row r="1057" customFormat="false" ht="18.75" hidden="false" customHeight="true" outlineLevel="0" collapsed="false">
      <c r="H1057" s="26"/>
      <c r="I1057" s="27" t="n">
        <f aca="false">ROUND(SUM(H1056:H1056),2)</f>
        <v>100</v>
      </c>
      <c r="J1057" s="28" t="n">
        <v>0.03</v>
      </c>
      <c r="K1057" s="27" t="n">
        <f aca="false">ROUND(I1057*J1057,2)</f>
        <v>3</v>
      </c>
      <c r="L1057" s="29" t="s">
        <v>131</v>
      </c>
      <c r="M1057" s="21" t="s">
        <v>110</v>
      </c>
      <c r="N1057" s="21" t="s">
        <v>63</v>
      </c>
      <c r="O1057" s="21" t="s">
        <v>946</v>
      </c>
    </row>
    <row r="1058" customFormat="false" ht="15" hidden="false" customHeight="true" outlineLevel="0" collapsed="false">
      <c r="A1058" s="3" t="s">
        <v>973</v>
      </c>
      <c r="B1058" s="3" t="s">
        <v>556</v>
      </c>
      <c r="C1058" s="3" t="s">
        <v>974</v>
      </c>
      <c r="M1058" s="21"/>
      <c r="N1058" s="21"/>
      <c r="O1058" s="21"/>
    </row>
    <row r="1059" customFormat="false" ht="84" hidden="false" customHeight="true" outlineLevel="0" collapsed="false">
      <c r="C1059" s="22" t="s">
        <v>975</v>
      </c>
      <c r="M1059" s="21"/>
      <c r="N1059" s="21"/>
      <c r="O1059" s="21"/>
    </row>
    <row r="1060" customFormat="false" ht="15" hidden="false" customHeight="true" outlineLevel="0" collapsed="false">
      <c r="C1060" s="23" t="s">
        <v>912</v>
      </c>
      <c r="D1060" s="24" t="n">
        <v>10</v>
      </c>
      <c r="H1060" s="25" t="n">
        <f aca="false">IF(COUNT(D1060:G1060)=0,0,D1060*IF(E1060="",1,E1060)*IF(F1060="",1,F1060)*IF(G1060="",1,G1060))</f>
        <v>10</v>
      </c>
      <c r="M1060" s="21"/>
      <c r="N1060" s="21"/>
      <c r="O1060" s="21"/>
    </row>
    <row r="1061" customFormat="false" ht="18.75" hidden="false" customHeight="true" outlineLevel="0" collapsed="false">
      <c r="H1061" s="26"/>
      <c r="I1061" s="27" t="n">
        <f aca="false">ROUND(SUM(H1060:H1060),2)</f>
        <v>10</v>
      </c>
      <c r="J1061" s="28" t="n">
        <v>3.75</v>
      </c>
      <c r="K1061" s="27" t="n">
        <f aca="false">ROUND(I1061*J1061,2)</f>
        <v>37.5</v>
      </c>
      <c r="L1061" s="29" t="s">
        <v>131</v>
      </c>
      <c r="M1061" s="21" t="s">
        <v>110</v>
      </c>
      <c r="N1061" s="21" t="s">
        <v>63</v>
      </c>
      <c r="O1061" s="21" t="s">
        <v>946</v>
      </c>
    </row>
    <row r="1062" customFormat="false" ht="15" hidden="false" customHeight="true" outlineLevel="0" collapsed="false">
      <c r="A1062" s="3" t="s">
        <v>976</v>
      </c>
      <c r="B1062" s="3" t="s">
        <v>556</v>
      </c>
      <c r="C1062" s="3" t="s">
        <v>977</v>
      </c>
      <c r="M1062" s="21"/>
      <c r="N1062" s="21"/>
      <c r="O1062" s="21"/>
    </row>
    <row r="1063" customFormat="false" ht="48" hidden="false" customHeight="true" outlineLevel="0" collapsed="false">
      <c r="C1063" s="22" t="s">
        <v>978</v>
      </c>
      <c r="M1063" s="21"/>
      <c r="N1063" s="21"/>
      <c r="O1063" s="21"/>
    </row>
    <row r="1064" customFormat="false" ht="15" hidden="false" customHeight="true" outlineLevel="0" collapsed="false">
      <c r="C1064" s="23" t="s">
        <v>912</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3.36</v>
      </c>
      <c r="K1065" s="27" t="n">
        <f aca="false">ROUND(I1065*J1065,2)</f>
        <v>3.36</v>
      </c>
      <c r="L1065" s="29" t="s">
        <v>131</v>
      </c>
      <c r="M1065" s="21" t="s">
        <v>110</v>
      </c>
      <c r="N1065" s="21" t="s">
        <v>63</v>
      </c>
      <c r="O1065" s="21" t="s">
        <v>946</v>
      </c>
    </row>
    <row r="1066" customFormat="false" ht="15" hidden="false" customHeight="true" outlineLevel="0" collapsed="false">
      <c r="A1066" s="3" t="s">
        <v>979</v>
      </c>
      <c r="B1066" s="3" t="s">
        <v>556</v>
      </c>
      <c r="C1066" s="3" t="s">
        <v>980</v>
      </c>
      <c r="M1066" s="21"/>
      <c r="N1066" s="21"/>
      <c r="O1066" s="21"/>
    </row>
    <row r="1067" customFormat="false" ht="72" hidden="false" customHeight="true" outlineLevel="0" collapsed="false">
      <c r="C1067" s="22" t="s">
        <v>981</v>
      </c>
      <c r="M1067" s="21"/>
      <c r="N1067" s="21"/>
      <c r="O1067" s="21"/>
    </row>
    <row r="1068" customFormat="false" ht="15" hidden="false" customHeight="true" outlineLevel="0" collapsed="false">
      <c r="C1068" s="23" t="s">
        <v>912</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125.15</v>
      </c>
      <c r="K1069" s="27" t="n">
        <f aca="false">ROUND(I1069*J1069,2)</f>
        <v>125.15</v>
      </c>
      <c r="L1069" s="29" t="s">
        <v>131</v>
      </c>
      <c r="M1069" s="21" t="s">
        <v>110</v>
      </c>
      <c r="N1069" s="21" t="s">
        <v>63</v>
      </c>
      <c r="O1069" s="21" t="s">
        <v>946</v>
      </c>
    </row>
    <row r="1070" customFormat="false" ht="15" hidden="false" customHeight="true" outlineLevel="0" collapsed="false">
      <c r="A1070" s="3" t="s">
        <v>982</v>
      </c>
      <c r="B1070" s="3" t="s">
        <v>556</v>
      </c>
      <c r="C1070" s="3" t="s">
        <v>983</v>
      </c>
      <c r="M1070" s="21"/>
      <c r="N1070" s="21"/>
      <c r="O1070" s="21"/>
    </row>
    <row r="1071" customFormat="false" ht="120" hidden="false" customHeight="true" outlineLevel="0" collapsed="false">
      <c r="C1071" s="22" t="s">
        <v>984</v>
      </c>
      <c r="M1071" s="21"/>
      <c r="N1071" s="21"/>
      <c r="O1071" s="21"/>
    </row>
    <row r="1072" customFormat="false" ht="15" hidden="false" customHeight="true" outlineLevel="0" collapsed="false">
      <c r="C1072" s="23" t="s">
        <v>912</v>
      </c>
      <c r="D1072" s="24" t="n">
        <v>1</v>
      </c>
      <c r="H1072" s="25" t="n">
        <f aca="false">IF(COUNT(D1072:G1072)=0,0,D1072*IF(E1072="",1,E1072)*IF(F1072="",1,F1072)*IF(G1072="",1,G1072))</f>
        <v>1</v>
      </c>
      <c r="M1072" s="21"/>
      <c r="N1072" s="21"/>
      <c r="O1072" s="21"/>
    </row>
    <row r="1073" customFormat="false" ht="18.75" hidden="false" customHeight="true" outlineLevel="0" collapsed="false">
      <c r="H1073" s="26"/>
      <c r="I1073" s="27" t="n">
        <f aca="false">ROUND(SUM(H1072:H1072),2)</f>
        <v>1</v>
      </c>
      <c r="J1073" s="28" t="n">
        <v>67.62</v>
      </c>
      <c r="K1073" s="27" t="n">
        <f aca="false">ROUND(I1073*J1073,2)</f>
        <v>67.62</v>
      </c>
      <c r="L1073" s="29" t="s">
        <v>131</v>
      </c>
      <c r="M1073" s="21" t="s">
        <v>110</v>
      </c>
      <c r="N1073" s="21" t="s">
        <v>63</v>
      </c>
      <c r="O1073" s="21" t="s">
        <v>946</v>
      </c>
    </row>
    <row r="1074" customFormat="false" ht="15" hidden="false" customHeight="true" outlineLevel="0" collapsed="false">
      <c r="A1074" s="3" t="s">
        <v>985</v>
      </c>
      <c r="B1074" s="3" t="s">
        <v>556</v>
      </c>
      <c r="C1074" s="3" t="s">
        <v>986</v>
      </c>
      <c r="M1074" s="21"/>
      <c r="N1074" s="21"/>
      <c r="O1074" s="21"/>
    </row>
    <row r="1075" customFormat="false" ht="72" hidden="false" customHeight="true" outlineLevel="0" collapsed="false">
      <c r="C1075" s="22" t="s">
        <v>987</v>
      </c>
      <c r="M1075" s="21"/>
      <c r="N1075" s="21"/>
      <c r="O1075" s="21"/>
    </row>
    <row r="1076" customFormat="false" ht="15" hidden="false" customHeight="true" outlineLevel="0" collapsed="false">
      <c r="C1076" s="23" t="s">
        <v>912</v>
      </c>
      <c r="D1076" s="24" t="n">
        <v>1</v>
      </c>
      <c r="H1076" s="25" t="n">
        <f aca="false">IF(COUNT(D1076:G1076)=0,0,D1076*IF(E1076="",1,E1076)*IF(F1076="",1,F1076)*IF(G1076="",1,G1076))</f>
        <v>1</v>
      </c>
      <c r="M1076" s="21"/>
      <c r="N1076" s="21"/>
      <c r="O1076" s="21"/>
    </row>
    <row r="1077" customFormat="false" ht="18.75" hidden="false" customHeight="true" outlineLevel="0" collapsed="false">
      <c r="H1077" s="26"/>
      <c r="I1077" s="27" t="n">
        <f aca="false">ROUND(SUM(H1076:H1076),2)</f>
        <v>1</v>
      </c>
      <c r="J1077" s="28" t="n">
        <v>6.9</v>
      </c>
      <c r="K1077" s="27" t="n">
        <f aca="false">ROUND(I1077*J1077,2)</f>
        <v>6.9</v>
      </c>
      <c r="L1077" s="29" t="s">
        <v>131</v>
      </c>
      <c r="M1077" s="21" t="s">
        <v>110</v>
      </c>
      <c r="N1077" s="21" t="s">
        <v>63</v>
      </c>
      <c r="O1077" s="21" t="s">
        <v>946</v>
      </c>
    </row>
    <row r="1078" customFormat="false" ht="15" hidden="false" customHeight="true" outlineLevel="0" collapsed="false">
      <c r="A1078" s="3" t="s">
        <v>988</v>
      </c>
      <c r="B1078" s="3" t="s">
        <v>556</v>
      </c>
      <c r="C1078" s="3" t="s">
        <v>989</v>
      </c>
      <c r="M1078" s="21"/>
      <c r="N1078" s="21"/>
      <c r="O1078" s="21"/>
    </row>
    <row r="1079" customFormat="false" ht="60" hidden="false" customHeight="true" outlineLevel="0" collapsed="false">
      <c r="C1079" s="22" t="s">
        <v>990</v>
      </c>
      <c r="M1079" s="21"/>
      <c r="N1079" s="21"/>
      <c r="O1079" s="21"/>
    </row>
    <row r="1080" customFormat="false" ht="15" hidden="false" customHeight="true" outlineLevel="0" collapsed="false">
      <c r="C1080" s="23" t="s">
        <v>912</v>
      </c>
      <c r="D1080" s="24" t="n">
        <v>1</v>
      </c>
      <c r="H1080" s="25" t="n">
        <f aca="false">IF(COUNT(D1080:G1080)=0,0,D1080*IF(E1080="",1,E1080)*IF(F1080="",1,F1080)*IF(G1080="",1,G1080))</f>
        <v>1</v>
      </c>
      <c r="M1080" s="21"/>
      <c r="N1080" s="21"/>
      <c r="O1080" s="21"/>
    </row>
    <row r="1081" customFormat="false" ht="18.75" hidden="false" customHeight="true" outlineLevel="0" collapsed="false">
      <c r="H1081" s="26"/>
      <c r="I1081" s="27" t="n">
        <f aca="false">ROUND(SUM(H1080:H1080),2)</f>
        <v>1</v>
      </c>
      <c r="J1081" s="28" t="n">
        <v>12.57</v>
      </c>
      <c r="K1081" s="27" t="n">
        <f aca="false">ROUND(I1081*J1081,2)</f>
        <v>12.57</v>
      </c>
      <c r="L1081" s="29" t="s">
        <v>131</v>
      </c>
      <c r="M1081" s="21" t="s">
        <v>110</v>
      </c>
      <c r="N1081" s="21" t="s">
        <v>63</v>
      </c>
      <c r="O1081" s="21" t="s">
        <v>946</v>
      </c>
    </row>
    <row r="1082" customFormat="false" ht="15" hidden="false" customHeight="true" outlineLevel="0" collapsed="false">
      <c r="A1082" s="3" t="s">
        <v>991</v>
      </c>
      <c r="B1082" s="3" t="s">
        <v>564</v>
      </c>
      <c r="C1082" s="3" t="s">
        <v>992</v>
      </c>
      <c r="M1082" s="21"/>
      <c r="N1082" s="21"/>
      <c r="O1082" s="21"/>
    </row>
    <row r="1083" customFormat="false" ht="72" hidden="false" customHeight="true" outlineLevel="0" collapsed="false">
      <c r="C1083" s="22" t="s">
        <v>993</v>
      </c>
      <c r="M1083" s="21"/>
      <c r="N1083" s="21"/>
      <c r="O1083" s="21"/>
    </row>
    <row r="1084" customFormat="false" ht="15" hidden="false" customHeight="true" outlineLevel="0" collapsed="false">
      <c r="C1084" s="23" t="s">
        <v>912</v>
      </c>
      <c r="D1084" s="24" t="n">
        <v>5</v>
      </c>
      <c r="H1084" s="25" t="n">
        <f aca="false">IF(COUNT(D1084:G1084)=0,0,D1084*IF(E1084="",1,E1084)*IF(F1084="",1,F1084)*IF(G1084="",1,G1084))</f>
        <v>5</v>
      </c>
      <c r="M1084" s="21"/>
      <c r="N1084" s="21"/>
      <c r="O1084" s="21"/>
    </row>
    <row r="1085" customFormat="false" ht="18.75" hidden="false" customHeight="true" outlineLevel="0" collapsed="false">
      <c r="H1085" s="26"/>
      <c r="I1085" s="27" t="n">
        <f aca="false">ROUND(SUM(H1084:H1084),2)</f>
        <v>5</v>
      </c>
      <c r="J1085" s="28" t="n">
        <v>5.08</v>
      </c>
      <c r="K1085" s="27" t="n">
        <f aca="false">ROUND(I1085*J1085,2)</f>
        <v>25.4</v>
      </c>
      <c r="L1085" s="29" t="s">
        <v>131</v>
      </c>
      <c r="M1085" s="21" t="s">
        <v>110</v>
      </c>
      <c r="N1085" s="21" t="s">
        <v>63</v>
      </c>
      <c r="O1085" s="21" t="s">
        <v>946</v>
      </c>
    </row>
    <row r="1086" customFormat="false" ht="15" hidden="false" customHeight="true" outlineLevel="0" collapsed="false">
      <c r="A1086" s="3" t="s">
        <v>994</v>
      </c>
      <c r="B1086" s="3" t="s">
        <v>556</v>
      </c>
      <c r="C1086" s="3" t="s">
        <v>995</v>
      </c>
      <c r="M1086" s="21"/>
      <c r="N1086" s="21"/>
      <c r="O1086" s="21"/>
    </row>
    <row r="1087" customFormat="false" ht="72" hidden="false" customHeight="true" outlineLevel="0" collapsed="false">
      <c r="C1087" s="22" t="s">
        <v>996</v>
      </c>
      <c r="M1087" s="21"/>
      <c r="N1087" s="21"/>
      <c r="O1087" s="21"/>
    </row>
    <row r="1088" customFormat="false" ht="15" hidden="false" customHeight="true" outlineLevel="0" collapsed="false">
      <c r="C1088" s="23" t="s">
        <v>912</v>
      </c>
      <c r="D1088" s="24" t="n">
        <v>5</v>
      </c>
      <c r="H1088" s="25" t="n">
        <f aca="false">IF(COUNT(D1088:G1088)=0,0,D1088*IF(E1088="",1,E1088)*IF(F1088="",1,F1088)*IF(G1088="",1,G1088))</f>
        <v>5</v>
      </c>
      <c r="M1088" s="21"/>
      <c r="N1088" s="21"/>
      <c r="O1088" s="21"/>
    </row>
    <row r="1089" customFormat="false" ht="18.75" hidden="false" customHeight="true" outlineLevel="0" collapsed="false">
      <c r="H1089" s="26"/>
      <c r="I1089" s="27" t="n">
        <f aca="false">ROUND(SUM(H1088:H1088),2)</f>
        <v>5</v>
      </c>
      <c r="J1089" s="28" t="n">
        <v>5.2</v>
      </c>
      <c r="K1089" s="27" t="n">
        <f aca="false">ROUND(I1089*J1089,2)</f>
        <v>26</v>
      </c>
      <c r="L1089" s="29" t="s">
        <v>131</v>
      </c>
      <c r="M1089" s="21" t="s">
        <v>110</v>
      </c>
      <c r="N1089" s="21" t="s">
        <v>63</v>
      </c>
      <c r="O1089" s="21" t="s">
        <v>946</v>
      </c>
    </row>
    <row r="1090" customFormat="false" ht="15" hidden="false" customHeight="true" outlineLevel="0" collapsed="false">
      <c r="A1090" s="3" t="s">
        <v>997</v>
      </c>
      <c r="C1090" s="3" t="s">
        <v>998</v>
      </c>
      <c r="M1090" s="21" t="s">
        <v>194</v>
      </c>
      <c r="N1090" s="21" t="s">
        <v>63</v>
      </c>
      <c r="O1090" s="21" t="s">
        <v>997</v>
      </c>
    </row>
    <row r="1091" customFormat="false" ht="15" hidden="false" customHeight="true" outlineLevel="0" collapsed="false">
      <c r="A1091" s="3" t="s">
        <v>999</v>
      </c>
      <c r="B1091" s="3" t="s">
        <v>556</v>
      </c>
      <c r="C1091" s="3" t="s">
        <v>1000</v>
      </c>
      <c r="M1091" s="21"/>
      <c r="N1091" s="21"/>
      <c r="O1091" s="21"/>
    </row>
    <row r="1092" customFormat="false" ht="60" hidden="false" customHeight="true" outlineLevel="0" collapsed="false">
      <c r="C1092" s="22" t="s">
        <v>1001</v>
      </c>
      <c r="M1092" s="21"/>
      <c r="N1092" s="21"/>
      <c r="O1092" s="21"/>
    </row>
    <row r="1093" customFormat="false" ht="15" hidden="false" customHeight="true" outlineLevel="0" collapsed="false">
      <c r="C1093" s="23" t="s">
        <v>912</v>
      </c>
      <c r="D1093" s="24" t="n">
        <v>5</v>
      </c>
      <c r="H1093" s="25" t="n">
        <f aca="false">IF(COUNT(D1093:G1093)=0,0,D1093*IF(E1093="",1,E1093)*IF(F1093="",1,F1093)*IF(G1093="",1,G1093))</f>
        <v>5</v>
      </c>
      <c r="M1093" s="21"/>
      <c r="N1093" s="21"/>
      <c r="O1093" s="21"/>
    </row>
    <row r="1094" customFormat="false" ht="18.75" hidden="false" customHeight="true" outlineLevel="0" collapsed="false">
      <c r="H1094" s="26"/>
      <c r="I1094" s="27" t="n">
        <f aca="false">ROUND(SUM(H1093:H1093),2)</f>
        <v>5</v>
      </c>
      <c r="J1094" s="28" t="n">
        <v>11.37</v>
      </c>
      <c r="K1094" s="27" t="n">
        <f aca="false">ROUND(I1094*J1094,2)</f>
        <v>56.85</v>
      </c>
      <c r="L1094" s="29" t="s">
        <v>131</v>
      </c>
      <c r="M1094" s="21" t="s">
        <v>110</v>
      </c>
      <c r="N1094" s="21" t="s">
        <v>63</v>
      </c>
      <c r="O1094" s="21" t="s">
        <v>997</v>
      </c>
    </row>
    <row r="1095" customFormat="false" ht="15" hidden="false" customHeight="true" outlineLevel="0" collapsed="false">
      <c r="A1095" s="3" t="s">
        <v>1002</v>
      </c>
      <c r="B1095" s="3" t="s">
        <v>556</v>
      </c>
      <c r="C1095" s="3" t="s">
        <v>1003</v>
      </c>
      <c r="M1095" s="21"/>
      <c r="N1095" s="21"/>
      <c r="O1095" s="21"/>
    </row>
    <row r="1096" customFormat="false" ht="60" hidden="false" customHeight="true" outlineLevel="0" collapsed="false">
      <c r="C1096" s="22" t="s">
        <v>1004</v>
      </c>
      <c r="M1096" s="21"/>
      <c r="N1096" s="21"/>
      <c r="O1096" s="21"/>
    </row>
    <row r="1097" customFormat="false" ht="15" hidden="false" customHeight="true" outlineLevel="0" collapsed="false">
      <c r="C1097" s="23" t="s">
        <v>912</v>
      </c>
      <c r="D1097" s="24" t="n">
        <v>5</v>
      </c>
      <c r="H1097" s="25" t="n">
        <f aca="false">IF(COUNT(D1097:G1097)=0,0,D1097*IF(E1097="",1,E1097)*IF(F1097="",1,F1097)*IF(G1097="",1,G1097))</f>
        <v>5</v>
      </c>
      <c r="M1097" s="21"/>
      <c r="N1097" s="21"/>
      <c r="O1097" s="21"/>
    </row>
    <row r="1098" customFormat="false" ht="18.75" hidden="false" customHeight="true" outlineLevel="0" collapsed="false">
      <c r="H1098" s="26"/>
      <c r="I1098" s="27" t="n">
        <f aca="false">ROUND(SUM(H1097:H1097),2)</f>
        <v>5</v>
      </c>
      <c r="J1098" s="28" t="n">
        <v>11.37</v>
      </c>
      <c r="K1098" s="27" t="n">
        <f aca="false">ROUND(I1098*J1098,2)</f>
        <v>56.85</v>
      </c>
      <c r="L1098" s="29" t="s">
        <v>131</v>
      </c>
      <c r="M1098" s="21" t="s">
        <v>110</v>
      </c>
      <c r="N1098" s="21" t="s">
        <v>63</v>
      </c>
      <c r="O1098" s="21" t="s">
        <v>997</v>
      </c>
    </row>
    <row r="1099" customFormat="false" ht="15" hidden="false" customHeight="true" outlineLevel="0" collapsed="false">
      <c r="A1099" s="3" t="s">
        <v>1005</v>
      </c>
      <c r="C1099" s="3" t="s">
        <v>1006</v>
      </c>
      <c r="M1099" s="21" t="s">
        <v>194</v>
      </c>
      <c r="N1099" s="21" t="s">
        <v>63</v>
      </c>
      <c r="O1099" s="21" t="s">
        <v>1005</v>
      </c>
    </row>
    <row r="1100" customFormat="false" ht="15" hidden="false" customHeight="true" outlineLevel="0" collapsed="false">
      <c r="A1100" s="3" t="s">
        <v>1007</v>
      </c>
      <c r="B1100" s="3" t="s">
        <v>91</v>
      </c>
      <c r="C1100" s="3" t="s">
        <v>1008</v>
      </c>
      <c r="M1100" s="21"/>
      <c r="N1100" s="21"/>
      <c r="O1100" s="21"/>
    </row>
    <row r="1101" customFormat="false" ht="36" hidden="false" customHeight="true" outlineLevel="0" collapsed="false">
      <c r="C1101" s="22" t="s">
        <v>1009</v>
      </c>
      <c r="M1101" s="21"/>
      <c r="N1101" s="21"/>
      <c r="O1101" s="21"/>
    </row>
    <row r="1102" customFormat="false" ht="15" hidden="false" customHeight="true" outlineLevel="0" collapsed="false">
      <c r="C1102" s="23" t="s">
        <v>912</v>
      </c>
      <c r="D1102" s="24" t="n">
        <v>9</v>
      </c>
      <c r="H1102" s="25" t="n">
        <f aca="false">IF(COUNT(D1102:G1102)=0,0,D1102*IF(E1102="",1,E1102)*IF(F1102="",1,F1102)*IF(G1102="",1,G1102))</f>
        <v>9</v>
      </c>
      <c r="M1102" s="21"/>
      <c r="N1102" s="21"/>
      <c r="O1102" s="21"/>
    </row>
    <row r="1103" customFormat="false" ht="18.75" hidden="false" customHeight="true" outlineLevel="0" collapsed="false">
      <c r="H1103" s="26"/>
      <c r="I1103" s="27" t="n">
        <f aca="false">ROUND(SUM(H1102:H1102),2)</f>
        <v>9</v>
      </c>
      <c r="J1103" s="28" t="n">
        <v>0.62</v>
      </c>
      <c r="K1103" s="27" t="n">
        <f aca="false">ROUND(I1103*J1103,2)</f>
        <v>5.58</v>
      </c>
      <c r="L1103" s="29" t="s">
        <v>131</v>
      </c>
      <c r="M1103" s="21" t="s">
        <v>110</v>
      </c>
      <c r="N1103" s="21" t="s">
        <v>63</v>
      </c>
      <c r="O1103" s="21" t="s">
        <v>1005</v>
      </c>
    </row>
    <row r="1104" customFormat="false" ht="15" hidden="false" customHeight="true" outlineLevel="0" collapsed="false">
      <c r="A1104" s="3" t="s">
        <v>1010</v>
      </c>
      <c r="B1104" s="3" t="s">
        <v>91</v>
      </c>
      <c r="C1104" s="3" t="s">
        <v>1011</v>
      </c>
      <c r="M1104" s="21"/>
      <c r="N1104" s="21"/>
      <c r="O1104" s="21"/>
    </row>
    <row r="1105" customFormat="false" ht="48" hidden="false" customHeight="true" outlineLevel="0" collapsed="false">
      <c r="C1105" s="22" t="s">
        <v>1012</v>
      </c>
      <c r="M1105" s="21"/>
      <c r="N1105" s="21"/>
      <c r="O1105" s="21"/>
    </row>
    <row r="1106" customFormat="false" ht="15" hidden="false" customHeight="true" outlineLevel="0" collapsed="false">
      <c r="C1106" s="23" t="s">
        <v>912</v>
      </c>
      <c r="D1106" s="24" t="n">
        <v>2</v>
      </c>
      <c r="H1106" s="25" t="n">
        <f aca="false">IF(COUNT(D1106:G1106)=0,0,D1106*IF(E1106="",1,E1106)*IF(F1106="",1,F1106)*IF(G1106="",1,G1106))</f>
        <v>2</v>
      </c>
      <c r="M1106" s="21"/>
      <c r="N1106" s="21"/>
      <c r="O1106" s="21"/>
    </row>
    <row r="1107" customFormat="false" ht="18.75" hidden="false" customHeight="true" outlineLevel="0" collapsed="false">
      <c r="H1107" s="26"/>
      <c r="I1107" s="27" t="n">
        <f aca="false">ROUND(SUM(H1106:H1106),2)</f>
        <v>2</v>
      </c>
      <c r="J1107" s="28" t="n">
        <v>0.77</v>
      </c>
      <c r="K1107" s="27" t="n">
        <f aca="false">ROUND(I1107*J1107,2)</f>
        <v>1.54</v>
      </c>
      <c r="L1107" s="29" t="s">
        <v>131</v>
      </c>
      <c r="M1107" s="21" t="s">
        <v>110</v>
      </c>
      <c r="N1107" s="21" t="s">
        <v>63</v>
      </c>
      <c r="O1107" s="21" t="s">
        <v>1005</v>
      </c>
    </row>
    <row r="1108" customFormat="false" ht="15" hidden="false" customHeight="true" outlineLevel="0" collapsed="false">
      <c r="A1108" s="3" t="s">
        <v>1013</v>
      </c>
      <c r="B1108" s="3" t="s">
        <v>91</v>
      </c>
      <c r="C1108" s="3" t="s">
        <v>1014</v>
      </c>
      <c r="M1108" s="21"/>
      <c r="N1108" s="21"/>
      <c r="O1108" s="21"/>
    </row>
    <row r="1109" customFormat="false" ht="36" hidden="false" customHeight="true" outlineLevel="0" collapsed="false">
      <c r="C1109" s="22" t="s">
        <v>1015</v>
      </c>
      <c r="M1109" s="21"/>
      <c r="N1109" s="21"/>
      <c r="O1109" s="21"/>
    </row>
    <row r="1110" customFormat="false" ht="15" hidden="false" customHeight="true" outlineLevel="0" collapsed="false">
      <c r="C1110" s="23" t="s">
        <v>912</v>
      </c>
      <c r="D1110" s="24" t="n">
        <v>2</v>
      </c>
      <c r="H1110" s="25" t="n">
        <f aca="false">IF(COUNT(D1110:G1110)=0,0,D1110*IF(E1110="",1,E1110)*IF(F1110="",1,F1110)*IF(G1110="",1,G1110))</f>
        <v>2</v>
      </c>
      <c r="M1110" s="21"/>
      <c r="N1110" s="21"/>
      <c r="O1110" s="21"/>
    </row>
    <row r="1111" customFormat="false" ht="18.75" hidden="false" customHeight="true" outlineLevel="0" collapsed="false">
      <c r="H1111" s="26"/>
      <c r="I1111" s="27" t="n">
        <f aca="false">ROUND(SUM(H1110:H1110),2)</f>
        <v>2</v>
      </c>
      <c r="J1111" s="28" t="n">
        <v>2.96</v>
      </c>
      <c r="K1111" s="27" t="n">
        <f aca="false">ROUND(I1111*J1111,2)</f>
        <v>5.92</v>
      </c>
      <c r="L1111" s="29" t="s">
        <v>131</v>
      </c>
      <c r="M1111" s="21" t="s">
        <v>110</v>
      </c>
      <c r="N1111" s="21" t="s">
        <v>63</v>
      </c>
      <c r="O1111" s="21" t="s">
        <v>1005</v>
      </c>
    </row>
    <row r="1112" customFormat="false" ht="15" hidden="false" customHeight="true" outlineLevel="0" collapsed="false">
      <c r="A1112" s="3" t="s">
        <v>1016</v>
      </c>
      <c r="B1112" s="3" t="s">
        <v>91</v>
      </c>
      <c r="C1112" s="3" t="s">
        <v>1017</v>
      </c>
      <c r="M1112" s="21"/>
      <c r="N1112" s="21"/>
      <c r="O1112" s="21"/>
    </row>
    <row r="1113" customFormat="false" ht="60" hidden="false" customHeight="true" outlineLevel="0" collapsed="false">
      <c r="C1113" s="22" t="s">
        <v>1018</v>
      </c>
      <c r="M1113" s="21"/>
      <c r="N1113" s="21"/>
      <c r="O1113" s="21"/>
    </row>
    <row r="1114" customFormat="false" ht="15" hidden="false" customHeight="true" outlineLevel="0" collapsed="false">
      <c r="C1114" s="23" t="s">
        <v>912</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3.62</v>
      </c>
      <c r="K1115" s="27" t="n">
        <f aca="false">ROUND(I1115*J1115,2)</f>
        <v>3.62</v>
      </c>
      <c r="L1115" s="29" t="s">
        <v>131</v>
      </c>
      <c r="M1115" s="21" t="s">
        <v>110</v>
      </c>
      <c r="N1115" s="21" t="s">
        <v>63</v>
      </c>
      <c r="O1115" s="21" t="s">
        <v>1005</v>
      </c>
    </row>
    <row r="1116" customFormat="false" ht="15" hidden="false" customHeight="true" outlineLevel="0" collapsed="false">
      <c r="A1116" s="3" t="s">
        <v>1019</v>
      </c>
      <c r="B1116" s="3" t="s">
        <v>158</v>
      </c>
      <c r="C1116" s="3" t="s">
        <v>1020</v>
      </c>
      <c r="M1116" s="21"/>
      <c r="N1116" s="21"/>
      <c r="O1116" s="21"/>
    </row>
    <row r="1117" customFormat="false" ht="48" hidden="false" customHeight="true" outlineLevel="0" collapsed="false">
      <c r="C1117" s="22" t="s">
        <v>1021</v>
      </c>
      <c r="M1117" s="21"/>
      <c r="N1117" s="21"/>
      <c r="O1117" s="21"/>
    </row>
    <row r="1118" customFormat="false" ht="15" hidden="false" customHeight="true" outlineLevel="0" collapsed="false">
      <c r="C1118" s="23" t="s">
        <v>912</v>
      </c>
      <c r="D1118" s="24" t="n">
        <v>23.18</v>
      </c>
      <c r="H1118" s="25" t="n">
        <f aca="false">IF(COUNT(D1118:G1118)=0,0,D1118*IF(E1118="",1,E1118)*IF(F1118="",1,F1118)*IF(G1118="",1,G1118))</f>
        <v>23.18</v>
      </c>
      <c r="M1118" s="21"/>
      <c r="N1118" s="21"/>
      <c r="O1118" s="21"/>
    </row>
    <row r="1119" customFormat="false" ht="18.75" hidden="false" customHeight="true" outlineLevel="0" collapsed="false">
      <c r="H1119" s="26"/>
      <c r="I1119" s="27" t="n">
        <f aca="false">ROUND(SUM(H1118:H1118),2)</f>
        <v>23.18</v>
      </c>
      <c r="J1119" s="28" t="n">
        <v>1.29</v>
      </c>
      <c r="K1119" s="27" t="n">
        <f aca="false">ROUND(I1119*J1119,2)</f>
        <v>29.9</v>
      </c>
      <c r="L1119" s="29" t="s">
        <v>131</v>
      </c>
      <c r="M1119" s="21" t="s">
        <v>110</v>
      </c>
      <c r="N1119" s="21" t="s">
        <v>63</v>
      </c>
      <c r="O1119" s="21" t="s">
        <v>1005</v>
      </c>
    </row>
    <row r="1120" customFormat="false" ht="15" hidden="false" customHeight="true" outlineLevel="0" collapsed="false">
      <c r="A1120" s="3" t="s">
        <v>1022</v>
      </c>
      <c r="B1120" s="3" t="s">
        <v>91</v>
      </c>
      <c r="C1120" s="3" t="s">
        <v>1023</v>
      </c>
      <c r="M1120" s="21"/>
      <c r="N1120" s="21"/>
      <c r="O1120" s="21"/>
    </row>
    <row r="1121" customFormat="false" ht="36" hidden="false" customHeight="true" outlineLevel="0" collapsed="false">
      <c r="C1121" s="22" t="s">
        <v>1024</v>
      </c>
      <c r="M1121" s="21"/>
      <c r="N1121" s="21"/>
      <c r="O1121" s="21"/>
    </row>
    <row r="1122" customFormat="false" ht="15" hidden="false" customHeight="true" outlineLevel="0" collapsed="false">
      <c r="C1122" s="23" t="s">
        <v>912</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0.77</v>
      </c>
      <c r="K1123" s="27" t="n">
        <f aca="false">ROUND(I1123*J1123,2)</f>
        <v>0.77</v>
      </c>
      <c r="L1123" s="29" t="s">
        <v>131</v>
      </c>
      <c r="M1123" s="21" t="s">
        <v>110</v>
      </c>
      <c r="N1123" s="21" t="s">
        <v>63</v>
      </c>
      <c r="O1123" s="21" t="s">
        <v>1005</v>
      </c>
    </row>
    <row r="1124" customFormat="false" ht="15" hidden="false" customHeight="true" outlineLevel="0" collapsed="false">
      <c r="A1124" s="3" t="s">
        <v>1025</v>
      </c>
      <c r="B1124" s="3" t="s">
        <v>91</v>
      </c>
      <c r="C1124" s="3" t="s">
        <v>1026</v>
      </c>
      <c r="M1124" s="21"/>
      <c r="N1124" s="21"/>
      <c r="O1124" s="21"/>
    </row>
    <row r="1125" customFormat="false" ht="36" hidden="false" customHeight="true" outlineLevel="0" collapsed="false">
      <c r="C1125" s="22" t="s">
        <v>1027</v>
      </c>
      <c r="M1125" s="21"/>
      <c r="N1125" s="21"/>
      <c r="O1125" s="21"/>
    </row>
    <row r="1126" customFormat="false" ht="15" hidden="false" customHeight="true" outlineLevel="0" collapsed="false">
      <c r="C1126" s="23" t="s">
        <v>912</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0.29</v>
      </c>
      <c r="K1127" s="27" t="n">
        <f aca="false">ROUND(I1127*J1127,2)</f>
        <v>0.29</v>
      </c>
      <c r="L1127" s="29" t="s">
        <v>131</v>
      </c>
      <c r="M1127" s="21" t="s">
        <v>110</v>
      </c>
      <c r="N1127" s="21" t="s">
        <v>63</v>
      </c>
      <c r="O1127" s="21" t="s">
        <v>1005</v>
      </c>
    </row>
    <row r="1128" customFormat="false" ht="15" hidden="false" customHeight="true" outlineLevel="0" collapsed="false">
      <c r="A1128" s="3" t="s">
        <v>1028</v>
      </c>
      <c r="B1128" s="3" t="s">
        <v>91</v>
      </c>
      <c r="C1128" s="3" t="s">
        <v>1029</v>
      </c>
      <c r="M1128" s="21"/>
      <c r="N1128" s="21"/>
      <c r="O1128" s="21"/>
    </row>
    <row r="1129" customFormat="false" ht="36" hidden="false" customHeight="true" outlineLevel="0" collapsed="false">
      <c r="C1129" s="22" t="s">
        <v>1030</v>
      </c>
      <c r="M1129" s="21"/>
      <c r="N1129" s="21"/>
      <c r="O1129" s="21"/>
    </row>
    <row r="1130" customFormat="false" ht="15" hidden="false" customHeight="true" outlineLevel="0" collapsed="false">
      <c r="C1130" s="23" t="s">
        <v>912</v>
      </c>
      <c r="D1130" s="24" t="n">
        <v>1</v>
      </c>
      <c r="H1130" s="25" t="n">
        <f aca="false">IF(COUNT(D1130:G1130)=0,0,D1130*IF(E1130="",1,E1130)*IF(F1130="",1,F1130)*IF(G1130="",1,G1130))</f>
        <v>1</v>
      </c>
      <c r="M1130" s="21"/>
      <c r="N1130" s="21"/>
      <c r="O1130" s="21"/>
    </row>
    <row r="1131" customFormat="false" ht="18.75" hidden="false" customHeight="true" outlineLevel="0" collapsed="false">
      <c r="H1131" s="26"/>
      <c r="I1131" s="27" t="n">
        <f aca="false">ROUND(SUM(H1130:H1130),2)</f>
        <v>1</v>
      </c>
      <c r="J1131" s="28" t="n">
        <v>1.25</v>
      </c>
      <c r="K1131" s="27" t="n">
        <f aca="false">ROUND(I1131*J1131,2)</f>
        <v>1.25</v>
      </c>
      <c r="L1131" s="29" t="s">
        <v>131</v>
      </c>
      <c r="M1131" s="21" t="s">
        <v>110</v>
      </c>
      <c r="N1131" s="21" t="s">
        <v>63</v>
      </c>
      <c r="O1131" s="21" t="s">
        <v>1005</v>
      </c>
    </row>
    <row r="1132" customFormat="false" ht="15" hidden="false" customHeight="true" outlineLevel="0" collapsed="false">
      <c r="A1132" s="3" t="s">
        <v>1031</v>
      </c>
      <c r="B1132" s="3" t="s">
        <v>91</v>
      </c>
      <c r="C1132" s="3" t="s">
        <v>1032</v>
      </c>
      <c r="M1132" s="21"/>
      <c r="N1132" s="21"/>
      <c r="O1132" s="21"/>
    </row>
    <row r="1133" customFormat="false" ht="48" hidden="false" customHeight="true" outlineLevel="0" collapsed="false">
      <c r="C1133" s="22" t="s">
        <v>1033</v>
      </c>
      <c r="M1133" s="21"/>
      <c r="N1133" s="21"/>
      <c r="O1133" s="21"/>
    </row>
    <row r="1134" customFormat="false" ht="15" hidden="false" customHeight="true" outlineLevel="0" collapsed="false">
      <c r="C1134" s="23" t="s">
        <v>912</v>
      </c>
      <c r="D1134" s="24" t="n">
        <v>1</v>
      </c>
      <c r="H1134" s="25" t="n">
        <f aca="false">IF(COUNT(D1134:G1134)=0,0,D1134*IF(E1134="",1,E1134)*IF(F1134="",1,F1134)*IF(G1134="",1,G1134))</f>
        <v>1</v>
      </c>
      <c r="M1134" s="21"/>
      <c r="N1134" s="21"/>
      <c r="O1134" s="21"/>
    </row>
    <row r="1135" customFormat="false" ht="18.75" hidden="false" customHeight="true" outlineLevel="0" collapsed="false">
      <c r="H1135" s="26"/>
      <c r="I1135" s="27" t="n">
        <f aca="false">ROUND(SUM(H1134:H1134),2)</f>
        <v>1</v>
      </c>
      <c r="J1135" s="28" t="n">
        <v>0.53</v>
      </c>
      <c r="K1135" s="27" t="n">
        <f aca="false">ROUND(I1135*J1135,2)</f>
        <v>0.53</v>
      </c>
      <c r="L1135" s="29" t="s">
        <v>131</v>
      </c>
      <c r="M1135" s="21" t="s">
        <v>110</v>
      </c>
      <c r="N1135" s="21" t="s">
        <v>63</v>
      </c>
      <c r="O1135" s="21" t="s">
        <v>1005</v>
      </c>
    </row>
    <row r="1136" customFormat="false" ht="15" hidden="false" customHeight="true" outlineLevel="0" collapsed="false">
      <c r="A1136" s="3" t="s">
        <v>1034</v>
      </c>
      <c r="B1136" s="3" t="s">
        <v>91</v>
      </c>
      <c r="C1136" s="3" t="s">
        <v>1035</v>
      </c>
      <c r="M1136" s="21"/>
      <c r="N1136" s="21"/>
      <c r="O1136" s="21"/>
    </row>
    <row r="1137" customFormat="false" ht="48" hidden="false" customHeight="true" outlineLevel="0" collapsed="false">
      <c r="C1137" s="22" t="s">
        <v>1036</v>
      </c>
      <c r="M1137" s="21"/>
      <c r="N1137" s="21"/>
      <c r="O1137" s="21"/>
    </row>
    <row r="1138" customFormat="false" ht="15" hidden="false" customHeight="true" outlineLevel="0" collapsed="false">
      <c r="C1138" s="23" t="s">
        <v>912</v>
      </c>
      <c r="D1138" s="24" t="n">
        <v>1</v>
      </c>
      <c r="H1138" s="25" t="n">
        <f aca="false">IF(COUNT(D1138:G1138)=0,0,D1138*IF(E1138="",1,E1138)*IF(F1138="",1,F1138)*IF(G1138="",1,G1138))</f>
        <v>1</v>
      </c>
      <c r="M1138" s="21"/>
      <c r="N1138" s="21"/>
      <c r="O1138" s="21"/>
    </row>
    <row r="1139" customFormat="false" ht="18.75" hidden="false" customHeight="true" outlineLevel="0" collapsed="false">
      <c r="H1139" s="26"/>
      <c r="I1139" s="27" t="n">
        <f aca="false">ROUND(SUM(H1138:H1138),2)</f>
        <v>1</v>
      </c>
      <c r="J1139" s="28" t="n">
        <v>0.66</v>
      </c>
      <c r="K1139" s="27" t="n">
        <f aca="false">ROUND(I1139*J1139,2)</f>
        <v>0.66</v>
      </c>
      <c r="L1139" s="29" t="s">
        <v>131</v>
      </c>
      <c r="M1139" s="21" t="s">
        <v>110</v>
      </c>
      <c r="N1139" s="21" t="s">
        <v>63</v>
      </c>
      <c r="O1139" s="21" t="s">
        <v>1005</v>
      </c>
    </row>
    <row r="1140" customFormat="false" ht="15" hidden="false" customHeight="true" outlineLevel="0" collapsed="false">
      <c r="A1140" s="3" t="s">
        <v>1037</v>
      </c>
      <c r="B1140" s="3" t="s">
        <v>91</v>
      </c>
      <c r="C1140" s="3" t="s">
        <v>1038</v>
      </c>
      <c r="M1140" s="21"/>
      <c r="N1140" s="21"/>
      <c r="O1140" s="21"/>
    </row>
    <row r="1141" customFormat="false" ht="36" hidden="false" customHeight="true" outlineLevel="0" collapsed="false">
      <c r="C1141" s="22" t="s">
        <v>1039</v>
      </c>
      <c r="M1141" s="21"/>
      <c r="N1141" s="21"/>
      <c r="O1141" s="21"/>
    </row>
    <row r="1142" customFormat="false" ht="15" hidden="false" customHeight="true" outlineLevel="0" collapsed="false">
      <c r="C1142" s="23" t="s">
        <v>912</v>
      </c>
      <c r="D1142" s="24" t="n">
        <v>8</v>
      </c>
      <c r="H1142" s="25" t="n">
        <f aca="false">IF(COUNT(D1142:G1142)=0,0,D1142*IF(E1142="",1,E1142)*IF(F1142="",1,F1142)*IF(G1142="",1,G1142))</f>
        <v>8</v>
      </c>
      <c r="M1142" s="21"/>
      <c r="N1142" s="21"/>
      <c r="O1142" s="21"/>
    </row>
    <row r="1143" customFormat="false" ht="18.75" hidden="false" customHeight="true" outlineLevel="0" collapsed="false">
      <c r="H1143" s="26"/>
      <c r="I1143" s="27" t="n">
        <f aca="false">ROUND(SUM(H1142:H1142),2)</f>
        <v>8</v>
      </c>
      <c r="J1143" s="28" t="n">
        <v>0.71</v>
      </c>
      <c r="K1143" s="27" t="n">
        <f aca="false">ROUND(I1143*J1143,2)</f>
        <v>5.68</v>
      </c>
      <c r="L1143" s="29" t="s">
        <v>131</v>
      </c>
      <c r="M1143" s="21" t="s">
        <v>110</v>
      </c>
      <c r="N1143" s="21" t="s">
        <v>63</v>
      </c>
      <c r="O1143" s="21" t="s">
        <v>1005</v>
      </c>
    </row>
    <row r="1144" customFormat="false" ht="15" hidden="false" customHeight="true" outlineLevel="0" collapsed="false">
      <c r="A1144" s="3" t="s">
        <v>1040</v>
      </c>
      <c r="B1144" s="3" t="s">
        <v>91</v>
      </c>
      <c r="C1144" s="3" t="s">
        <v>1041</v>
      </c>
      <c r="M1144" s="21"/>
      <c r="N1144" s="21"/>
      <c r="O1144" s="21"/>
    </row>
    <row r="1145" customFormat="false" ht="36" hidden="false" customHeight="true" outlineLevel="0" collapsed="false">
      <c r="C1145" s="22" t="s">
        <v>1042</v>
      </c>
      <c r="M1145" s="21"/>
      <c r="N1145" s="21"/>
      <c r="O1145" s="21"/>
    </row>
    <row r="1146" customFormat="false" ht="15" hidden="false" customHeight="true" outlineLevel="0" collapsed="false">
      <c r="C1146" s="23" t="s">
        <v>912</v>
      </c>
      <c r="D1146" s="24" t="n">
        <v>5</v>
      </c>
      <c r="H1146" s="25" t="n">
        <f aca="false">IF(COUNT(D1146:G1146)=0,0,D1146*IF(E1146="",1,E1146)*IF(F1146="",1,F1146)*IF(G1146="",1,G1146))</f>
        <v>5</v>
      </c>
      <c r="M1146" s="21"/>
      <c r="N1146" s="21"/>
      <c r="O1146" s="21"/>
    </row>
    <row r="1147" customFormat="false" ht="18.75" hidden="false" customHeight="true" outlineLevel="0" collapsed="false">
      <c r="H1147" s="26"/>
      <c r="I1147" s="27" t="n">
        <f aca="false">ROUND(SUM(H1146:H1146),2)</f>
        <v>5</v>
      </c>
      <c r="J1147" s="28" t="n">
        <v>0.51</v>
      </c>
      <c r="K1147" s="27" t="n">
        <f aca="false">ROUND(I1147*J1147,2)</f>
        <v>2.55</v>
      </c>
      <c r="L1147" s="29" t="s">
        <v>131</v>
      </c>
      <c r="M1147" s="21" t="s">
        <v>110</v>
      </c>
      <c r="N1147" s="21" t="s">
        <v>63</v>
      </c>
      <c r="O1147" s="21" t="s">
        <v>1005</v>
      </c>
    </row>
    <row r="1148" customFormat="false" ht="15" hidden="false" customHeight="true" outlineLevel="0" collapsed="false">
      <c r="A1148" s="3" t="s">
        <v>1043</v>
      </c>
      <c r="B1148" s="3" t="s">
        <v>91</v>
      </c>
      <c r="C1148" s="3" t="s">
        <v>1044</v>
      </c>
      <c r="M1148" s="21"/>
      <c r="N1148" s="21"/>
      <c r="O1148" s="21"/>
    </row>
    <row r="1149" customFormat="false" ht="36" hidden="false" customHeight="true" outlineLevel="0" collapsed="false">
      <c r="C1149" s="22" t="s">
        <v>1045</v>
      </c>
      <c r="M1149" s="21"/>
      <c r="N1149" s="21"/>
      <c r="O1149" s="21"/>
    </row>
    <row r="1150" customFormat="false" ht="15" hidden="false" customHeight="true" outlineLevel="0" collapsed="false">
      <c r="C1150" s="23" t="s">
        <v>912</v>
      </c>
      <c r="D1150" s="24" t="n">
        <v>3</v>
      </c>
      <c r="H1150" s="25" t="n">
        <f aca="false">IF(COUNT(D1150:G1150)=0,0,D1150*IF(E1150="",1,E1150)*IF(F1150="",1,F1150)*IF(G1150="",1,G1150))</f>
        <v>3</v>
      </c>
      <c r="M1150" s="21"/>
      <c r="N1150" s="21"/>
      <c r="O1150" s="21"/>
    </row>
    <row r="1151" customFormat="false" ht="18.75" hidden="false" customHeight="true" outlineLevel="0" collapsed="false">
      <c r="H1151" s="26"/>
      <c r="I1151" s="27" t="n">
        <f aca="false">ROUND(SUM(H1150:H1150),2)</f>
        <v>3</v>
      </c>
      <c r="J1151" s="28" t="n">
        <v>0.68</v>
      </c>
      <c r="K1151" s="27" t="n">
        <f aca="false">ROUND(I1151*J1151,2)</f>
        <v>2.04</v>
      </c>
      <c r="L1151" s="29" t="s">
        <v>131</v>
      </c>
      <c r="M1151" s="21" t="s">
        <v>110</v>
      </c>
      <c r="N1151" s="21" t="s">
        <v>63</v>
      </c>
      <c r="O1151" s="21" t="s">
        <v>1005</v>
      </c>
    </row>
    <row r="1152" customFormat="false" ht="15" hidden="false" customHeight="true" outlineLevel="0" collapsed="false">
      <c r="A1152" s="3" t="s">
        <v>1046</v>
      </c>
      <c r="B1152" s="3" t="s">
        <v>91</v>
      </c>
      <c r="C1152" s="3" t="s">
        <v>1047</v>
      </c>
      <c r="M1152" s="21"/>
      <c r="N1152" s="21"/>
      <c r="O1152" s="21"/>
    </row>
    <row r="1153" customFormat="false" ht="48" hidden="false" customHeight="true" outlineLevel="0" collapsed="false">
      <c r="C1153" s="22" t="s">
        <v>1048</v>
      </c>
      <c r="M1153" s="21"/>
      <c r="N1153" s="21"/>
      <c r="O1153" s="21"/>
    </row>
    <row r="1154" customFormat="false" ht="15" hidden="false" customHeight="true" outlineLevel="0" collapsed="false">
      <c r="C1154" s="23" t="s">
        <v>912</v>
      </c>
      <c r="D1154" s="24" t="n">
        <v>1</v>
      </c>
      <c r="H1154" s="25" t="n">
        <f aca="false">IF(COUNT(D1154:G1154)=0,0,D1154*IF(E1154="",1,E1154)*IF(F1154="",1,F1154)*IF(G1154="",1,G1154))</f>
        <v>1</v>
      </c>
      <c r="M1154" s="21"/>
      <c r="N1154" s="21"/>
      <c r="O1154" s="21"/>
    </row>
    <row r="1155" customFormat="false" ht="18.75" hidden="false" customHeight="true" outlineLevel="0" collapsed="false">
      <c r="H1155" s="26"/>
      <c r="I1155" s="27" t="n">
        <f aca="false">ROUND(SUM(H1154:H1154),2)</f>
        <v>1</v>
      </c>
      <c r="J1155" s="28" t="n">
        <v>15.01</v>
      </c>
      <c r="K1155" s="27" t="n">
        <f aca="false">ROUND(I1155*J1155,2)</f>
        <v>15.01</v>
      </c>
      <c r="L1155" s="29" t="s">
        <v>131</v>
      </c>
      <c r="M1155" s="21" t="s">
        <v>110</v>
      </c>
      <c r="N1155" s="21" t="s">
        <v>63</v>
      </c>
      <c r="O1155" s="21" t="s">
        <v>1005</v>
      </c>
    </row>
    <row r="1156" customFormat="false" ht="15" hidden="false" customHeight="true" outlineLevel="0" collapsed="false">
      <c r="A1156" s="3" t="s">
        <v>1049</v>
      </c>
      <c r="B1156" s="3" t="s">
        <v>91</v>
      </c>
      <c r="C1156" s="3" t="s">
        <v>1050</v>
      </c>
      <c r="M1156" s="21"/>
      <c r="N1156" s="21"/>
      <c r="O1156" s="21"/>
    </row>
    <row r="1157" customFormat="false" ht="36" hidden="false" customHeight="true" outlineLevel="0" collapsed="false">
      <c r="C1157" s="22" t="s">
        <v>1051</v>
      </c>
      <c r="M1157" s="21"/>
      <c r="N1157" s="21"/>
      <c r="O1157" s="21"/>
    </row>
    <row r="1158" customFormat="false" ht="15" hidden="false" customHeight="true" outlineLevel="0" collapsed="false">
      <c r="C1158" s="23" t="s">
        <v>912</v>
      </c>
      <c r="D1158" s="24" t="n">
        <v>13</v>
      </c>
      <c r="H1158" s="25" t="n">
        <f aca="false">IF(COUNT(D1158:G1158)=0,0,D1158*IF(E1158="",1,E1158)*IF(F1158="",1,F1158)*IF(G1158="",1,G1158))</f>
        <v>13</v>
      </c>
      <c r="M1158" s="21"/>
      <c r="N1158" s="21"/>
      <c r="O1158" s="21"/>
    </row>
    <row r="1159" customFormat="false" ht="18.75" hidden="false" customHeight="true" outlineLevel="0" collapsed="false">
      <c r="H1159" s="26"/>
      <c r="I1159" s="27" t="n">
        <f aca="false">ROUND(SUM(H1158:H1158),2)</f>
        <v>13</v>
      </c>
      <c r="J1159" s="28" t="n">
        <v>0.57</v>
      </c>
      <c r="K1159" s="27" t="n">
        <f aca="false">ROUND(I1159*J1159,2)</f>
        <v>7.41</v>
      </c>
      <c r="L1159" s="29" t="s">
        <v>131</v>
      </c>
      <c r="M1159" s="21" t="s">
        <v>110</v>
      </c>
      <c r="N1159" s="21" t="s">
        <v>63</v>
      </c>
      <c r="O1159" s="21" t="s">
        <v>1005</v>
      </c>
    </row>
    <row r="1160" customFormat="false" ht="15" hidden="false" customHeight="true" outlineLevel="0" collapsed="false">
      <c r="A1160" s="3" t="s">
        <v>1052</v>
      </c>
      <c r="B1160" s="3" t="s">
        <v>91</v>
      </c>
      <c r="C1160" s="3" t="s">
        <v>1053</v>
      </c>
      <c r="M1160" s="21"/>
      <c r="N1160" s="21"/>
      <c r="O1160" s="21"/>
    </row>
    <row r="1161" customFormat="false" ht="36" hidden="false" customHeight="true" outlineLevel="0" collapsed="false">
      <c r="C1161" s="22" t="s">
        <v>1054</v>
      </c>
      <c r="M1161" s="21"/>
      <c r="N1161" s="21"/>
      <c r="O1161" s="21"/>
    </row>
    <row r="1162" customFormat="false" ht="15" hidden="false" customHeight="true" outlineLevel="0" collapsed="false">
      <c r="C1162" s="23" t="s">
        <v>912</v>
      </c>
      <c r="D1162" s="24" t="n">
        <v>6</v>
      </c>
      <c r="H1162" s="25" t="n">
        <f aca="false">IF(COUNT(D1162:G1162)=0,0,D1162*IF(E1162="",1,E1162)*IF(F1162="",1,F1162)*IF(G1162="",1,G1162))</f>
        <v>6</v>
      </c>
      <c r="M1162" s="21"/>
      <c r="N1162" s="21"/>
      <c r="O1162" s="21"/>
    </row>
    <row r="1163" customFormat="false" ht="18.75" hidden="false" customHeight="true" outlineLevel="0" collapsed="false">
      <c r="H1163" s="26"/>
      <c r="I1163" s="27" t="n">
        <f aca="false">ROUND(SUM(H1162:H1162),2)</f>
        <v>6</v>
      </c>
      <c r="J1163" s="28" t="n">
        <v>1.08</v>
      </c>
      <c r="K1163" s="27" t="n">
        <f aca="false">ROUND(I1163*J1163,2)</f>
        <v>6.48</v>
      </c>
      <c r="L1163" s="29" t="s">
        <v>131</v>
      </c>
      <c r="M1163" s="21" t="s">
        <v>110</v>
      </c>
      <c r="N1163" s="21" t="s">
        <v>63</v>
      </c>
      <c r="O1163" s="21" t="s">
        <v>1005</v>
      </c>
    </row>
    <row r="1164" customFormat="false" ht="15" hidden="false" customHeight="true" outlineLevel="0" collapsed="false">
      <c r="A1164" s="3" t="s">
        <v>1055</v>
      </c>
      <c r="B1164" s="3" t="s">
        <v>91</v>
      </c>
      <c r="C1164" s="3" t="s">
        <v>1056</v>
      </c>
      <c r="M1164" s="21"/>
      <c r="N1164" s="21"/>
      <c r="O1164" s="21"/>
    </row>
    <row r="1165" customFormat="false" ht="36" hidden="false" customHeight="true" outlineLevel="0" collapsed="false">
      <c r="C1165" s="22" t="s">
        <v>1057</v>
      </c>
      <c r="M1165" s="21"/>
      <c r="N1165" s="21"/>
      <c r="O1165" s="21"/>
    </row>
    <row r="1166" customFormat="false" ht="15" hidden="false" customHeight="true" outlineLevel="0" collapsed="false">
      <c r="C1166" s="23" t="s">
        <v>912</v>
      </c>
      <c r="D1166" s="24" t="n">
        <v>1</v>
      </c>
      <c r="H1166" s="25" t="n">
        <f aca="false">IF(COUNT(D1166:G1166)=0,0,D1166*IF(E1166="",1,E1166)*IF(F1166="",1,F1166)*IF(G1166="",1,G1166))</f>
        <v>1</v>
      </c>
      <c r="M1166" s="21"/>
      <c r="N1166" s="21"/>
      <c r="O1166" s="21"/>
    </row>
    <row r="1167" customFormat="false" ht="18.75" hidden="false" customHeight="true" outlineLevel="0" collapsed="false">
      <c r="H1167" s="26"/>
      <c r="I1167" s="27" t="n">
        <f aca="false">ROUND(SUM(H1166:H1166),2)</f>
        <v>1</v>
      </c>
      <c r="J1167" s="28" t="n">
        <v>1.78</v>
      </c>
      <c r="K1167" s="27" t="n">
        <f aca="false">ROUND(I1167*J1167,2)</f>
        <v>1.78</v>
      </c>
      <c r="L1167" s="29" t="s">
        <v>131</v>
      </c>
      <c r="M1167" s="21" t="s">
        <v>110</v>
      </c>
      <c r="N1167" s="21" t="s">
        <v>63</v>
      </c>
      <c r="O1167" s="21" t="s">
        <v>1005</v>
      </c>
    </row>
    <row r="1168" customFormat="false" ht="15" hidden="false" customHeight="true" outlineLevel="0" collapsed="false">
      <c r="A1168" s="3" t="s">
        <v>1058</v>
      </c>
      <c r="B1168" s="3" t="s">
        <v>91</v>
      </c>
      <c r="C1168" s="3" t="s">
        <v>1059</v>
      </c>
      <c r="M1168" s="21"/>
      <c r="N1168" s="21"/>
      <c r="O1168" s="21"/>
    </row>
    <row r="1169" customFormat="false" ht="36" hidden="false" customHeight="true" outlineLevel="0" collapsed="false">
      <c r="C1169" s="22" t="s">
        <v>1060</v>
      </c>
      <c r="M1169" s="21"/>
      <c r="N1169" s="21"/>
      <c r="O1169" s="21"/>
    </row>
    <row r="1170" customFormat="false" ht="15" hidden="false" customHeight="true" outlineLevel="0" collapsed="false">
      <c r="C1170" s="23" t="s">
        <v>912</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2.1</v>
      </c>
      <c r="K1171" s="27" t="n">
        <f aca="false">ROUND(I1171*J1171,2)</f>
        <v>2.1</v>
      </c>
      <c r="L1171" s="29" t="s">
        <v>131</v>
      </c>
      <c r="M1171" s="21" t="s">
        <v>110</v>
      </c>
      <c r="N1171" s="21" t="s">
        <v>63</v>
      </c>
      <c r="O1171" s="21" t="s">
        <v>1005</v>
      </c>
    </row>
    <row r="1172" customFormat="false" ht="15" hidden="false" customHeight="true" outlineLevel="0" collapsed="false">
      <c r="A1172" s="3" t="s">
        <v>1061</v>
      </c>
      <c r="B1172" s="3" t="s">
        <v>91</v>
      </c>
      <c r="C1172" s="3" t="s">
        <v>1062</v>
      </c>
      <c r="M1172" s="21"/>
      <c r="N1172" s="21"/>
      <c r="O1172" s="21"/>
    </row>
    <row r="1173" customFormat="false" ht="36" hidden="false" customHeight="true" outlineLevel="0" collapsed="false">
      <c r="C1173" s="22" t="s">
        <v>1063</v>
      </c>
      <c r="M1173" s="21"/>
      <c r="N1173" s="21"/>
      <c r="O1173" s="21"/>
    </row>
    <row r="1174" customFormat="false" ht="15" hidden="false" customHeight="true" outlineLevel="0" collapsed="false">
      <c r="C1174" s="23" t="s">
        <v>912</v>
      </c>
      <c r="D1174" s="24" t="n">
        <v>4</v>
      </c>
      <c r="H1174" s="25" t="n">
        <f aca="false">IF(COUNT(D1174:G1174)=0,0,D1174*IF(E1174="",1,E1174)*IF(F1174="",1,F1174)*IF(G1174="",1,G1174))</f>
        <v>4</v>
      </c>
      <c r="M1174" s="21"/>
      <c r="N1174" s="21"/>
      <c r="O1174" s="21"/>
    </row>
    <row r="1175" customFormat="false" ht="18.75" hidden="false" customHeight="true" outlineLevel="0" collapsed="false">
      <c r="H1175" s="26"/>
      <c r="I1175" s="27" t="n">
        <f aca="false">ROUND(SUM(H1174:H1174),2)</f>
        <v>4</v>
      </c>
      <c r="J1175" s="28" t="n">
        <v>9.67</v>
      </c>
      <c r="K1175" s="27" t="n">
        <f aca="false">ROUND(I1175*J1175,2)</f>
        <v>38.68</v>
      </c>
      <c r="L1175" s="29" t="s">
        <v>131</v>
      </c>
      <c r="M1175" s="21" t="s">
        <v>110</v>
      </c>
      <c r="N1175" s="21" t="s">
        <v>63</v>
      </c>
      <c r="O1175" s="21" t="s">
        <v>1005</v>
      </c>
    </row>
    <row r="1176" customFormat="false" ht="15" hidden="false" customHeight="true" outlineLevel="0" collapsed="false">
      <c r="A1176" s="3" t="s">
        <v>1064</v>
      </c>
      <c r="B1176" s="3" t="s">
        <v>91</v>
      </c>
      <c r="C1176" s="3" t="s">
        <v>1065</v>
      </c>
      <c r="M1176" s="21"/>
      <c r="N1176" s="21"/>
      <c r="O1176" s="21"/>
    </row>
    <row r="1177" customFormat="false" ht="36" hidden="false" customHeight="true" outlineLevel="0" collapsed="false">
      <c r="C1177" s="22" t="s">
        <v>1066</v>
      </c>
      <c r="M1177" s="21"/>
      <c r="N1177" s="21"/>
      <c r="O1177" s="21"/>
    </row>
    <row r="1178" customFormat="false" ht="15" hidden="false" customHeight="true" outlineLevel="0" collapsed="false">
      <c r="C1178" s="23" t="s">
        <v>912</v>
      </c>
      <c r="D1178" s="24" t="n">
        <v>1</v>
      </c>
      <c r="H1178" s="25" t="n">
        <f aca="false">IF(COUNT(D1178:G1178)=0,0,D1178*IF(E1178="",1,E1178)*IF(F1178="",1,F1178)*IF(G1178="",1,G1178))</f>
        <v>1</v>
      </c>
      <c r="M1178" s="21"/>
      <c r="N1178" s="21"/>
      <c r="O1178" s="21"/>
    </row>
    <row r="1179" customFormat="false" ht="18.75" hidden="false" customHeight="true" outlineLevel="0" collapsed="false">
      <c r="H1179" s="26"/>
      <c r="I1179" s="27" t="n">
        <f aca="false">ROUND(SUM(H1178:H1178),2)</f>
        <v>1</v>
      </c>
      <c r="J1179" s="28" t="n">
        <v>11.18</v>
      </c>
      <c r="K1179" s="27" t="n">
        <f aca="false">ROUND(I1179*J1179,2)</f>
        <v>11.18</v>
      </c>
      <c r="L1179" s="29" t="s">
        <v>131</v>
      </c>
      <c r="M1179" s="21" t="s">
        <v>110</v>
      </c>
      <c r="N1179" s="21" t="s">
        <v>63</v>
      </c>
      <c r="O1179" s="21" t="s">
        <v>1005</v>
      </c>
    </row>
    <row r="1180" customFormat="false" ht="15" hidden="false" customHeight="true" outlineLevel="0" collapsed="false">
      <c r="A1180" s="3" t="s">
        <v>1067</v>
      </c>
      <c r="B1180" s="3" t="s">
        <v>91</v>
      </c>
      <c r="C1180" s="3" t="s">
        <v>1068</v>
      </c>
      <c r="M1180" s="21"/>
      <c r="N1180" s="21"/>
      <c r="O1180" s="21"/>
    </row>
    <row r="1181" customFormat="false" ht="36" hidden="false" customHeight="true" outlineLevel="0" collapsed="false">
      <c r="C1181" s="22" t="s">
        <v>1069</v>
      </c>
      <c r="M1181" s="21"/>
      <c r="N1181" s="21"/>
      <c r="O1181" s="21"/>
    </row>
    <row r="1182" customFormat="false" ht="15" hidden="false" customHeight="true" outlineLevel="0" collapsed="false">
      <c r="C1182" s="23" t="s">
        <v>912</v>
      </c>
      <c r="D1182" s="24" t="n">
        <v>1</v>
      </c>
      <c r="H1182" s="25" t="n">
        <f aca="false">IF(COUNT(D1182:G1182)=0,0,D1182*IF(E1182="",1,E1182)*IF(F1182="",1,F1182)*IF(G1182="",1,G1182))</f>
        <v>1</v>
      </c>
      <c r="M1182" s="21"/>
      <c r="N1182" s="21"/>
      <c r="O1182" s="21"/>
    </row>
    <row r="1183" customFormat="false" ht="18.75" hidden="false" customHeight="true" outlineLevel="0" collapsed="false">
      <c r="H1183" s="26"/>
      <c r="I1183" s="27" t="n">
        <f aca="false">ROUND(SUM(H1182:H1182),2)</f>
        <v>1</v>
      </c>
      <c r="J1183" s="28" t="n">
        <v>0.58</v>
      </c>
      <c r="K1183" s="27" t="n">
        <f aca="false">ROUND(I1183*J1183,2)</f>
        <v>0.58</v>
      </c>
      <c r="L1183" s="29" t="s">
        <v>131</v>
      </c>
      <c r="M1183" s="21" t="s">
        <v>110</v>
      </c>
      <c r="N1183" s="21" t="s">
        <v>63</v>
      </c>
      <c r="O1183" s="21" t="s">
        <v>1005</v>
      </c>
    </row>
    <row r="1184" customFormat="false" ht="15" hidden="false" customHeight="true" outlineLevel="0" collapsed="false">
      <c r="A1184" s="3" t="s">
        <v>1070</v>
      </c>
      <c r="B1184" s="3" t="s">
        <v>91</v>
      </c>
      <c r="C1184" s="3" t="s">
        <v>1071</v>
      </c>
      <c r="M1184" s="21"/>
      <c r="N1184" s="21"/>
      <c r="O1184" s="21"/>
    </row>
    <row r="1185" customFormat="false" ht="48" hidden="false" customHeight="true" outlineLevel="0" collapsed="false">
      <c r="C1185" s="22" t="s">
        <v>1072</v>
      </c>
      <c r="M1185" s="21"/>
      <c r="N1185" s="21"/>
      <c r="O1185" s="21"/>
    </row>
    <row r="1186" customFormat="false" ht="15" hidden="false" customHeight="true" outlineLevel="0" collapsed="false">
      <c r="C1186" s="23" t="s">
        <v>912</v>
      </c>
      <c r="D1186" s="24" t="n">
        <v>3</v>
      </c>
      <c r="H1186" s="25" t="n">
        <f aca="false">IF(COUNT(D1186:G1186)=0,0,D1186*IF(E1186="",1,E1186)*IF(F1186="",1,F1186)*IF(G1186="",1,G1186))</f>
        <v>3</v>
      </c>
      <c r="M1186" s="21"/>
      <c r="N1186" s="21"/>
      <c r="O1186" s="21"/>
    </row>
    <row r="1187" customFormat="false" ht="18.75" hidden="false" customHeight="true" outlineLevel="0" collapsed="false">
      <c r="H1187" s="26"/>
      <c r="I1187" s="27" t="n">
        <f aca="false">ROUND(SUM(H1186:H1186),2)</f>
        <v>3</v>
      </c>
      <c r="J1187" s="28" t="n">
        <v>1.87</v>
      </c>
      <c r="K1187" s="27" t="n">
        <f aca="false">ROUND(I1187*J1187,2)</f>
        <v>5.61</v>
      </c>
      <c r="L1187" s="29" t="s">
        <v>131</v>
      </c>
      <c r="M1187" s="21" t="s">
        <v>110</v>
      </c>
      <c r="N1187" s="21" t="s">
        <v>63</v>
      </c>
      <c r="O1187" s="21" t="s">
        <v>1005</v>
      </c>
    </row>
    <row r="1188" customFormat="false" ht="15" hidden="false" customHeight="true" outlineLevel="0" collapsed="false">
      <c r="A1188" s="3" t="s">
        <v>1073</v>
      </c>
      <c r="B1188" s="3" t="s">
        <v>91</v>
      </c>
      <c r="C1188" s="3" t="s">
        <v>1074</v>
      </c>
      <c r="M1188" s="21"/>
      <c r="N1188" s="21"/>
      <c r="O1188" s="21"/>
    </row>
    <row r="1189" customFormat="false" ht="36" hidden="false" customHeight="true" outlineLevel="0" collapsed="false">
      <c r="C1189" s="22" t="s">
        <v>1075</v>
      </c>
      <c r="M1189" s="21"/>
      <c r="N1189" s="21"/>
      <c r="O1189" s="21"/>
    </row>
    <row r="1190" customFormat="false" ht="15" hidden="false" customHeight="true" outlineLevel="0" collapsed="false">
      <c r="C1190" s="23" t="s">
        <v>912</v>
      </c>
      <c r="D1190" s="24" t="n">
        <v>3</v>
      </c>
      <c r="H1190" s="25" t="n">
        <f aca="false">IF(COUNT(D1190:G1190)=0,0,D1190*IF(E1190="",1,E1190)*IF(F1190="",1,F1190)*IF(G1190="",1,G1190))</f>
        <v>3</v>
      </c>
      <c r="M1190" s="21"/>
      <c r="N1190" s="21"/>
      <c r="O1190" s="21"/>
    </row>
    <row r="1191" customFormat="false" ht="18.75" hidden="false" customHeight="true" outlineLevel="0" collapsed="false">
      <c r="H1191" s="26"/>
      <c r="I1191" s="27" t="n">
        <f aca="false">ROUND(SUM(H1190:H1190),2)</f>
        <v>3</v>
      </c>
      <c r="J1191" s="28" t="n">
        <v>0.29</v>
      </c>
      <c r="K1191" s="27" t="n">
        <f aca="false">ROUND(I1191*J1191,2)</f>
        <v>0.87</v>
      </c>
      <c r="L1191" s="29" t="s">
        <v>131</v>
      </c>
      <c r="M1191" s="21" t="s">
        <v>110</v>
      </c>
      <c r="N1191" s="21" t="s">
        <v>63</v>
      </c>
      <c r="O1191" s="21" t="s">
        <v>1005</v>
      </c>
    </row>
    <row r="1192" customFormat="false" ht="15" hidden="false" customHeight="true" outlineLevel="0" collapsed="false">
      <c r="A1192" s="3" t="s">
        <v>1076</v>
      </c>
      <c r="B1192" s="3" t="s">
        <v>91</v>
      </c>
      <c r="C1192" s="3" t="s">
        <v>1077</v>
      </c>
      <c r="M1192" s="21"/>
      <c r="N1192" s="21"/>
      <c r="O1192" s="21"/>
    </row>
    <row r="1193" customFormat="false" ht="36" hidden="false" customHeight="true" outlineLevel="0" collapsed="false">
      <c r="C1193" s="22" t="s">
        <v>1078</v>
      </c>
      <c r="M1193" s="21"/>
      <c r="N1193" s="21"/>
      <c r="O1193" s="21"/>
    </row>
    <row r="1194" customFormat="false" ht="15" hidden="false" customHeight="true" outlineLevel="0" collapsed="false">
      <c r="C1194" s="23" t="s">
        <v>912</v>
      </c>
      <c r="D1194" s="24" t="n">
        <v>2</v>
      </c>
      <c r="H1194" s="25" t="n">
        <f aca="false">IF(COUNT(D1194:G1194)=0,0,D1194*IF(E1194="",1,E1194)*IF(F1194="",1,F1194)*IF(G1194="",1,G1194))</f>
        <v>2</v>
      </c>
      <c r="M1194" s="21"/>
      <c r="N1194" s="21"/>
      <c r="O1194" s="21"/>
    </row>
    <row r="1195" customFormat="false" ht="18.75" hidden="false" customHeight="true" outlineLevel="0" collapsed="false">
      <c r="H1195" s="26"/>
      <c r="I1195" s="27" t="n">
        <f aca="false">ROUND(SUM(H1194:H1194),2)</f>
        <v>2</v>
      </c>
      <c r="J1195" s="28" t="n">
        <v>5.83</v>
      </c>
      <c r="K1195" s="27" t="n">
        <f aca="false">ROUND(I1195*J1195,2)</f>
        <v>11.66</v>
      </c>
      <c r="L1195" s="29" t="s">
        <v>131</v>
      </c>
      <c r="M1195" s="21" t="s">
        <v>110</v>
      </c>
      <c r="N1195" s="21" t="s">
        <v>63</v>
      </c>
      <c r="O1195" s="21" t="s">
        <v>1005</v>
      </c>
    </row>
    <row r="1196" customFormat="false" ht="15" hidden="false" customHeight="true" outlineLevel="0" collapsed="false">
      <c r="A1196" s="3" t="s">
        <v>1079</v>
      </c>
      <c r="B1196" s="3" t="s">
        <v>91</v>
      </c>
      <c r="C1196" s="3" t="s">
        <v>1080</v>
      </c>
      <c r="M1196" s="21"/>
      <c r="N1196" s="21"/>
      <c r="O1196" s="21"/>
    </row>
    <row r="1197" customFormat="false" ht="36" hidden="false" customHeight="true" outlineLevel="0" collapsed="false">
      <c r="C1197" s="22" t="s">
        <v>1081</v>
      </c>
      <c r="M1197" s="21"/>
      <c r="N1197" s="21"/>
      <c r="O1197" s="21"/>
    </row>
    <row r="1198" customFormat="false" ht="15" hidden="false" customHeight="true" outlineLevel="0" collapsed="false">
      <c r="C1198" s="23" t="s">
        <v>912</v>
      </c>
      <c r="D1198" s="24" t="n">
        <v>1</v>
      </c>
      <c r="H1198" s="25" t="n">
        <f aca="false">IF(COUNT(D1198:G1198)=0,0,D1198*IF(E1198="",1,E1198)*IF(F1198="",1,F1198)*IF(G1198="",1,G1198))</f>
        <v>1</v>
      </c>
      <c r="M1198" s="21"/>
      <c r="N1198" s="21"/>
      <c r="O1198" s="21"/>
    </row>
    <row r="1199" customFormat="false" ht="18.75" hidden="false" customHeight="true" outlineLevel="0" collapsed="false">
      <c r="H1199" s="26"/>
      <c r="I1199" s="27" t="n">
        <f aca="false">ROUND(SUM(H1198:H1198),2)</f>
        <v>1</v>
      </c>
      <c r="J1199" s="28" t="n">
        <v>7.81</v>
      </c>
      <c r="K1199" s="27" t="n">
        <f aca="false">ROUND(I1199*J1199,2)</f>
        <v>7.81</v>
      </c>
      <c r="L1199" s="29" t="s">
        <v>131</v>
      </c>
      <c r="M1199" s="21" t="s">
        <v>110</v>
      </c>
      <c r="N1199" s="21" t="s">
        <v>63</v>
      </c>
      <c r="O1199" s="21" t="s">
        <v>1005</v>
      </c>
    </row>
    <row r="1200" customFormat="false" ht="15" hidden="false" customHeight="true" outlineLevel="0" collapsed="false">
      <c r="A1200" s="3" t="s">
        <v>1082</v>
      </c>
      <c r="B1200" s="3" t="s">
        <v>91</v>
      </c>
      <c r="C1200" s="3" t="s">
        <v>1083</v>
      </c>
      <c r="M1200" s="21"/>
      <c r="N1200" s="21"/>
      <c r="O1200" s="21"/>
    </row>
    <row r="1201" customFormat="false" ht="36" hidden="false" customHeight="true" outlineLevel="0" collapsed="false">
      <c r="C1201" s="22" t="s">
        <v>1084</v>
      </c>
      <c r="M1201" s="21"/>
      <c r="N1201" s="21"/>
      <c r="O1201" s="21"/>
    </row>
    <row r="1202" customFormat="false" ht="15" hidden="false" customHeight="true" outlineLevel="0" collapsed="false">
      <c r="C1202" s="23" t="s">
        <v>912</v>
      </c>
      <c r="D1202" s="24" t="n">
        <v>3</v>
      </c>
      <c r="H1202" s="25" t="n">
        <f aca="false">IF(COUNT(D1202:G1202)=0,0,D1202*IF(E1202="",1,E1202)*IF(F1202="",1,F1202)*IF(G1202="",1,G1202))</f>
        <v>3</v>
      </c>
      <c r="M1202" s="21"/>
      <c r="N1202" s="21"/>
      <c r="O1202" s="21"/>
    </row>
    <row r="1203" customFormat="false" ht="18.75" hidden="false" customHeight="true" outlineLevel="0" collapsed="false">
      <c r="H1203" s="26"/>
      <c r="I1203" s="27" t="n">
        <f aca="false">ROUND(SUM(H1202:H1202),2)</f>
        <v>3</v>
      </c>
      <c r="J1203" s="28" t="n">
        <v>9.03</v>
      </c>
      <c r="K1203" s="27" t="n">
        <f aca="false">ROUND(I1203*J1203,2)</f>
        <v>27.09</v>
      </c>
      <c r="L1203" s="29" t="s">
        <v>131</v>
      </c>
      <c r="M1203" s="21" t="s">
        <v>110</v>
      </c>
      <c r="N1203" s="21" t="s">
        <v>63</v>
      </c>
      <c r="O1203" s="21" t="s">
        <v>1005</v>
      </c>
    </row>
    <row r="1204" customFormat="false" ht="15" hidden="false" customHeight="true" outlineLevel="0" collapsed="false">
      <c r="A1204" s="3" t="s">
        <v>1085</v>
      </c>
      <c r="B1204" s="3" t="s">
        <v>91</v>
      </c>
      <c r="C1204" s="3" t="s">
        <v>1086</v>
      </c>
      <c r="M1204" s="21"/>
      <c r="N1204" s="21"/>
      <c r="O1204" s="21"/>
    </row>
    <row r="1205" customFormat="false" ht="36" hidden="false" customHeight="true" outlineLevel="0" collapsed="false">
      <c r="C1205" s="22" t="s">
        <v>1087</v>
      </c>
      <c r="M1205" s="21"/>
      <c r="N1205" s="21"/>
      <c r="O1205" s="21"/>
    </row>
    <row r="1206" customFormat="false" ht="15" hidden="false" customHeight="true" outlineLevel="0" collapsed="false">
      <c r="C1206" s="23" t="s">
        <v>912</v>
      </c>
      <c r="D1206" s="24" t="n">
        <v>2</v>
      </c>
      <c r="H1206" s="25" t="n">
        <f aca="false">IF(COUNT(D1206:G1206)=0,0,D1206*IF(E1206="",1,E1206)*IF(F1206="",1,F1206)*IF(G1206="",1,G1206))</f>
        <v>2</v>
      </c>
      <c r="M1206" s="21"/>
      <c r="N1206" s="21"/>
      <c r="O1206" s="21"/>
    </row>
    <row r="1207" customFormat="false" ht="18.75" hidden="false" customHeight="true" outlineLevel="0" collapsed="false">
      <c r="H1207" s="26"/>
      <c r="I1207" s="27" t="n">
        <f aca="false">ROUND(SUM(H1206:H1206),2)</f>
        <v>2</v>
      </c>
      <c r="J1207" s="28" t="n">
        <v>7.65</v>
      </c>
      <c r="K1207" s="27" t="n">
        <f aca="false">ROUND(I1207*J1207,2)</f>
        <v>15.3</v>
      </c>
      <c r="L1207" s="29" t="s">
        <v>131</v>
      </c>
      <c r="M1207" s="21" t="s">
        <v>110</v>
      </c>
      <c r="N1207" s="21" t="s">
        <v>63</v>
      </c>
      <c r="O1207" s="21" t="s">
        <v>1005</v>
      </c>
    </row>
    <row r="1208" customFormat="false" ht="15" hidden="false" customHeight="true" outlineLevel="0" collapsed="false">
      <c r="A1208" s="3" t="s">
        <v>1088</v>
      </c>
      <c r="B1208" s="3" t="s">
        <v>91</v>
      </c>
      <c r="C1208" s="3" t="s">
        <v>1089</v>
      </c>
      <c r="M1208" s="21"/>
      <c r="N1208" s="21"/>
      <c r="O1208" s="21"/>
    </row>
    <row r="1209" customFormat="false" ht="36" hidden="false" customHeight="true" outlineLevel="0" collapsed="false">
      <c r="C1209" s="22" t="s">
        <v>1090</v>
      </c>
      <c r="M1209" s="21"/>
      <c r="N1209" s="21"/>
      <c r="O1209" s="21"/>
    </row>
    <row r="1210" customFormat="false" ht="15" hidden="false" customHeight="true" outlineLevel="0" collapsed="false">
      <c r="C1210" s="23" t="s">
        <v>912</v>
      </c>
      <c r="D1210" s="24" t="n">
        <v>1</v>
      </c>
      <c r="H1210" s="25" t="n">
        <f aca="false">IF(COUNT(D1210:G1210)=0,0,D1210*IF(E1210="",1,E1210)*IF(F1210="",1,F1210)*IF(G1210="",1,G1210))</f>
        <v>1</v>
      </c>
      <c r="M1210" s="21"/>
      <c r="N1210" s="21"/>
      <c r="O1210" s="21"/>
    </row>
    <row r="1211" customFormat="false" ht="18.75" hidden="false" customHeight="true" outlineLevel="0" collapsed="false">
      <c r="H1211" s="26"/>
      <c r="I1211" s="27" t="n">
        <f aca="false">ROUND(SUM(H1210:H1210),2)</f>
        <v>1</v>
      </c>
      <c r="J1211" s="28" t="n">
        <v>1.3</v>
      </c>
      <c r="K1211" s="27" t="n">
        <f aca="false">ROUND(I1211*J1211,2)</f>
        <v>1.3</v>
      </c>
      <c r="L1211" s="29" t="s">
        <v>131</v>
      </c>
      <c r="M1211" s="21" t="s">
        <v>110</v>
      </c>
      <c r="N1211" s="21" t="s">
        <v>63</v>
      </c>
      <c r="O1211" s="21" t="s">
        <v>1005</v>
      </c>
    </row>
    <row r="1212" customFormat="false" ht="15" hidden="false" customHeight="true" outlineLevel="0" collapsed="false">
      <c r="A1212" s="3" t="s">
        <v>1091</v>
      </c>
      <c r="B1212" s="3" t="s">
        <v>91</v>
      </c>
      <c r="C1212" s="3" t="s">
        <v>1092</v>
      </c>
      <c r="M1212" s="21"/>
      <c r="N1212" s="21"/>
      <c r="O1212" s="21"/>
    </row>
    <row r="1213" customFormat="false" ht="36" hidden="false" customHeight="true" outlineLevel="0" collapsed="false">
      <c r="C1213" s="22" t="s">
        <v>1093</v>
      </c>
      <c r="M1213" s="21"/>
      <c r="N1213" s="21"/>
      <c r="O1213" s="21"/>
    </row>
    <row r="1214" customFormat="false" ht="15" hidden="false" customHeight="true" outlineLevel="0" collapsed="false">
      <c r="C1214" s="23" t="s">
        <v>912</v>
      </c>
      <c r="D1214" s="24" t="n">
        <v>1</v>
      </c>
      <c r="H1214" s="25" t="n">
        <f aca="false">IF(COUNT(D1214:G1214)=0,0,D1214*IF(E1214="",1,E1214)*IF(F1214="",1,F1214)*IF(G1214="",1,G1214))</f>
        <v>1</v>
      </c>
      <c r="M1214" s="21"/>
      <c r="N1214" s="21"/>
      <c r="O1214" s="21"/>
    </row>
    <row r="1215" customFormat="false" ht="18.75" hidden="false" customHeight="true" outlineLevel="0" collapsed="false">
      <c r="H1215" s="26"/>
      <c r="I1215" s="27" t="n">
        <f aca="false">ROUND(SUM(H1214:H1214),2)</f>
        <v>1</v>
      </c>
      <c r="J1215" s="28" t="n">
        <v>12.72</v>
      </c>
      <c r="K1215" s="27" t="n">
        <f aca="false">ROUND(I1215*J1215,2)</f>
        <v>12.72</v>
      </c>
      <c r="L1215" s="29" t="s">
        <v>131</v>
      </c>
      <c r="M1215" s="21" t="s">
        <v>110</v>
      </c>
      <c r="N1215" s="21" t="s">
        <v>63</v>
      </c>
      <c r="O1215" s="21" t="s">
        <v>1005</v>
      </c>
    </row>
    <row r="1216" customFormat="false" ht="15" hidden="false" customHeight="true" outlineLevel="0" collapsed="false">
      <c r="A1216" s="3" t="s">
        <v>1094</v>
      </c>
      <c r="B1216" s="3" t="s">
        <v>91</v>
      </c>
      <c r="C1216" s="3" t="s">
        <v>1095</v>
      </c>
      <c r="M1216" s="21"/>
      <c r="N1216" s="21"/>
      <c r="O1216" s="21"/>
    </row>
    <row r="1217" customFormat="false" ht="36" hidden="false" customHeight="true" outlineLevel="0" collapsed="false">
      <c r="C1217" s="22" t="s">
        <v>1096</v>
      </c>
      <c r="M1217" s="21"/>
      <c r="N1217" s="21"/>
      <c r="O1217" s="21"/>
    </row>
    <row r="1218" customFormat="false" ht="15" hidden="false" customHeight="true" outlineLevel="0" collapsed="false">
      <c r="C1218" s="23" t="s">
        <v>912</v>
      </c>
      <c r="D1218" s="24" t="n">
        <v>3</v>
      </c>
      <c r="H1218" s="25" t="n">
        <f aca="false">IF(COUNT(D1218:G1218)=0,0,D1218*IF(E1218="",1,E1218)*IF(F1218="",1,F1218)*IF(G1218="",1,G1218))</f>
        <v>3</v>
      </c>
      <c r="M1218" s="21"/>
      <c r="N1218" s="21"/>
      <c r="O1218" s="21"/>
    </row>
    <row r="1219" customFormat="false" ht="18.75" hidden="false" customHeight="true" outlineLevel="0" collapsed="false">
      <c r="H1219" s="26"/>
      <c r="I1219" s="27" t="n">
        <f aca="false">ROUND(SUM(H1218:H1218),2)</f>
        <v>3</v>
      </c>
      <c r="J1219" s="28" t="n">
        <v>1.4</v>
      </c>
      <c r="K1219" s="27" t="n">
        <f aca="false">ROUND(I1219*J1219,2)</f>
        <v>4.2</v>
      </c>
      <c r="L1219" s="29" t="s">
        <v>131</v>
      </c>
      <c r="M1219" s="21" t="s">
        <v>110</v>
      </c>
      <c r="N1219" s="21" t="s">
        <v>63</v>
      </c>
      <c r="O1219" s="21" t="s">
        <v>1005</v>
      </c>
    </row>
    <row r="1220" customFormat="false" ht="15" hidden="false" customHeight="true" outlineLevel="0" collapsed="false">
      <c r="A1220" s="3" t="s">
        <v>1097</v>
      </c>
      <c r="B1220" s="3" t="s">
        <v>91</v>
      </c>
      <c r="C1220" s="3" t="s">
        <v>1098</v>
      </c>
      <c r="M1220" s="21"/>
      <c r="N1220" s="21"/>
      <c r="O1220" s="21"/>
    </row>
    <row r="1221" customFormat="false" ht="36" hidden="false" customHeight="true" outlineLevel="0" collapsed="false">
      <c r="C1221" s="22" t="s">
        <v>1099</v>
      </c>
      <c r="M1221" s="21"/>
      <c r="N1221" s="21"/>
      <c r="O1221" s="21"/>
    </row>
    <row r="1222" customFormat="false" ht="15" hidden="false" customHeight="true" outlineLevel="0" collapsed="false">
      <c r="C1222" s="23" t="s">
        <v>912</v>
      </c>
      <c r="D1222" s="24" t="n">
        <v>3</v>
      </c>
      <c r="H1222" s="25" t="n">
        <f aca="false">IF(COUNT(D1222:G1222)=0,0,D1222*IF(E1222="",1,E1222)*IF(F1222="",1,F1222)*IF(G1222="",1,G1222))</f>
        <v>3</v>
      </c>
      <c r="M1222" s="21"/>
      <c r="N1222" s="21"/>
      <c r="O1222" s="21"/>
    </row>
    <row r="1223" customFormat="false" ht="18.75" hidden="false" customHeight="true" outlineLevel="0" collapsed="false">
      <c r="H1223" s="26"/>
      <c r="I1223" s="27" t="n">
        <f aca="false">ROUND(SUM(H1222:H1222),2)</f>
        <v>3</v>
      </c>
      <c r="J1223" s="28" t="n">
        <v>3.47</v>
      </c>
      <c r="K1223" s="27" t="n">
        <f aca="false">ROUND(I1223*J1223,2)</f>
        <v>10.41</v>
      </c>
      <c r="L1223" s="29" t="s">
        <v>131</v>
      </c>
      <c r="M1223" s="21" t="s">
        <v>110</v>
      </c>
      <c r="N1223" s="21" t="s">
        <v>63</v>
      </c>
      <c r="O1223" s="21" t="s">
        <v>1005</v>
      </c>
    </row>
    <row r="1224" customFormat="false" ht="15" hidden="false" customHeight="true" outlineLevel="0" collapsed="false">
      <c r="A1224" s="3" t="s">
        <v>1100</v>
      </c>
      <c r="B1224" s="3" t="s">
        <v>91</v>
      </c>
      <c r="C1224" s="3" t="s">
        <v>1101</v>
      </c>
      <c r="M1224" s="21"/>
      <c r="N1224" s="21"/>
      <c r="O1224" s="21"/>
    </row>
    <row r="1225" customFormat="false" ht="36" hidden="false" customHeight="true" outlineLevel="0" collapsed="false">
      <c r="C1225" s="22" t="s">
        <v>1102</v>
      </c>
      <c r="M1225" s="21"/>
      <c r="N1225" s="21"/>
      <c r="O1225" s="21"/>
    </row>
    <row r="1226" customFormat="false" ht="15" hidden="false" customHeight="true" outlineLevel="0" collapsed="false">
      <c r="C1226" s="23" t="s">
        <v>912</v>
      </c>
      <c r="D1226" s="24" t="n">
        <v>6</v>
      </c>
      <c r="H1226" s="25" t="n">
        <f aca="false">IF(COUNT(D1226:G1226)=0,0,D1226*IF(E1226="",1,E1226)*IF(F1226="",1,F1226)*IF(G1226="",1,G1226))</f>
        <v>6</v>
      </c>
      <c r="M1226" s="21"/>
      <c r="N1226" s="21"/>
      <c r="O1226" s="21"/>
    </row>
    <row r="1227" customFormat="false" ht="18.75" hidden="false" customHeight="true" outlineLevel="0" collapsed="false">
      <c r="H1227" s="26"/>
      <c r="I1227" s="27" t="n">
        <f aca="false">ROUND(SUM(H1226:H1226),2)</f>
        <v>6</v>
      </c>
      <c r="J1227" s="28" t="n">
        <v>2.1</v>
      </c>
      <c r="K1227" s="27" t="n">
        <f aca="false">ROUND(I1227*J1227,2)</f>
        <v>12.6</v>
      </c>
      <c r="L1227" s="29" t="s">
        <v>131</v>
      </c>
      <c r="M1227" s="21" t="s">
        <v>110</v>
      </c>
      <c r="N1227" s="21" t="s">
        <v>63</v>
      </c>
      <c r="O1227" s="21" t="s">
        <v>1005</v>
      </c>
    </row>
    <row r="1228" customFormat="false" ht="15" hidden="false" customHeight="true" outlineLevel="0" collapsed="false">
      <c r="A1228" s="3" t="s">
        <v>1103</v>
      </c>
      <c r="B1228" s="3" t="s">
        <v>91</v>
      </c>
      <c r="C1228" s="3" t="s">
        <v>1104</v>
      </c>
      <c r="M1228" s="21"/>
      <c r="N1228" s="21"/>
      <c r="O1228" s="21"/>
    </row>
    <row r="1229" customFormat="false" ht="36" hidden="false" customHeight="true" outlineLevel="0" collapsed="false">
      <c r="C1229" s="22" t="s">
        <v>1105</v>
      </c>
      <c r="M1229" s="21"/>
      <c r="N1229" s="21"/>
      <c r="O1229" s="21"/>
    </row>
    <row r="1230" customFormat="false" ht="15" hidden="false" customHeight="true" outlineLevel="0" collapsed="false">
      <c r="C1230" s="23" t="s">
        <v>912</v>
      </c>
      <c r="D1230" s="24" t="n">
        <v>3</v>
      </c>
      <c r="H1230" s="25" t="n">
        <f aca="false">IF(COUNT(D1230:G1230)=0,0,D1230*IF(E1230="",1,E1230)*IF(F1230="",1,F1230)*IF(G1230="",1,G1230))</f>
        <v>3</v>
      </c>
      <c r="M1230" s="21"/>
      <c r="N1230" s="21"/>
      <c r="O1230" s="21"/>
    </row>
    <row r="1231" customFormat="false" ht="18.75" hidden="false" customHeight="true" outlineLevel="0" collapsed="false">
      <c r="H1231" s="26"/>
      <c r="I1231" s="27" t="n">
        <f aca="false">ROUND(SUM(H1230:H1230),2)</f>
        <v>3</v>
      </c>
      <c r="J1231" s="28" t="n">
        <v>4.21</v>
      </c>
      <c r="K1231" s="27" t="n">
        <f aca="false">ROUND(I1231*J1231,2)</f>
        <v>12.63</v>
      </c>
      <c r="L1231" s="29" t="s">
        <v>131</v>
      </c>
      <c r="M1231" s="21" t="s">
        <v>110</v>
      </c>
      <c r="N1231" s="21" t="s">
        <v>63</v>
      </c>
      <c r="O1231" s="21" t="s">
        <v>1005</v>
      </c>
    </row>
    <row r="1232" customFormat="false" ht="15" hidden="false" customHeight="true" outlineLevel="0" collapsed="false">
      <c r="A1232" s="3" t="s">
        <v>1106</v>
      </c>
      <c r="B1232" s="3" t="s">
        <v>91</v>
      </c>
      <c r="C1232" s="3" t="s">
        <v>1107</v>
      </c>
      <c r="M1232" s="21"/>
      <c r="N1232" s="21"/>
      <c r="O1232" s="21"/>
    </row>
    <row r="1233" customFormat="false" ht="36" hidden="false" customHeight="true" outlineLevel="0" collapsed="false">
      <c r="C1233" s="22" t="s">
        <v>1108</v>
      </c>
      <c r="M1233" s="21"/>
      <c r="N1233" s="21"/>
      <c r="O1233" s="21"/>
    </row>
    <row r="1234" customFormat="false" ht="15" hidden="false" customHeight="true" outlineLevel="0" collapsed="false">
      <c r="C1234" s="23" t="s">
        <v>912</v>
      </c>
      <c r="D1234" s="24" t="n">
        <v>1</v>
      </c>
      <c r="H1234" s="25" t="n">
        <f aca="false">IF(COUNT(D1234:G1234)=0,0,D1234*IF(E1234="",1,E1234)*IF(F1234="",1,F1234)*IF(G1234="",1,G1234))</f>
        <v>1</v>
      </c>
      <c r="M1234" s="21"/>
      <c r="N1234" s="21"/>
      <c r="O1234" s="21"/>
    </row>
    <row r="1235" customFormat="false" ht="18.75" hidden="false" customHeight="true" outlineLevel="0" collapsed="false">
      <c r="H1235" s="26"/>
      <c r="I1235" s="27" t="n">
        <f aca="false">ROUND(SUM(H1234:H1234),2)</f>
        <v>1</v>
      </c>
      <c r="J1235" s="28" t="n">
        <v>3.26</v>
      </c>
      <c r="K1235" s="27" t="n">
        <f aca="false">ROUND(I1235*J1235,2)</f>
        <v>3.26</v>
      </c>
      <c r="L1235" s="29" t="s">
        <v>131</v>
      </c>
      <c r="M1235" s="21" t="s">
        <v>110</v>
      </c>
      <c r="N1235" s="21" t="s">
        <v>63</v>
      </c>
      <c r="O1235" s="21" t="s">
        <v>1005</v>
      </c>
    </row>
    <row r="1236" customFormat="false" ht="15" hidden="false" customHeight="true" outlineLevel="0" collapsed="false">
      <c r="A1236" s="3" t="s">
        <v>1109</v>
      </c>
      <c r="B1236" s="3" t="s">
        <v>91</v>
      </c>
      <c r="C1236" s="3" t="s">
        <v>1110</v>
      </c>
      <c r="M1236" s="21"/>
      <c r="N1236" s="21"/>
      <c r="O1236" s="21"/>
    </row>
    <row r="1237" customFormat="false" ht="36" hidden="false" customHeight="true" outlineLevel="0" collapsed="false">
      <c r="C1237" s="22" t="s">
        <v>1111</v>
      </c>
      <c r="M1237" s="21"/>
      <c r="N1237" s="21"/>
      <c r="O1237" s="21"/>
    </row>
    <row r="1238" customFormat="false" ht="15" hidden="false" customHeight="true" outlineLevel="0" collapsed="false">
      <c r="C1238" s="23" t="s">
        <v>912</v>
      </c>
      <c r="D1238" s="24" t="n">
        <v>1</v>
      </c>
      <c r="H1238" s="25" t="n">
        <f aca="false">IF(COUNT(D1238:G1238)=0,0,D1238*IF(E1238="",1,E1238)*IF(F1238="",1,F1238)*IF(G1238="",1,G1238))</f>
        <v>1</v>
      </c>
      <c r="M1238" s="21"/>
      <c r="N1238" s="21"/>
      <c r="O1238" s="21"/>
    </row>
    <row r="1239" customFormat="false" ht="18.75" hidden="false" customHeight="true" outlineLevel="0" collapsed="false">
      <c r="H1239" s="26"/>
      <c r="I1239" s="27" t="n">
        <f aca="false">ROUND(SUM(H1238:H1238),2)</f>
        <v>1</v>
      </c>
      <c r="J1239" s="28" t="n">
        <v>10.06</v>
      </c>
      <c r="K1239" s="27" t="n">
        <f aca="false">ROUND(I1239*J1239,2)</f>
        <v>10.06</v>
      </c>
      <c r="L1239" s="29" t="s">
        <v>131</v>
      </c>
      <c r="M1239" s="21" t="s">
        <v>110</v>
      </c>
      <c r="N1239" s="21" t="s">
        <v>63</v>
      </c>
      <c r="O1239" s="21" t="s">
        <v>1005</v>
      </c>
    </row>
    <row r="1240" customFormat="false" ht="15" hidden="false" customHeight="true" outlineLevel="0" collapsed="false">
      <c r="A1240" s="3" t="s">
        <v>1112</v>
      </c>
      <c r="B1240" s="3" t="s">
        <v>91</v>
      </c>
      <c r="C1240" s="3" t="s">
        <v>1113</v>
      </c>
      <c r="M1240" s="21"/>
      <c r="N1240" s="21"/>
      <c r="O1240" s="21"/>
    </row>
    <row r="1241" customFormat="false" ht="36" hidden="false" customHeight="true" outlineLevel="0" collapsed="false">
      <c r="C1241" s="22" t="s">
        <v>1114</v>
      </c>
      <c r="M1241" s="21"/>
      <c r="N1241" s="21"/>
      <c r="O1241" s="21"/>
    </row>
    <row r="1242" customFormat="false" ht="15" hidden="false" customHeight="true" outlineLevel="0" collapsed="false">
      <c r="C1242" s="23" t="s">
        <v>912</v>
      </c>
      <c r="D1242" s="24" t="n">
        <v>1</v>
      </c>
      <c r="H1242" s="25" t="n">
        <f aca="false">IF(COUNT(D1242:G1242)=0,0,D1242*IF(E1242="",1,E1242)*IF(F1242="",1,F1242)*IF(G1242="",1,G1242))</f>
        <v>1</v>
      </c>
      <c r="M1242" s="21"/>
      <c r="N1242" s="21"/>
      <c r="O1242" s="21"/>
    </row>
    <row r="1243" customFormat="false" ht="18.75" hidden="false" customHeight="true" outlineLevel="0" collapsed="false">
      <c r="H1243" s="26"/>
      <c r="I1243" s="27" t="n">
        <f aca="false">ROUND(SUM(H1242:H1242),2)</f>
        <v>1</v>
      </c>
      <c r="J1243" s="28" t="n">
        <v>0.49</v>
      </c>
      <c r="K1243" s="27" t="n">
        <f aca="false">ROUND(I1243*J1243,2)</f>
        <v>0.49</v>
      </c>
      <c r="L1243" s="29" t="s">
        <v>131</v>
      </c>
      <c r="M1243" s="21" t="s">
        <v>110</v>
      </c>
      <c r="N1243" s="21" t="s">
        <v>63</v>
      </c>
      <c r="O1243" s="21" t="s">
        <v>1005</v>
      </c>
    </row>
    <row r="1244" customFormat="false" ht="15" hidden="false" customHeight="true" outlineLevel="0" collapsed="false">
      <c r="A1244" s="3" t="s">
        <v>1115</v>
      </c>
      <c r="B1244" s="3" t="s">
        <v>91</v>
      </c>
      <c r="C1244" s="3" t="s">
        <v>1116</v>
      </c>
      <c r="M1244" s="21"/>
      <c r="N1244" s="21"/>
      <c r="O1244" s="21"/>
    </row>
    <row r="1245" customFormat="false" ht="36" hidden="false" customHeight="true" outlineLevel="0" collapsed="false">
      <c r="C1245" s="22" t="s">
        <v>1117</v>
      </c>
      <c r="M1245" s="21"/>
      <c r="N1245" s="21"/>
      <c r="O1245" s="21"/>
    </row>
    <row r="1246" customFormat="false" ht="15" hidden="false" customHeight="true" outlineLevel="0" collapsed="false">
      <c r="C1246" s="23" t="s">
        <v>912</v>
      </c>
      <c r="D1246" s="24" t="n">
        <v>2</v>
      </c>
      <c r="H1246" s="25" t="n">
        <f aca="false">IF(COUNT(D1246:G1246)=0,0,D1246*IF(E1246="",1,E1246)*IF(F1246="",1,F1246)*IF(G1246="",1,G1246))</f>
        <v>2</v>
      </c>
      <c r="M1246" s="21"/>
      <c r="N1246" s="21"/>
      <c r="O1246" s="21"/>
    </row>
    <row r="1247" customFormat="false" ht="18.75" hidden="false" customHeight="true" outlineLevel="0" collapsed="false">
      <c r="H1247" s="26"/>
      <c r="I1247" s="27" t="n">
        <f aca="false">ROUND(SUM(H1246:H1246),2)</f>
        <v>2</v>
      </c>
      <c r="J1247" s="28" t="n">
        <v>4.62</v>
      </c>
      <c r="K1247" s="27" t="n">
        <f aca="false">ROUND(I1247*J1247,2)</f>
        <v>9.24</v>
      </c>
      <c r="L1247" s="29" t="s">
        <v>131</v>
      </c>
      <c r="M1247" s="21" t="s">
        <v>110</v>
      </c>
      <c r="N1247" s="21" t="s">
        <v>63</v>
      </c>
      <c r="O1247" s="21" t="s">
        <v>1005</v>
      </c>
    </row>
    <row r="1248" customFormat="false" ht="15" hidden="false" customHeight="true" outlineLevel="0" collapsed="false">
      <c r="A1248" s="3" t="s">
        <v>1118</v>
      </c>
      <c r="B1248" s="3" t="s">
        <v>91</v>
      </c>
      <c r="C1248" s="3" t="s">
        <v>1119</v>
      </c>
      <c r="M1248" s="21"/>
      <c r="N1248" s="21"/>
      <c r="O1248" s="21"/>
    </row>
    <row r="1249" customFormat="false" ht="36" hidden="false" customHeight="true" outlineLevel="0" collapsed="false">
      <c r="C1249" s="22" t="s">
        <v>1120</v>
      </c>
      <c r="M1249" s="21"/>
      <c r="N1249" s="21"/>
      <c r="O1249" s="21"/>
    </row>
    <row r="1250" customFormat="false" ht="15" hidden="false" customHeight="true" outlineLevel="0" collapsed="false">
      <c r="C1250" s="23" t="s">
        <v>912</v>
      </c>
      <c r="D1250" s="24" t="n">
        <v>5</v>
      </c>
      <c r="H1250" s="25" t="n">
        <f aca="false">IF(COUNT(D1250:G1250)=0,0,D1250*IF(E1250="",1,E1250)*IF(F1250="",1,F1250)*IF(G1250="",1,G1250))</f>
        <v>5</v>
      </c>
      <c r="M1250" s="21"/>
      <c r="N1250" s="21"/>
      <c r="O1250" s="21"/>
    </row>
    <row r="1251" customFormat="false" ht="18.75" hidden="false" customHeight="true" outlineLevel="0" collapsed="false">
      <c r="H1251" s="26"/>
      <c r="I1251" s="27" t="n">
        <f aca="false">ROUND(SUM(H1250:H1250),2)</f>
        <v>5</v>
      </c>
      <c r="J1251" s="28" t="n">
        <v>4.14</v>
      </c>
      <c r="K1251" s="27" t="n">
        <f aca="false">ROUND(I1251*J1251,2)</f>
        <v>20.7</v>
      </c>
      <c r="L1251" s="29" t="s">
        <v>131</v>
      </c>
      <c r="M1251" s="21" t="s">
        <v>110</v>
      </c>
      <c r="N1251" s="21" t="s">
        <v>63</v>
      </c>
      <c r="O1251" s="21" t="s">
        <v>1005</v>
      </c>
    </row>
    <row r="1252" customFormat="false" ht="15" hidden="false" customHeight="true" outlineLevel="0" collapsed="false">
      <c r="A1252" s="3" t="s">
        <v>1121</v>
      </c>
      <c r="B1252" s="3" t="s">
        <v>91</v>
      </c>
      <c r="C1252" s="3" t="s">
        <v>1122</v>
      </c>
      <c r="M1252" s="21"/>
      <c r="N1252" s="21"/>
      <c r="O1252" s="21"/>
    </row>
    <row r="1253" customFormat="false" ht="36" hidden="false" customHeight="true" outlineLevel="0" collapsed="false">
      <c r="C1253" s="22" t="s">
        <v>1123</v>
      </c>
      <c r="M1253" s="21"/>
      <c r="N1253" s="21"/>
      <c r="O1253" s="21"/>
    </row>
    <row r="1254" customFormat="false" ht="15" hidden="false" customHeight="true" outlineLevel="0" collapsed="false">
      <c r="C1254" s="23" t="s">
        <v>912</v>
      </c>
      <c r="D1254" s="24" t="n">
        <v>5</v>
      </c>
      <c r="H1254" s="25" t="n">
        <f aca="false">IF(COUNT(D1254:G1254)=0,0,D1254*IF(E1254="",1,E1254)*IF(F1254="",1,F1254)*IF(G1254="",1,G1254))</f>
        <v>5</v>
      </c>
      <c r="M1254" s="21"/>
      <c r="N1254" s="21"/>
      <c r="O1254" s="21"/>
    </row>
    <row r="1255" customFormat="false" ht="18.75" hidden="false" customHeight="true" outlineLevel="0" collapsed="false">
      <c r="H1255" s="26"/>
      <c r="I1255" s="27" t="n">
        <f aca="false">ROUND(SUM(H1254:H1254),2)</f>
        <v>5</v>
      </c>
      <c r="J1255" s="28" t="n">
        <v>3.58</v>
      </c>
      <c r="K1255" s="27" t="n">
        <f aca="false">ROUND(I1255*J1255,2)</f>
        <v>17.9</v>
      </c>
      <c r="L1255" s="29" t="s">
        <v>131</v>
      </c>
      <c r="M1255" s="21" t="s">
        <v>110</v>
      </c>
      <c r="N1255" s="21" t="s">
        <v>63</v>
      </c>
      <c r="O1255" s="21" t="s">
        <v>1005</v>
      </c>
    </row>
    <row r="1256" customFormat="false" ht="15" hidden="false" customHeight="true" outlineLevel="0" collapsed="false">
      <c r="A1256" s="3" t="s">
        <v>1124</v>
      </c>
      <c r="B1256" s="3" t="s">
        <v>91</v>
      </c>
      <c r="C1256" s="3" t="s">
        <v>1125</v>
      </c>
      <c r="M1256" s="21"/>
      <c r="N1256" s="21"/>
      <c r="O1256" s="21"/>
    </row>
    <row r="1257" customFormat="false" ht="36" hidden="false" customHeight="true" outlineLevel="0" collapsed="false">
      <c r="C1257" s="22" t="s">
        <v>1126</v>
      </c>
      <c r="M1257" s="21"/>
      <c r="N1257" s="21"/>
      <c r="O1257" s="21"/>
    </row>
    <row r="1258" customFormat="false" ht="15" hidden="false" customHeight="true" outlineLevel="0" collapsed="false">
      <c r="C1258" s="23" t="s">
        <v>912</v>
      </c>
      <c r="D1258" s="24" t="n">
        <v>1</v>
      </c>
      <c r="H1258" s="25" t="n">
        <f aca="false">IF(COUNT(D1258:G1258)=0,0,D1258*IF(E1258="",1,E1258)*IF(F1258="",1,F1258)*IF(G1258="",1,G1258))</f>
        <v>1</v>
      </c>
      <c r="M1258" s="21"/>
      <c r="N1258" s="21"/>
      <c r="O1258" s="21"/>
    </row>
    <row r="1259" customFormat="false" ht="18.75" hidden="false" customHeight="true" outlineLevel="0" collapsed="false">
      <c r="H1259" s="26"/>
      <c r="I1259" s="27" t="n">
        <f aca="false">ROUND(SUM(H1258:H1258),2)</f>
        <v>1</v>
      </c>
      <c r="J1259" s="28" t="n">
        <v>1.72</v>
      </c>
      <c r="K1259" s="27" t="n">
        <f aca="false">ROUND(I1259*J1259,2)</f>
        <v>1.72</v>
      </c>
      <c r="L1259" s="29" t="s">
        <v>131</v>
      </c>
      <c r="M1259" s="21" t="s">
        <v>110</v>
      </c>
      <c r="N1259" s="21" t="s">
        <v>63</v>
      </c>
      <c r="O1259" s="21" t="s">
        <v>1005</v>
      </c>
    </row>
    <row r="1260" customFormat="false" ht="15" hidden="false" customHeight="true" outlineLevel="0" collapsed="false">
      <c r="A1260" s="3" t="s">
        <v>1127</v>
      </c>
      <c r="B1260" s="3" t="s">
        <v>91</v>
      </c>
      <c r="C1260" s="3" t="s">
        <v>1128</v>
      </c>
      <c r="M1260" s="21"/>
      <c r="N1260" s="21"/>
      <c r="O1260" s="21"/>
    </row>
    <row r="1261" customFormat="false" ht="36" hidden="false" customHeight="true" outlineLevel="0" collapsed="false">
      <c r="C1261" s="22" t="s">
        <v>1129</v>
      </c>
      <c r="M1261" s="21"/>
      <c r="N1261" s="21"/>
      <c r="O1261" s="21"/>
    </row>
    <row r="1262" customFormat="false" ht="15" hidden="false" customHeight="true" outlineLevel="0" collapsed="false">
      <c r="C1262" s="23" t="s">
        <v>912</v>
      </c>
      <c r="D1262" s="24" t="n">
        <v>1</v>
      </c>
      <c r="H1262" s="25" t="n">
        <f aca="false">IF(COUNT(D1262:G1262)=0,0,D1262*IF(E1262="",1,E1262)*IF(F1262="",1,F1262)*IF(G1262="",1,G1262))</f>
        <v>1</v>
      </c>
      <c r="M1262" s="21"/>
      <c r="N1262" s="21"/>
      <c r="O1262" s="21"/>
    </row>
    <row r="1263" customFormat="false" ht="18.75" hidden="false" customHeight="true" outlineLevel="0" collapsed="false">
      <c r="H1263" s="26"/>
      <c r="I1263" s="27" t="n">
        <f aca="false">ROUND(SUM(H1262:H1262),2)</f>
        <v>1</v>
      </c>
      <c r="J1263" s="28" t="n">
        <v>3.04</v>
      </c>
      <c r="K1263" s="27" t="n">
        <f aca="false">ROUND(I1263*J1263,2)</f>
        <v>3.04</v>
      </c>
      <c r="L1263" s="29" t="s">
        <v>131</v>
      </c>
      <c r="M1263" s="21" t="s">
        <v>110</v>
      </c>
      <c r="N1263" s="21" t="s">
        <v>63</v>
      </c>
      <c r="O1263" s="21" t="s">
        <v>1005</v>
      </c>
    </row>
    <row r="1264" customFormat="false" ht="15" hidden="false" customHeight="true" outlineLevel="0" collapsed="false">
      <c r="A1264" s="3" t="s">
        <v>1130</v>
      </c>
      <c r="B1264" s="3" t="s">
        <v>91</v>
      </c>
      <c r="C1264" s="3" t="s">
        <v>1131</v>
      </c>
      <c r="M1264" s="21"/>
      <c r="N1264" s="21"/>
      <c r="O1264" s="21"/>
    </row>
    <row r="1265" customFormat="false" ht="36" hidden="false" customHeight="true" outlineLevel="0" collapsed="false">
      <c r="C1265" s="22" t="s">
        <v>1132</v>
      </c>
      <c r="M1265" s="21"/>
      <c r="N1265" s="21"/>
      <c r="O1265" s="21"/>
    </row>
    <row r="1266" customFormat="false" ht="15" hidden="false" customHeight="true" outlineLevel="0" collapsed="false">
      <c r="C1266" s="23" t="s">
        <v>912</v>
      </c>
      <c r="D1266" s="24" t="n">
        <v>6</v>
      </c>
      <c r="H1266" s="25" t="n">
        <f aca="false">IF(COUNT(D1266:G1266)=0,0,D1266*IF(E1266="",1,E1266)*IF(F1266="",1,F1266)*IF(G1266="",1,G1266))</f>
        <v>6</v>
      </c>
      <c r="M1266" s="21"/>
      <c r="N1266" s="21"/>
      <c r="O1266" s="21"/>
    </row>
    <row r="1267" customFormat="false" ht="18.75" hidden="false" customHeight="true" outlineLevel="0" collapsed="false">
      <c r="H1267" s="26"/>
      <c r="I1267" s="27" t="n">
        <f aca="false">ROUND(SUM(H1266:H1266),2)</f>
        <v>6</v>
      </c>
      <c r="J1267" s="28" t="n">
        <v>0.18</v>
      </c>
      <c r="K1267" s="27" t="n">
        <f aca="false">ROUND(I1267*J1267,2)</f>
        <v>1.08</v>
      </c>
      <c r="L1267" s="29" t="s">
        <v>131</v>
      </c>
      <c r="M1267" s="21" t="s">
        <v>110</v>
      </c>
      <c r="N1267" s="21" t="s">
        <v>63</v>
      </c>
      <c r="O1267" s="21" t="s">
        <v>1005</v>
      </c>
    </row>
    <row r="1268" customFormat="false" ht="15" hidden="false" customHeight="true" outlineLevel="0" collapsed="false">
      <c r="A1268" s="3" t="s">
        <v>1133</v>
      </c>
      <c r="B1268" s="3" t="s">
        <v>91</v>
      </c>
      <c r="C1268" s="3" t="s">
        <v>1134</v>
      </c>
      <c r="M1268" s="21"/>
      <c r="N1268" s="21"/>
      <c r="O1268" s="21"/>
    </row>
    <row r="1269" customFormat="false" ht="36" hidden="false" customHeight="true" outlineLevel="0" collapsed="false">
      <c r="C1269" s="22" t="s">
        <v>1135</v>
      </c>
      <c r="M1269" s="21"/>
      <c r="N1269" s="21"/>
      <c r="O1269" s="21"/>
    </row>
    <row r="1270" customFormat="false" ht="15" hidden="false" customHeight="true" outlineLevel="0" collapsed="false">
      <c r="C1270" s="23" t="s">
        <v>912</v>
      </c>
      <c r="D1270" s="24" t="n">
        <v>1</v>
      </c>
      <c r="H1270" s="25" t="n">
        <f aca="false">IF(COUNT(D1270:G1270)=0,0,D1270*IF(E1270="",1,E1270)*IF(F1270="",1,F1270)*IF(G1270="",1,G1270))</f>
        <v>1</v>
      </c>
      <c r="M1270" s="21"/>
      <c r="N1270" s="21"/>
      <c r="O1270" s="21"/>
    </row>
    <row r="1271" customFormat="false" ht="18.75" hidden="false" customHeight="true" outlineLevel="0" collapsed="false">
      <c r="H1271" s="26"/>
      <c r="I1271" s="27" t="n">
        <f aca="false">ROUND(SUM(H1270:H1270),2)</f>
        <v>1</v>
      </c>
      <c r="J1271" s="28" t="n">
        <v>0.26</v>
      </c>
      <c r="K1271" s="27" t="n">
        <f aca="false">ROUND(I1271*J1271,2)</f>
        <v>0.26</v>
      </c>
      <c r="L1271" s="29" t="s">
        <v>131</v>
      </c>
      <c r="M1271" s="21" t="s">
        <v>110</v>
      </c>
      <c r="N1271" s="21" t="s">
        <v>63</v>
      </c>
      <c r="O1271" s="21" t="s">
        <v>1005</v>
      </c>
    </row>
    <row r="1272" customFormat="false" ht="15" hidden="false" customHeight="true" outlineLevel="0" collapsed="false">
      <c r="A1272" s="3" t="s">
        <v>1136</v>
      </c>
      <c r="C1272" s="3" t="s">
        <v>1137</v>
      </c>
      <c r="M1272" s="21" t="s">
        <v>194</v>
      </c>
      <c r="N1272" s="21" t="s">
        <v>63</v>
      </c>
      <c r="O1272" s="21" t="s">
        <v>1136</v>
      </c>
    </row>
    <row r="1273" customFormat="false" ht="15" hidden="false" customHeight="true" outlineLevel="0" collapsed="false">
      <c r="A1273" s="3" t="s">
        <v>1138</v>
      </c>
      <c r="B1273" s="3" t="s">
        <v>91</v>
      </c>
      <c r="C1273" s="3" t="s">
        <v>1139</v>
      </c>
      <c r="M1273" s="21"/>
      <c r="N1273" s="21"/>
      <c r="O1273" s="21"/>
    </row>
    <row r="1274" customFormat="false" ht="72" hidden="false" customHeight="true" outlineLevel="0" collapsed="false">
      <c r="C1274" s="22" t="s">
        <v>1140</v>
      </c>
      <c r="M1274" s="21"/>
      <c r="N1274" s="21"/>
      <c r="O1274" s="21"/>
    </row>
    <row r="1275" customFormat="false" ht="15" hidden="false" customHeight="true" outlineLevel="0" collapsed="false">
      <c r="C1275" s="23" t="s">
        <v>912</v>
      </c>
      <c r="D1275" s="24" t="n">
        <v>1</v>
      </c>
      <c r="H1275" s="25" t="n">
        <f aca="false">IF(COUNT(D1275:G1275)=0,0,D1275*IF(E1275="",1,E1275)*IF(F1275="",1,F1275)*IF(G1275="",1,G1275))</f>
        <v>1</v>
      </c>
      <c r="M1275" s="21"/>
      <c r="N1275" s="21"/>
      <c r="O1275" s="21"/>
    </row>
    <row r="1276" customFormat="false" ht="18.75" hidden="false" customHeight="true" outlineLevel="0" collapsed="false">
      <c r="H1276" s="26"/>
      <c r="I1276" s="27" t="n">
        <f aca="false">ROUND(SUM(H1275:H1275),2)</f>
        <v>1</v>
      </c>
      <c r="J1276" s="28" t="n">
        <v>27.62</v>
      </c>
      <c r="K1276" s="27" t="n">
        <f aca="false">ROUND(I1276*J1276,2)</f>
        <v>27.62</v>
      </c>
      <c r="L1276" s="29" t="s">
        <v>131</v>
      </c>
      <c r="M1276" s="21" t="s">
        <v>110</v>
      </c>
      <c r="N1276" s="21" t="s">
        <v>63</v>
      </c>
      <c r="O1276" s="21" t="s">
        <v>1136</v>
      </c>
    </row>
    <row r="1277" customFormat="false" ht="15" hidden="false" customHeight="true" outlineLevel="0" collapsed="false">
      <c r="A1277" s="3" t="s">
        <v>1141</v>
      </c>
      <c r="B1277" s="3" t="s">
        <v>91</v>
      </c>
      <c r="C1277" s="3" t="s">
        <v>1142</v>
      </c>
      <c r="M1277" s="21"/>
      <c r="N1277" s="21"/>
      <c r="O1277" s="21"/>
    </row>
    <row r="1278" customFormat="false" ht="60" hidden="false" customHeight="true" outlineLevel="0" collapsed="false">
      <c r="C1278" s="22" t="s">
        <v>1143</v>
      </c>
      <c r="M1278" s="21"/>
      <c r="N1278" s="21"/>
      <c r="O1278" s="21"/>
    </row>
    <row r="1279" customFormat="false" ht="15" hidden="false" customHeight="true" outlineLevel="0" collapsed="false">
      <c r="C1279" s="23" t="s">
        <v>912</v>
      </c>
      <c r="D1279" s="24" t="n">
        <v>3</v>
      </c>
      <c r="H1279" s="25" t="n">
        <f aca="false">IF(COUNT(D1279:G1279)=0,0,D1279*IF(E1279="",1,E1279)*IF(F1279="",1,F1279)*IF(G1279="",1,G1279))</f>
        <v>3</v>
      </c>
      <c r="M1279" s="21"/>
      <c r="N1279" s="21"/>
      <c r="O1279" s="21"/>
    </row>
    <row r="1280" customFormat="false" ht="18.75" hidden="false" customHeight="true" outlineLevel="0" collapsed="false">
      <c r="H1280" s="26"/>
      <c r="I1280" s="27" t="n">
        <f aca="false">ROUND(SUM(H1279:H1279),2)</f>
        <v>3</v>
      </c>
      <c r="J1280" s="28" t="n">
        <v>31.56</v>
      </c>
      <c r="K1280" s="27" t="n">
        <f aca="false">ROUND(I1280*J1280,2)</f>
        <v>94.68</v>
      </c>
      <c r="L1280" s="29" t="s">
        <v>131</v>
      </c>
      <c r="M1280" s="21" t="s">
        <v>110</v>
      </c>
      <c r="N1280" s="21" t="s">
        <v>63</v>
      </c>
      <c r="O1280" s="21" t="s">
        <v>1136</v>
      </c>
    </row>
    <row r="1281" customFormat="false" ht="15" hidden="false" customHeight="true" outlineLevel="0" collapsed="false">
      <c r="A1281" s="3" t="s">
        <v>1144</v>
      </c>
      <c r="C1281" s="3" t="s">
        <v>1145</v>
      </c>
      <c r="M1281" s="21" t="s">
        <v>194</v>
      </c>
      <c r="N1281" s="21" t="s">
        <v>63</v>
      </c>
      <c r="O1281" s="21" t="s">
        <v>1144</v>
      </c>
    </row>
    <row r="1282" customFormat="false" ht="15" hidden="false" customHeight="true" outlineLevel="0" collapsed="false">
      <c r="A1282" s="3" t="s">
        <v>1146</v>
      </c>
      <c r="B1282" s="3" t="s">
        <v>158</v>
      </c>
      <c r="C1282" s="3" t="s">
        <v>1147</v>
      </c>
      <c r="M1282" s="21"/>
      <c r="N1282" s="21"/>
      <c r="O1282" s="21"/>
    </row>
    <row r="1283" customFormat="false" ht="48" hidden="false" customHeight="true" outlineLevel="0" collapsed="false">
      <c r="C1283" s="22" t="s">
        <v>1148</v>
      </c>
      <c r="M1283" s="21"/>
      <c r="N1283" s="21"/>
      <c r="O1283" s="21"/>
    </row>
    <row r="1284" customFormat="false" ht="15" hidden="false" customHeight="true" outlineLevel="0" collapsed="false">
      <c r="C1284" s="23" t="s">
        <v>912</v>
      </c>
      <c r="D1284" s="24" t="n">
        <v>20</v>
      </c>
      <c r="H1284" s="25" t="n">
        <f aca="false">IF(COUNT(D1284:G1284)=0,0,D1284*IF(E1284="",1,E1284)*IF(F1284="",1,F1284)*IF(G1284="",1,G1284))</f>
        <v>20</v>
      </c>
      <c r="M1284" s="21"/>
      <c r="N1284" s="21"/>
      <c r="O1284" s="21"/>
    </row>
    <row r="1285" customFormat="false" ht="18.75" hidden="false" customHeight="true" outlineLevel="0" collapsed="false">
      <c r="H1285" s="26"/>
      <c r="I1285" s="27" t="n">
        <f aca="false">ROUND(SUM(H1284:H1284),2)</f>
        <v>20</v>
      </c>
      <c r="J1285" s="28" t="n">
        <v>0.95</v>
      </c>
      <c r="K1285" s="27" t="n">
        <f aca="false">ROUND(I1285*J1285,2)</f>
        <v>19</v>
      </c>
      <c r="L1285" s="29" t="s">
        <v>131</v>
      </c>
      <c r="M1285" s="21" t="s">
        <v>110</v>
      </c>
      <c r="N1285" s="21" t="s">
        <v>63</v>
      </c>
      <c r="O1285" s="21" t="s">
        <v>1144</v>
      </c>
    </row>
    <row r="1286" customFormat="false" ht="15" hidden="false" customHeight="true" outlineLevel="0" collapsed="false">
      <c r="A1286" s="3" t="s">
        <v>1149</v>
      </c>
      <c r="B1286" s="3" t="s">
        <v>158</v>
      </c>
      <c r="C1286" s="3" t="s">
        <v>1150</v>
      </c>
      <c r="M1286" s="21"/>
      <c r="N1286" s="21"/>
      <c r="O1286" s="21"/>
    </row>
    <row r="1287" customFormat="false" ht="108" hidden="false" customHeight="true" outlineLevel="0" collapsed="false">
      <c r="C1287" s="22" t="s">
        <v>1151</v>
      </c>
      <c r="M1287" s="21"/>
      <c r="N1287" s="21"/>
      <c r="O1287" s="21"/>
    </row>
    <row r="1288" customFormat="false" ht="15" hidden="false" customHeight="true" outlineLevel="0" collapsed="false">
      <c r="C1288" s="23" t="s">
        <v>912</v>
      </c>
      <c r="D1288" s="24" t="n">
        <v>12</v>
      </c>
      <c r="H1288" s="25" t="n">
        <f aca="false">IF(COUNT(D1288:G1288)=0,0,D1288*IF(E1288="",1,E1288)*IF(F1288="",1,F1288)*IF(G1288="",1,G1288))</f>
        <v>12</v>
      </c>
      <c r="M1288" s="21"/>
      <c r="N1288" s="21"/>
      <c r="O1288" s="21"/>
    </row>
    <row r="1289" customFormat="false" ht="18.75" hidden="false" customHeight="true" outlineLevel="0" collapsed="false">
      <c r="H1289" s="26"/>
      <c r="I1289" s="27" t="n">
        <f aca="false">ROUND(SUM(H1288:H1288),2)</f>
        <v>12</v>
      </c>
      <c r="J1289" s="28" t="n">
        <v>11.84</v>
      </c>
      <c r="K1289" s="27" t="n">
        <f aca="false">ROUND(I1289*J1289,2)</f>
        <v>142.08</v>
      </c>
      <c r="L1289" s="29" t="s">
        <v>131</v>
      </c>
      <c r="M1289" s="21" t="s">
        <v>110</v>
      </c>
      <c r="N1289" s="21" t="s">
        <v>63</v>
      </c>
      <c r="O1289" s="21" t="s">
        <v>1144</v>
      </c>
    </row>
    <row r="1290" customFormat="false" ht="15" hidden="false" customHeight="true" outlineLevel="0" collapsed="false">
      <c r="A1290" s="3" t="s">
        <v>1152</v>
      </c>
      <c r="B1290" s="3" t="s">
        <v>91</v>
      </c>
      <c r="C1290" s="3" t="s">
        <v>1153</v>
      </c>
      <c r="M1290" s="21"/>
      <c r="N1290" s="21"/>
      <c r="O1290" s="21"/>
    </row>
    <row r="1291" customFormat="false" ht="60" hidden="false" customHeight="true" outlineLevel="0" collapsed="false">
      <c r="C1291" s="22" t="s">
        <v>1154</v>
      </c>
      <c r="M1291" s="21"/>
      <c r="N1291" s="21"/>
      <c r="O1291" s="21"/>
    </row>
    <row r="1292" customFormat="false" ht="15" hidden="false" customHeight="true" outlineLevel="0" collapsed="false">
      <c r="C1292" s="23" t="s">
        <v>912</v>
      </c>
      <c r="D1292" s="24" t="n">
        <v>1</v>
      </c>
      <c r="H1292" s="25" t="n">
        <f aca="false">IF(COUNT(D1292:G1292)=0,0,D1292*IF(E1292="",1,E1292)*IF(F1292="",1,F1292)*IF(G1292="",1,G1292))</f>
        <v>1</v>
      </c>
      <c r="M1292" s="21"/>
      <c r="N1292" s="21"/>
      <c r="O1292" s="21"/>
    </row>
    <row r="1293" customFormat="false" ht="18.75" hidden="false" customHeight="true" outlineLevel="0" collapsed="false">
      <c r="H1293" s="26"/>
      <c r="I1293" s="27" t="n">
        <f aca="false">ROUND(SUM(H1292:H1292),2)</f>
        <v>1</v>
      </c>
      <c r="J1293" s="28" t="n">
        <v>18.91</v>
      </c>
      <c r="K1293" s="27" t="n">
        <f aca="false">ROUND(I1293*J1293,2)</f>
        <v>18.91</v>
      </c>
      <c r="L1293" s="29" t="s">
        <v>131</v>
      </c>
      <c r="M1293" s="21" t="s">
        <v>110</v>
      </c>
      <c r="N1293" s="21" t="s">
        <v>63</v>
      </c>
      <c r="O1293" s="21" t="s">
        <v>1144</v>
      </c>
    </row>
    <row r="1294" customFormat="false" ht="15" hidden="false" customHeight="true" outlineLevel="0" collapsed="false">
      <c r="C1294" s="30" t="s">
        <v>1155</v>
      </c>
      <c r="K1294" s="11" t="n">
        <f aca="false">SUMIFS($K$5:$K$1293,$M$5:$M$1293,"P",$N$5:$N$1293,"20")</f>
        <v>4095.6</v>
      </c>
      <c r="M1294" s="21"/>
      <c r="N1294" s="21"/>
      <c r="O1294" s="21"/>
    </row>
    <row r="1295" customFormat="false" ht="15" hidden="false" customHeight="true" outlineLevel="0" collapsed="false">
      <c r="M1295" s="21"/>
      <c r="N1295" s="21"/>
      <c r="O1295" s="21"/>
    </row>
    <row r="1296" customFormat="false" ht="15" hidden="false" customHeight="true" outlineLevel="0" collapsed="false">
      <c r="M1296" s="21"/>
      <c r="N1296" s="21"/>
      <c r="O1296" s="21"/>
    </row>
    <row r="1297" customFormat="false" ht="18.75" hidden="false" customHeight="true" outlineLevel="0" collapsed="false"/>
    <row r="1298" customFormat="false" ht="15" hidden="false" customHeight="true" outlineLevel="0" collapsed="false"/>
    <row r="1299" customFormat="false" ht="15" hidden="false" customHeight="true" outlineLevel="0" collapsed="false"/>
    <row r="1300" customFormat="false" ht="15" hidden="false" customHeight="true" outlineLevel="0" collapsed="false"/>
    <row r="1301" customFormat="false" ht="18.75" hidden="false" customHeight="true" outlineLevel="0" collapsed="false"/>
    <row r="1302" customFormat="false" ht="15" hidden="false" customHeight="true" outlineLevel="0" collapsed="false"/>
    <row r="1303" customFormat="false" ht="15" hidden="false" customHeight="true" outlineLevel="0" collapsed="false"/>
    <row r="1304"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1156</v>
      </c>
    </row>
    <row r="3" customFormat="false" ht="42" hidden="false" customHeight="true" outlineLevel="0" collapsed="false">
      <c r="A3" s="34" t="s">
        <v>1157</v>
      </c>
      <c r="B3" s="22" t="s">
        <v>1158</v>
      </c>
    </row>
    <row r="4" customFormat="false" ht="27.75" hidden="false" customHeight="true" outlineLevel="0" collapsed="false">
      <c r="A4" s="34" t="s">
        <v>1159</v>
      </c>
      <c r="B4" s="22" t="s">
        <v>1160</v>
      </c>
    </row>
    <row r="5" customFormat="false" ht="42" hidden="false" customHeight="true" outlineLevel="0" collapsed="false">
      <c r="A5" s="34" t="s">
        <v>1161</v>
      </c>
      <c r="B5" s="22" t="s">
        <v>1162</v>
      </c>
    </row>
    <row r="6" customFormat="false" ht="42" hidden="false" customHeight="true" outlineLevel="0" collapsed="false">
      <c r="A6" s="34" t="s">
        <v>1163</v>
      </c>
      <c r="B6" s="22" t="s">
        <v>1164</v>
      </c>
    </row>
    <row r="7" customFormat="false" ht="27.75" hidden="false" customHeight="true" outlineLevel="0" collapsed="false">
      <c r="A7" s="34" t="s">
        <v>1165</v>
      </c>
      <c r="B7" s="22" t="s">
        <v>1166</v>
      </c>
    </row>
    <row r="8" customFormat="false" ht="27.75" hidden="false" customHeight="true" outlineLevel="0" collapsed="false">
      <c r="A8" s="34" t="s">
        <v>1167</v>
      </c>
      <c r="B8" s="22" t="s">
        <v>1168</v>
      </c>
    </row>
    <row r="9" customFormat="false" ht="27.75" hidden="false" customHeight="true" outlineLevel="0" collapsed="false">
      <c r="A9" s="34" t="s">
        <v>1169</v>
      </c>
      <c r="B9" s="22" t="s">
        <v>1170</v>
      </c>
    </row>
    <row r="10" customFormat="false" ht="27.75" hidden="false" customHeight="true" outlineLevel="0" collapsed="false">
      <c r="A10" s="34" t="s">
        <v>1171</v>
      </c>
      <c r="B10" s="22" t="s">
        <v>1172</v>
      </c>
    </row>
    <row r="11" customFormat="false" ht="27.75" hidden="false" customHeight="true" outlineLevel="0" collapsed="false">
      <c r="A11" s="34" t="s">
        <v>1173</v>
      </c>
      <c r="B11" s="22" t="s">
        <v>1174</v>
      </c>
    </row>
    <row r="12" customFormat="false" ht="27.75" hidden="false" customHeight="true" outlineLevel="0" collapsed="false">
      <c r="A12" s="34" t="s">
        <v>1175</v>
      </c>
      <c r="B12" s="22" t="s">
        <v>1176</v>
      </c>
    </row>
    <row r="13" customFormat="false" ht="63.75" hidden="false" customHeight="true" outlineLevel="0" collapsed="false">
      <c r="A13" s="34" t="s">
        <v>1177</v>
      </c>
      <c r="B13" s="22" t="s">
        <v>1178</v>
      </c>
    </row>
    <row r="14" customFormat="false" ht="63.75" hidden="false" customHeight="true" outlineLevel="0" collapsed="false">
      <c r="A14" s="34" t="s">
        <v>1179</v>
      </c>
      <c r="B14" s="22" t="s">
        <v>1180</v>
      </c>
    </row>
    <row r="15" customFormat="false" ht="102" hidden="false" customHeight="true" outlineLevel="0" collapsed="false">
      <c r="A15" s="34" t="s">
        <v>1181</v>
      </c>
      <c r="B15" s="22" t="s">
        <v>1182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5" t="s">
        <v>1183</v>
      </c>
    </row>
    <row r="2" customFormat="false" ht="15" hidden="false" customHeight="true" outlineLevel="0" collapsed="false">
      <c r="A2" s="8" t="s">
        <v>1184</v>
      </c>
    </row>
    <row r="3" customFormat="false" ht="15" hidden="false" customHeight="true" outlineLevel="0" collapsed="false">
      <c r="A3" s="8" t="s">
        <v>1185</v>
      </c>
    </row>
    <row r="5" customFormat="false" ht="21.75" hidden="false" customHeight="true" outlineLevel="0" collapsed="false">
      <c r="A5" s="36" t="s">
        <v>90</v>
      </c>
      <c r="B5" s="36" t="s">
        <v>91</v>
      </c>
      <c r="C5" s="36" t="s">
        <v>4</v>
      </c>
      <c r="D5" s="36" t="s">
        <v>1186</v>
      </c>
      <c r="E5" s="36" t="s">
        <v>1187</v>
      </c>
      <c r="F5" s="36" t="s">
        <v>1188</v>
      </c>
      <c r="G5" s="36" t="s">
        <v>1189</v>
      </c>
      <c r="H5" s="36" t="s">
        <v>98</v>
      </c>
      <c r="I5" s="36" t="s">
        <v>1190</v>
      </c>
      <c r="J5" s="36" t="s">
        <v>1191</v>
      </c>
      <c r="K5" s="36" t="s">
        <v>1192</v>
      </c>
      <c r="L5" s="36" t="s">
        <v>1193</v>
      </c>
    </row>
    <row r="6" customFormat="false" ht="32.25" hidden="false" customHeight="true" outlineLevel="0" collapsed="false">
      <c r="A6" s="37" t="str">
        <f aca="false">Presupuesto!A113</f>
        <v>05.01.03</v>
      </c>
      <c r="B6" s="37" t="str">
        <f aca="false">Presupuesto!B113</f>
        <v>m3</v>
      </c>
      <c r="C6" s="37" t="str">
        <f aca="false">Presupuesto!C113</f>
        <v>ZÓCALO DE HORMIGÓN ARMADO HA-25 DE 0,90 M</v>
      </c>
      <c r="D6" s="38" t="n">
        <v>20.07</v>
      </c>
      <c r="E6" s="38" t="n">
        <v>27.71</v>
      </c>
      <c r="F6" s="25" t="n">
        <f aca="false">E6-D6</f>
        <v>7.64</v>
      </c>
      <c r="G6" s="39" t="n">
        <f aca="false">IF(D6=0,"-",F6/D6)</f>
        <v>0.380667663178874</v>
      </c>
      <c r="H6" s="40" t="n">
        <f aca="false">Presupuesto!J116</f>
        <v>365.9</v>
      </c>
      <c r="I6" s="25" t="n">
        <f aca="false">ROUND(D6*H6,2)</f>
        <v>7343.61</v>
      </c>
      <c r="J6" s="40" t="n">
        <f aca="false">Presupuesto!K116</f>
        <v>10139.09</v>
      </c>
      <c r="K6" s="25" t="n">
        <f aca="false">J6-I6</f>
        <v>2795.48</v>
      </c>
      <c r="L6" s="22" t="s">
        <v>1194</v>
      </c>
    </row>
    <row r="7" customFormat="false" ht="15" hidden="false" customHeight="true" outlineLevel="0" collapsed="false">
      <c r="A7" s="37" t="str">
        <f aca="false">Presupuesto!A121</f>
        <v>05.01.05</v>
      </c>
      <c r="B7" s="37" t="str">
        <f aca="false">Presupuesto!B121</f>
        <v>m2</v>
      </c>
      <c r="C7" s="37" t="str">
        <f aca="false">Presupuesto!C121</f>
        <v>FORJADO SANITARIO CUPOLEX CON CAPA DE COMPRESIÓN</v>
      </c>
      <c r="D7" s="38" t="n">
        <v>111</v>
      </c>
      <c r="E7" s="38" t="n">
        <v>109.16</v>
      </c>
      <c r="F7" s="25" t="n">
        <f aca="false">E7-D7</f>
        <v>-1.84</v>
      </c>
      <c r="G7" s="39" t="n">
        <f aca="false">IF(D7=0,"-",F7/D7)</f>
        <v>-0.0165765765765766</v>
      </c>
      <c r="H7" s="40" t="n">
        <f aca="false">Presupuesto!J124</f>
        <v>60.2</v>
      </c>
      <c r="I7" s="25" t="n">
        <f aca="false">ROUND(D7*H7,2)</f>
        <v>6682.2</v>
      </c>
      <c r="J7" s="40" t="n">
        <f aca="false">Presupuesto!K124</f>
        <v>6571.43</v>
      </c>
      <c r="K7" s="25" t="n">
        <f aca="false">J7-I7</f>
        <v>-110.77</v>
      </c>
      <c r="L7" s="22" t="s">
        <v>1195</v>
      </c>
    </row>
    <row r="8" customFormat="false" ht="53.25" hidden="false" customHeight="true" outlineLevel="0" collapsed="false">
      <c r="A8" s="37" t="str">
        <f aca="false">Presupuesto!A126</f>
        <v>05.02.01</v>
      </c>
      <c r="B8" s="37" t="str">
        <f aca="false">Presupuesto!B126</f>
        <v>m2</v>
      </c>
      <c r="C8" s="37" t="str">
        <f aca="false">Presupuesto!C126</f>
        <v>FORJADO UNIDIRECCIONAL DE VIGUETAS Y BOVEDILLAS DE EPS 20+5</v>
      </c>
      <c r="D8" s="38" t="n">
        <v>238</v>
      </c>
      <c r="E8" s="38" t="n">
        <v>244.83</v>
      </c>
      <c r="F8" s="25" t="n">
        <f aca="false">E8-D8</f>
        <v>6.83000000000001</v>
      </c>
      <c r="G8" s="39" t="n">
        <f aca="false">IF(D8=0,"-",F8/D8)</f>
        <v>0.0286974789915967</v>
      </c>
      <c r="H8" s="40" t="n">
        <f aca="false">Presupuesto!J131</f>
        <v>74</v>
      </c>
      <c r="I8" s="25" t="n">
        <f aca="false">ROUND(D8*H8,2)</f>
        <v>17612</v>
      </c>
      <c r="J8" s="40" t="n">
        <f aca="false">Presupuesto!K131</f>
        <v>18117.42</v>
      </c>
      <c r="K8" s="25" t="n">
        <f aca="false">J8-I8</f>
        <v>505.419999999998</v>
      </c>
      <c r="L8" s="22" t="s">
        <v>1196</v>
      </c>
    </row>
    <row r="9" customFormat="false" ht="21.75" hidden="false" customHeight="true" outlineLevel="0" collapsed="false">
      <c r="A9" s="37" t="str">
        <f aca="false">Presupuesto!A132</f>
        <v>05.02.02</v>
      </c>
      <c r="B9" s="37" t="str">
        <f aca="false">Presupuesto!B132</f>
        <v>m3</v>
      </c>
      <c r="C9" s="37" t="str">
        <f aca="false">Presupuesto!C132</f>
        <v>VIGAS DE HORMIGÓN ARMADO HA-25 (PLANAS Y DESCOLGADAS)</v>
      </c>
      <c r="D9" s="38" t="n">
        <v>0</v>
      </c>
      <c r="E9" s="38" t="n">
        <v>0</v>
      </c>
      <c r="F9" s="25" t="n">
        <f aca="false">E9-D9</f>
        <v>0</v>
      </c>
      <c r="G9" s="39" t="str">
        <f aca="false">IF(D9=0,"-",F9/D9)</f>
        <v>-</v>
      </c>
      <c r="H9" s="40" t="n">
        <f aca="false">Presupuesto!J135</f>
        <v>420</v>
      </c>
      <c r="I9" s="25" t="n">
        <f aca="false">ROUND(D9*H9,2)</f>
        <v>0</v>
      </c>
      <c r="J9" s="40" t="n">
        <f aca="false">Presupuesto!K135</f>
        <v>8051.4</v>
      </c>
      <c r="K9" s="25" t="n">
        <f aca="false">J9-I9</f>
        <v>8051.4</v>
      </c>
      <c r="L9" s="22" t="s">
        <v>1197</v>
      </c>
    </row>
    <row r="10" customFormat="false" ht="21.75" hidden="false" customHeight="true" outlineLevel="0" collapsed="false">
      <c r="A10" s="37" t="str">
        <f aca="false">Presupuesto!A140</f>
        <v>05.02.04</v>
      </c>
      <c r="B10" s="37" t="str">
        <f aca="false">Presupuesto!B140</f>
        <v>m</v>
      </c>
      <c r="C10" s="37" t="str">
        <f aca="false">Presupuesto!C140</f>
        <v>ZUNCHO DE CORONACIÓN Y DINTEL EN PIEZA U DE YTONG</v>
      </c>
      <c r="D10" s="38" t="n">
        <v>198</v>
      </c>
      <c r="E10" s="38" t="n">
        <v>217.53</v>
      </c>
      <c r="F10" s="25" t="n">
        <f aca="false">E10-D10</f>
        <v>19.53</v>
      </c>
      <c r="G10" s="39" t="n">
        <f aca="false">IF(D10=0,"-",F10/D10)</f>
        <v>0.0986363636363637</v>
      </c>
      <c r="H10" s="40" t="n">
        <f aca="false">Presupuesto!J145</f>
        <v>46</v>
      </c>
      <c r="I10" s="25" t="n">
        <f aca="false">ROUND(D10*H10,2)</f>
        <v>9108</v>
      </c>
      <c r="J10" s="40" t="n">
        <f aca="false">Presupuesto!K145</f>
        <v>10006.38</v>
      </c>
      <c r="K10" s="25" t="n">
        <f aca="false">J10-I10</f>
        <v>898.379999999999</v>
      </c>
      <c r="L10" s="22" t="s">
        <v>1198</v>
      </c>
    </row>
    <row r="11" customFormat="false" ht="15" hidden="false" customHeight="true" outlineLevel="0" collapsed="false">
      <c r="A11" s="37" t="str">
        <f aca="false">Presupuesto!A154</f>
        <v>05.02.07</v>
      </c>
      <c r="B11" s="37" t="str">
        <f aca="false">Presupuesto!B154</f>
        <v>m2</v>
      </c>
      <c r="C11" s="37" t="str">
        <f aca="false">Presupuesto!C154</f>
        <v>LOSA ARMADA DE HORMIGÓN CELULAR YTONG PARA CUBIERTA, 25 CM</v>
      </c>
      <c r="D11" s="38" t="n">
        <v>70</v>
      </c>
      <c r="E11" s="38" t="n">
        <v>82.13</v>
      </c>
      <c r="F11" s="25" t="n">
        <f aca="false">E11-D11</f>
        <v>12.13</v>
      </c>
      <c r="G11" s="39" t="n">
        <f aca="false">IF(D11=0,"-",F11/D11)</f>
        <v>0.173285714285714</v>
      </c>
      <c r="H11" s="40" t="n">
        <f aca="false">Presupuesto!J157</f>
        <v>108</v>
      </c>
      <c r="I11" s="25" t="n">
        <f aca="false">ROUND(D11*H11,2)</f>
        <v>7560</v>
      </c>
      <c r="J11" s="40" t="n">
        <f aca="false">Presupuesto!K157</f>
        <v>8870.04</v>
      </c>
      <c r="K11" s="25" t="n">
        <f aca="false">J11-I11</f>
        <v>1310.04</v>
      </c>
      <c r="L11" s="22" t="s">
        <v>1199</v>
      </c>
    </row>
    <row r="12" customFormat="false" ht="21.75" hidden="false" customHeight="true" outlineLevel="0" collapsed="false">
      <c r="A12" s="37" t="str">
        <f aca="false">Presupuesto!A167</f>
        <v>05.02.10</v>
      </c>
      <c r="B12" s="37" t="str">
        <f aca="false">Presupuesto!B167</f>
        <v>kg</v>
      </c>
      <c r="C12" s="37" t="str">
        <f aca="false">Presupuesto!C167</f>
        <v>ZANCAS DE PLETINA 200×12 S275 DE LA ESCALERA</v>
      </c>
      <c r="D12" s="38" t="n">
        <v>0</v>
      </c>
      <c r="E12" s="38" t="n">
        <v>0</v>
      </c>
      <c r="F12" s="25" t="n">
        <f aca="false">E12-D12</f>
        <v>0</v>
      </c>
      <c r="G12" s="39" t="str">
        <f aca="false">IF(D12=0,"-",F12/D12)</f>
        <v>-</v>
      </c>
      <c r="H12" s="40" t="n">
        <f aca="false">Presupuesto!J170</f>
        <v>3.2</v>
      </c>
      <c r="I12" s="25" t="n">
        <f aca="false">ROUND(D12*H12,2)</f>
        <v>0</v>
      </c>
      <c r="J12" s="40" t="n">
        <f aca="false">Presupuesto!K170</f>
        <v>1376</v>
      </c>
      <c r="K12" s="25" t="n">
        <f aca="false">J12-I12</f>
        <v>1376</v>
      </c>
      <c r="L12" s="22" t="s">
        <v>1200</v>
      </c>
    </row>
    <row r="13" customFormat="false" ht="15" hidden="false" customHeight="true" outlineLevel="0" collapsed="false">
      <c r="A13" s="37" t="str">
        <f aca="false">Presupuesto!A171</f>
        <v>05.02.11</v>
      </c>
      <c r="B13" s="37" t="str">
        <f aca="false">Presupuesto!B171</f>
        <v>m2</v>
      </c>
      <c r="C13" s="37" t="str">
        <f aca="false">Presupuesto!C171</f>
        <v>FORJADO UNIDIRECCIONAL DE VIGUETAS Y BOVEDILLAS DE EPS 15+5 (TERRAZA DE PLANTA SEGUNDA)</v>
      </c>
      <c r="D13" s="38" t="n">
        <v>0</v>
      </c>
      <c r="E13" s="38" t="n">
        <v>11.08</v>
      </c>
      <c r="F13" s="25" t="n">
        <f aca="false">E13-D13</f>
        <v>11.08</v>
      </c>
      <c r="G13" s="39" t="str">
        <f aca="false">IF(D13=0,"-",F13/D13)</f>
        <v>-</v>
      </c>
      <c r="H13" s="40" t="n">
        <f aca="false">Presupuesto!J174</f>
        <v>68</v>
      </c>
      <c r="I13" s="25" t="n">
        <f aca="false">ROUND(D13*H13,2)</f>
        <v>0</v>
      </c>
      <c r="J13" s="40" t="n">
        <f aca="false">Presupuesto!K174</f>
        <v>753.44</v>
      </c>
      <c r="K13" s="25" t="n">
        <f aca="false">J13-I13</f>
        <v>753.44</v>
      </c>
      <c r="L13" s="22" t="s">
        <v>1201</v>
      </c>
    </row>
    <row r="14" customFormat="false" ht="15" hidden="false" customHeight="true" outlineLevel="0" collapsed="false">
      <c r="A14" s="37" t="str">
        <f aca="false">Presupuesto!A182</f>
        <v>06.01</v>
      </c>
      <c r="B14" s="37" t="str">
        <f aca="false">Presupuesto!B182</f>
        <v>m2</v>
      </c>
      <c r="C14" s="37" t="str">
        <f aca="false">Presupuesto!C182</f>
        <v>FÁBRICA DE HORMIGÓN CELULAR YTONG 30 CM, D350 (FACHADAS)</v>
      </c>
      <c r="D14" s="38" t="n">
        <v>85.85</v>
      </c>
      <c r="E14" s="38" t="n">
        <v>83.88</v>
      </c>
      <c r="F14" s="25" t="n">
        <f aca="false">E14-D14</f>
        <v>-1.97</v>
      </c>
      <c r="G14" s="39" t="n">
        <f aca="false">IF(D14=0,"-",F14/D14)</f>
        <v>-0.0229470005824112</v>
      </c>
      <c r="H14" s="40" t="n">
        <f aca="false">Presupuesto!J192</f>
        <v>82</v>
      </c>
      <c r="I14" s="25" t="n">
        <f aca="false">ROUND(D14*H14,2)</f>
        <v>7039.7</v>
      </c>
      <c r="J14" s="40" t="n">
        <f aca="false">Presupuesto!K192</f>
        <v>6878.16</v>
      </c>
      <c r="K14" s="25" t="n">
        <f aca="false">J14-I14</f>
        <v>-161.54</v>
      </c>
      <c r="L14" s="22" t="s">
        <v>1202</v>
      </c>
    </row>
    <row r="15" customFormat="false" ht="15" hidden="false" customHeight="true" outlineLevel="0" collapsed="false">
      <c r="A15" s="37" t="str">
        <f aca="false">Presupuesto!A193</f>
        <v>06.02</v>
      </c>
      <c r="B15" s="37" t="str">
        <f aca="false">Presupuesto!B193</f>
        <v>m2</v>
      </c>
      <c r="C15" s="37" t="str">
        <f aca="false">Presupuesto!C193</f>
        <v>FÁBRICA DE HORMIGÓN CELULAR YTONG 20 CM, D350 (MUROS A PATIO)</v>
      </c>
      <c r="D15" s="38" t="n">
        <v>70.54</v>
      </c>
      <c r="E15" s="38" t="n">
        <v>83.8</v>
      </c>
      <c r="F15" s="25" t="n">
        <f aca="false">E15-D15</f>
        <v>13.26</v>
      </c>
      <c r="G15" s="39" t="n">
        <f aca="false">IF(D15=0,"-",F15/D15)</f>
        <v>0.18797845194216</v>
      </c>
      <c r="H15" s="40" t="n">
        <f aca="false">Presupuesto!J199</f>
        <v>58</v>
      </c>
      <c r="I15" s="25" t="n">
        <f aca="false">ROUND(D15*H15,2)</f>
        <v>4091.32</v>
      </c>
      <c r="J15" s="40" t="n">
        <f aca="false">Presupuesto!K199</f>
        <v>4860.4</v>
      </c>
      <c r="K15" s="25" t="n">
        <f aca="false">J15-I15</f>
        <v>769.08</v>
      </c>
      <c r="L15" s="22" t="s">
        <v>1203</v>
      </c>
    </row>
    <row r="16" customFormat="false" ht="15" hidden="false" customHeight="true" outlineLevel="0" collapsed="false">
      <c r="A16" s="37" t="str">
        <f aca="false">Presupuesto!A200</f>
        <v>06.03</v>
      </c>
      <c r="B16" s="37" t="str">
        <f aca="false">Presupuesto!B200</f>
        <v>m2</v>
      </c>
      <c r="C16" s="37" t="str">
        <f aca="false">Presupuesto!C200</f>
        <v>FÁBRICA DE HORMIGÓN CELULAR YTONG 20 CM (MEDIANERAS Y MUROS DE CARGA)</v>
      </c>
      <c r="D16" s="38" t="n">
        <v>327.98</v>
      </c>
      <c r="E16" s="38" t="n">
        <v>369.19</v>
      </c>
      <c r="F16" s="25" t="n">
        <f aca="false">E16-D16</f>
        <v>41.21</v>
      </c>
      <c r="G16" s="39" t="n">
        <f aca="false">IF(D16=0,"-",F16/D16)</f>
        <v>0.125647905360083</v>
      </c>
      <c r="H16" s="40" t="n">
        <f aca="false">Presupuesto!J207</f>
        <v>54</v>
      </c>
      <c r="I16" s="25" t="n">
        <f aca="false">ROUND(D16*H16,2)</f>
        <v>17710.92</v>
      </c>
      <c r="J16" s="40" t="n">
        <f aca="false">Presupuesto!K207</f>
        <v>19936.26</v>
      </c>
      <c r="K16" s="25" t="n">
        <f aca="false">J16-I16</f>
        <v>2225.34</v>
      </c>
      <c r="L16" s="22" t="s">
        <v>1204</v>
      </c>
    </row>
    <row r="17" customFormat="false" ht="15" hidden="false" customHeight="true" outlineLevel="0" collapsed="false">
      <c r="A17" s="37" t="str">
        <f aca="false">Presupuesto!A208</f>
        <v>06.04</v>
      </c>
      <c r="B17" s="37" t="str">
        <f aca="false">Presupuesto!B208</f>
        <v>m2</v>
      </c>
      <c r="C17" s="37" t="str">
        <f aca="false">Presupuesto!C208</f>
        <v>JUNTA DE POLIESTIRENO EXPANDIDO 10 MM CONTRA MEDIANERA</v>
      </c>
      <c r="D17" s="38" t="n">
        <v>350.03</v>
      </c>
      <c r="E17" s="38" t="n">
        <v>326.37</v>
      </c>
      <c r="F17" s="25" t="n">
        <f aca="false">E17-D17</f>
        <v>-23.66</v>
      </c>
      <c r="G17" s="39" t="n">
        <f aca="false">IF(D17=0,"-",F17/D17)</f>
        <v>-0.0675942062108961</v>
      </c>
      <c r="H17" s="40" t="n">
        <f aca="false">Presupuesto!J213</f>
        <v>4.8</v>
      </c>
      <c r="I17" s="25" t="n">
        <f aca="false">ROUND(D17*H17,2)</f>
        <v>1680.14</v>
      </c>
      <c r="J17" s="40" t="n">
        <f aca="false">Presupuesto!K213</f>
        <v>1566.58</v>
      </c>
      <c r="K17" s="25" t="n">
        <f aca="false">J17-I17</f>
        <v>-113.56</v>
      </c>
      <c r="L17" s="22" t="s">
        <v>1205</v>
      </c>
    </row>
    <row r="18" customFormat="false" ht="15" hidden="false" customHeight="true" outlineLevel="0" collapsed="false">
      <c r="A18" s="37" t="str">
        <f aca="false">Presupuesto!A214</f>
        <v>06.05</v>
      </c>
      <c r="B18" s="37" t="str">
        <f aca="false">Presupuesto!B214</f>
        <v>m2</v>
      </c>
      <c r="C18" s="37" t="str">
        <f aca="false">Presupuesto!C214</f>
        <v>TRASDOSADO DE HORMIGÓN CELULAR YTONG 7 CM CON CÁMARA</v>
      </c>
      <c r="D18" s="38" t="n">
        <v>83.01</v>
      </c>
      <c r="E18" s="38" t="n">
        <v>96.78</v>
      </c>
      <c r="F18" s="25" t="n">
        <f aca="false">E18-D18</f>
        <v>13.77</v>
      </c>
      <c r="G18" s="39" t="n">
        <f aca="false">IF(D18=0,"-",F18/D18)</f>
        <v>0.165883628478497</v>
      </c>
      <c r="H18" s="40" t="n">
        <f aca="false">Presupuesto!J219</f>
        <v>34</v>
      </c>
      <c r="I18" s="25" t="n">
        <f aca="false">ROUND(D18*H18,2)</f>
        <v>2822.34</v>
      </c>
      <c r="J18" s="40" t="n">
        <f aca="false">Presupuesto!K219</f>
        <v>3290.52</v>
      </c>
      <c r="K18" s="25" t="n">
        <f aca="false">J18-I18</f>
        <v>468.18</v>
      </c>
      <c r="L18" s="22" t="s">
        <v>1206</v>
      </c>
    </row>
    <row r="19" customFormat="false" ht="15" hidden="false" customHeight="true" outlineLevel="0" collapsed="false">
      <c r="A19" s="37" t="str">
        <f aca="false">Presupuesto!A220</f>
        <v>06.06</v>
      </c>
      <c r="B19" s="37" t="str">
        <f aca="false">Presupuesto!B220</f>
        <v>m2</v>
      </c>
      <c r="C19" s="37" t="str">
        <f aca="false">Presupuesto!C220</f>
        <v>TABIQUE DE HORMIGÓN CELULAR YTONG 7 CM</v>
      </c>
      <c r="D19" s="38" t="n">
        <v>77.47</v>
      </c>
      <c r="E19" s="38" t="n">
        <v>103.72</v>
      </c>
      <c r="F19" s="25" t="n">
        <f aca="false">E19-D19</f>
        <v>26.25</v>
      </c>
      <c r="G19" s="39" t="n">
        <f aca="false">IF(D19=0,"-",F19/D19)</f>
        <v>0.338840841616109</v>
      </c>
      <c r="H19" s="40" t="n">
        <f aca="false">Presupuesto!J225</f>
        <v>33</v>
      </c>
      <c r="I19" s="25" t="n">
        <f aca="false">ROUND(D19*H19,2)</f>
        <v>2556.51</v>
      </c>
      <c r="J19" s="40" t="n">
        <f aca="false">Presupuesto!K225</f>
        <v>3422.76</v>
      </c>
      <c r="K19" s="25" t="n">
        <f aca="false">J19-I19</f>
        <v>866.25</v>
      </c>
      <c r="L19" s="22" t="s">
        <v>1207</v>
      </c>
    </row>
    <row r="20" customFormat="false" ht="15" hidden="false" customHeight="true" outlineLevel="0" collapsed="false">
      <c r="A20" s="37" t="str">
        <f aca="false">Presupuesto!A233</f>
        <v>06.08</v>
      </c>
      <c r="B20" s="37" t="str">
        <f aca="false">Presupuesto!B233</f>
        <v>m</v>
      </c>
      <c r="C20" s="37" t="str">
        <f aca="false">Presupuesto!C233</f>
        <v>FRENTE DE FORJADO CON PLAQUETA YTONG Y XPS 4 CM</v>
      </c>
      <c r="D20" s="38" t="n">
        <v>62.72</v>
      </c>
      <c r="E20" s="38" t="n">
        <v>43.78</v>
      </c>
      <c r="F20" s="25" t="n">
        <f aca="false">E20-D20</f>
        <v>-18.94</v>
      </c>
      <c r="G20" s="39" t="n">
        <f aca="false">IF(D20=0,"-",F20/D20)</f>
        <v>-0.301977040816327</v>
      </c>
      <c r="H20" s="40" t="n">
        <f aca="false">Presupuesto!J237</f>
        <v>29</v>
      </c>
      <c r="I20" s="25" t="n">
        <f aca="false">ROUND(D20*H20,2)</f>
        <v>1818.88</v>
      </c>
      <c r="J20" s="40" t="n">
        <f aca="false">Presupuesto!K237</f>
        <v>1269.62</v>
      </c>
      <c r="K20" s="25" t="n">
        <f aca="false">J20-I20</f>
        <v>-549.26</v>
      </c>
      <c r="L20" s="22" t="s">
        <v>1208</v>
      </c>
    </row>
    <row r="21" customFormat="false" ht="15" hidden="false" customHeight="true" outlineLevel="0" collapsed="false">
      <c r="A21" s="37" t="str">
        <f aca="false">Presupuesto!A261</f>
        <v>07.01</v>
      </c>
      <c r="B21" s="37" t="str">
        <f aca="false">Presupuesto!B261</f>
        <v>m2</v>
      </c>
      <c r="C21" s="37" t="str">
        <f aca="false">Presupuesto!C261</f>
        <v>AISLAMIENTO XPS 10 CM SOBRE LOSA DE CUBIERTA</v>
      </c>
      <c r="D21" s="38" t="n">
        <v>70</v>
      </c>
      <c r="E21" s="38" t="n">
        <v>82.13</v>
      </c>
      <c r="F21" s="25" t="n">
        <f aca="false">E21-D21</f>
        <v>12.13</v>
      </c>
      <c r="G21" s="39" t="n">
        <f aca="false">IF(D21=0,"-",F21/D21)</f>
        <v>0.173285714285714</v>
      </c>
      <c r="H21" s="40" t="n">
        <f aca="false">Presupuesto!J264</f>
        <v>17.5</v>
      </c>
      <c r="I21" s="25" t="n">
        <f aca="false">ROUND(D21*H21,2)</f>
        <v>1225</v>
      </c>
      <c r="J21" s="40" t="n">
        <f aca="false">Presupuesto!K264</f>
        <v>1437.28</v>
      </c>
      <c r="K21" s="25" t="n">
        <f aca="false">J21-I21</f>
        <v>212.28</v>
      </c>
      <c r="L21" s="22" t="s">
        <v>1209</v>
      </c>
    </row>
    <row r="22" customFormat="false" ht="15" hidden="false" customHeight="true" outlineLevel="0" collapsed="false">
      <c r="A22" s="37" t="str">
        <f aca="false">Presupuesto!A277</f>
        <v>07.05</v>
      </c>
      <c r="B22" s="37" t="str">
        <f aca="false">Presupuesto!B277</f>
        <v>m²</v>
      </c>
      <c r="C22" s="37" t="str">
        <f aca="false">Presupuesto!C277</f>
        <v>COBERTURA DE TEJA CERÁMICA MIXTA</v>
      </c>
      <c r="D22" s="38" t="n">
        <v>70</v>
      </c>
      <c r="E22" s="38" t="n">
        <v>88.44</v>
      </c>
      <c r="F22" s="25" t="n">
        <f aca="false">E22-D22</f>
        <v>18.44</v>
      </c>
      <c r="G22" s="39" t="n">
        <f aca="false">IF(D22=0,"-",F22/D22)</f>
        <v>0.263428571428571</v>
      </c>
      <c r="H22" s="40" t="n">
        <f aca="false">Presupuesto!J280</f>
        <v>36.12</v>
      </c>
      <c r="I22" s="25" t="n">
        <f aca="false">ROUND(D22*H22,2)</f>
        <v>2528.4</v>
      </c>
      <c r="J22" s="40" t="n">
        <f aca="false">Presupuesto!K280</f>
        <v>3194.45</v>
      </c>
      <c r="K22" s="25" t="n">
        <f aca="false">J22-I22</f>
        <v>666.05</v>
      </c>
      <c r="L22" s="22" t="s">
        <v>1210</v>
      </c>
    </row>
    <row r="23" customFormat="false" ht="53.25" hidden="false" customHeight="true" outlineLevel="0" collapsed="false">
      <c r="A23" s="37" t="str">
        <f aca="false">Presupuesto!A295</f>
        <v>07.09</v>
      </c>
      <c r="B23" s="37" t="str">
        <f aca="false">Presupuesto!B295</f>
        <v>m2</v>
      </c>
      <c r="C23" s="37" t="str">
        <f aca="false">Presupuesto!C295</f>
        <v>AISLAMIENTO XPS 10 CM EN CUBIERTA PLANA</v>
      </c>
      <c r="D23" s="38" t="n">
        <v>77.3</v>
      </c>
      <c r="E23" s="38" t="n">
        <v>29.44</v>
      </c>
      <c r="F23" s="25" t="n">
        <f aca="false">E23-D23</f>
        <v>-47.86</v>
      </c>
      <c r="G23" s="39" t="n">
        <f aca="false">IF(D23=0,"-",F23/D23)</f>
        <v>-0.619146183699871</v>
      </c>
      <c r="H23" s="40" t="n">
        <f aca="false">Presupuesto!J298</f>
        <v>17.5</v>
      </c>
      <c r="I23" s="38" t="n">
        <v>5720.2</v>
      </c>
      <c r="J23" s="40" t="n">
        <f aca="false">Presupuesto!K298</f>
        <v>515.2</v>
      </c>
      <c r="K23" s="25" t="n">
        <f aca="false">J23-I23</f>
        <v>-5205</v>
      </c>
      <c r="L23" s="22" t="s">
        <v>1211</v>
      </c>
    </row>
    <row r="24" customFormat="false" ht="15" hidden="false" customHeight="true" outlineLevel="0" collapsed="false">
      <c r="A24" s="37" t="str">
        <f aca="false">Presupuesto!A307</f>
        <v>07.12</v>
      </c>
      <c r="B24" s="37" t="str">
        <f aca="false">Presupuesto!B307</f>
        <v>m2</v>
      </c>
      <c r="C24" s="37" t="str">
        <f aca="false">Presupuesto!C307</f>
        <v>FORMACIÓN DE PENDIENTES CON MORTERO (1–2 %) EN PATIO, PORCHE, TERRAZA Y CUBIERTA PLANA</v>
      </c>
      <c r="D24" s="38" t="n">
        <v>0</v>
      </c>
      <c r="E24" s="38" t="n">
        <v>70.14</v>
      </c>
      <c r="F24" s="25" t="n">
        <f aca="false">E24-D24</f>
        <v>70.14</v>
      </c>
      <c r="G24" s="39" t="str">
        <f aca="false">IF(D24=0,"-",F24/D24)</f>
        <v>-</v>
      </c>
      <c r="H24" s="40" t="n">
        <f aca="false">Presupuesto!J310</f>
        <v>13</v>
      </c>
      <c r="I24" s="25" t="n">
        <f aca="false">ROUND(D24*H24,2)</f>
        <v>0</v>
      </c>
      <c r="J24" s="40" t="n">
        <f aca="false">Presupuesto!K310</f>
        <v>911.82</v>
      </c>
      <c r="K24" s="25" t="n">
        <f aca="false">J24-I24</f>
        <v>911.82</v>
      </c>
      <c r="L24" s="22" t="s">
        <v>1212</v>
      </c>
    </row>
    <row r="25" customFormat="false" ht="15" hidden="false" customHeight="true" outlineLevel="0" collapsed="false">
      <c r="A25" s="37" t="str">
        <f aca="false">Presupuesto!A311</f>
        <v>07.13</v>
      </c>
      <c r="B25" s="37" t="str">
        <f aca="false">Presupuesto!B311</f>
        <v>m2</v>
      </c>
      <c r="C25" s="37" t="str">
        <f aca="false">Presupuesto!C311</f>
        <v>BARRERA DE VAPOR BAJO EL AISLAMIENTO EN CUBIERTA PLANA, PATIO Y PORCHE</v>
      </c>
      <c r="D25" s="38" t="n">
        <v>0</v>
      </c>
      <c r="E25" s="38" t="n">
        <v>59.06</v>
      </c>
      <c r="F25" s="25" t="n">
        <f aca="false">E25-D25</f>
        <v>59.06</v>
      </c>
      <c r="G25" s="39" t="str">
        <f aca="false">IF(D25=0,"-",F25/D25)</f>
        <v>-</v>
      </c>
      <c r="H25" s="40" t="n">
        <f aca="false">Presupuesto!J314</f>
        <v>3.8</v>
      </c>
      <c r="I25" s="25" t="n">
        <f aca="false">ROUND(D25*H25,2)</f>
        <v>0</v>
      </c>
      <c r="J25" s="40" t="n">
        <f aca="false">Presupuesto!K314</f>
        <v>224.43</v>
      </c>
      <c r="K25" s="25" t="n">
        <f aca="false">J25-I25</f>
        <v>224.43</v>
      </c>
      <c r="L25" s="22" t="s">
        <v>1213</v>
      </c>
    </row>
    <row r="26" customFormat="false" ht="15" hidden="false" customHeight="true" outlineLevel="0" collapsed="false">
      <c r="A26" s="37" t="str">
        <f aca="false">Presupuesto!A318</f>
        <v>08.01</v>
      </c>
      <c r="B26" s="37" t="str">
        <f aca="false">Presupuesto!B318</f>
        <v>m2</v>
      </c>
      <c r="C26" s="37" t="str">
        <f aca="false">Presupuesto!C318</f>
        <v>AISLAMIENTO XPS 10 CM SOBRE FORJADO SANITARIO</v>
      </c>
      <c r="D26" s="38" t="n">
        <v>60</v>
      </c>
      <c r="E26" s="38" t="n">
        <v>59.65</v>
      </c>
      <c r="F26" s="25" t="n">
        <f aca="false">E26-D26</f>
        <v>-0.350000000000001</v>
      </c>
      <c r="G26" s="39" t="n">
        <f aca="false">IF(D26=0,"-",F26/D26)</f>
        <v>-0.00583333333333336</v>
      </c>
      <c r="H26" s="40" t="n">
        <f aca="false">Presupuesto!J321</f>
        <v>16.5</v>
      </c>
      <c r="I26" s="25" t="n">
        <f aca="false">ROUND(D26*H26,2)</f>
        <v>990</v>
      </c>
      <c r="J26" s="40" t="n">
        <f aca="false">Presupuesto!K321</f>
        <v>984.23</v>
      </c>
      <c r="K26" s="25" t="n">
        <f aca="false">J26-I26</f>
        <v>-5.76999999999998</v>
      </c>
      <c r="L26" s="22" t="s">
        <v>1214</v>
      </c>
    </row>
    <row r="27" customFormat="false" ht="21.75" hidden="false" customHeight="true" outlineLevel="0" collapsed="false">
      <c r="A27" s="37" t="str">
        <f aca="false">Presupuesto!A322</f>
        <v>08.02</v>
      </c>
      <c r="B27" s="37" t="str">
        <f aca="false">Presupuesto!B322</f>
        <v>m2</v>
      </c>
      <c r="C27" s="37" t="str">
        <f aca="false">Presupuesto!C322</f>
        <v>XPS 4 CM SOBRE FORJADOS (PASO DE INSTALACIONES)</v>
      </c>
      <c r="D27" s="38" t="n">
        <v>163</v>
      </c>
      <c r="E27" s="38" t="n">
        <v>190.46</v>
      </c>
      <c r="F27" s="25" t="n">
        <f aca="false">E27-D27</f>
        <v>27.46</v>
      </c>
      <c r="G27" s="39" t="n">
        <f aca="false">IF(D27=0,"-",F27/D27)</f>
        <v>0.168466257668712</v>
      </c>
      <c r="H27" s="40" t="n">
        <f aca="false">Presupuesto!J326</f>
        <v>7.47</v>
      </c>
      <c r="I27" s="25" t="n">
        <f aca="false">ROUND(D27*H27,2)</f>
        <v>1217.61</v>
      </c>
      <c r="J27" s="40" t="n">
        <f aca="false">Presupuesto!K326</f>
        <v>1422.74</v>
      </c>
      <c r="K27" s="25" t="n">
        <f aca="false">J27-I27</f>
        <v>205.13</v>
      </c>
      <c r="L27" s="22" t="s">
        <v>1215</v>
      </c>
    </row>
    <row r="28" customFormat="false" ht="21.75" hidden="false" customHeight="true" outlineLevel="0" collapsed="false">
      <c r="A28" s="37" t="str">
        <f aca="false">Presupuesto!A327</f>
        <v>08.03</v>
      </c>
      <c r="B28" s="37" t="str">
        <f aca="false">Presupuesto!B327</f>
        <v>m2</v>
      </c>
      <c r="C28" s="37" t="str">
        <f aca="false">Presupuesto!C327</f>
        <v>LÁMINA ANTIIMPACTO 5 MM Y BANDA PERIMETRAL</v>
      </c>
      <c r="D28" s="38" t="n">
        <v>163</v>
      </c>
      <c r="E28" s="38" t="n">
        <v>219.91</v>
      </c>
      <c r="F28" s="25" t="n">
        <f aca="false">E28-D28</f>
        <v>56.91</v>
      </c>
      <c r="G28" s="39" t="n">
        <f aca="false">IF(D28=0,"-",F28/D28)</f>
        <v>0.349141104294479</v>
      </c>
      <c r="H28" s="40" t="n">
        <f aca="false">Presupuesto!J330</f>
        <v>4.6</v>
      </c>
      <c r="I28" s="25" t="n">
        <f aca="false">ROUND(D28*H28,2)</f>
        <v>749.8</v>
      </c>
      <c r="J28" s="40" t="n">
        <f aca="false">Presupuesto!K330</f>
        <v>1011.59</v>
      </c>
      <c r="K28" s="25" t="n">
        <f aca="false">J28-I28</f>
        <v>261.79</v>
      </c>
      <c r="L28" s="22" t="s">
        <v>1216</v>
      </c>
    </row>
    <row r="29" customFormat="false" ht="21.75" hidden="false" customHeight="true" outlineLevel="0" collapsed="false">
      <c r="A29" s="37" t="str">
        <f aca="false">Presupuesto!A347</f>
        <v>08.08</v>
      </c>
      <c r="B29" s="37" t="str">
        <f aca="false">Presupuesto!B347</f>
        <v>m2</v>
      </c>
      <c r="C29" s="37" t="str">
        <f aca="false">Presupuesto!C347</f>
        <v>IMPERMEABILIZACIÓN CON LÁMINA DE BETÚN MODIFICADO EN PATIO, PORCHE, TERRAZA Y CUBIERTA PLANA</v>
      </c>
      <c r="D29" s="38" t="n">
        <v>0</v>
      </c>
      <c r="E29" s="38" t="n">
        <v>70.14</v>
      </c>
      <c r="F29" s="25" t="n">
        <f aca="false">E29-D29</f>
        <v>70.14</v>
      </c>
      <c r="G29" s="39" t="str">
        <f aca="false">IF(D29=0,"-",F29/D29)</f>
        <v>-</v>
      </c>
      <c r="H29" s="40" t="n">
        <f aca="false">Presupuesto!J350</f>
        <v>22</v>
      </c>
      <c r="I29" s="25" t="n">
        <f aca="false">ROUND(D29*H29,2)</f>
        <v>0</v>
      </c>
      <c r="J29" s="40" t="n">
        <f aca="false">Presupuesto!K350</f>
        <v>1543.08</v>
      </c>
      <c r="K29" s="25" t="n">
        <f aca="false">J29-I29</f>
        <v>1543.08</v>
      </c>
      <c r="L29" s="22" t="s">
        <v>1217</v>
      </c>
    </row>
    <row r="30" customFormat="false" ht="15" hidden="false" customHeight="true" outlineLevel="0" collapsed="false">
      <c r="A30" s="37" t="str">
        <f aca="false">Presupuesto!A354</f>
        <v>09.01</v>
      </c>
      <c r="B30" s="37" t="str">
        <f aca="false">Presupuesto!B354</f>
        <v>m2</v>
      </c>
      <c r="C30" s="37" t="str">
        <f aca="false">Presupuesto!C354</f>
        <v>FALSO TECHO DE PLACA DE YESO LAMINADO 15 MM</v>
      </c>
      <c r="D30" s="38" t="n">
        <v>99.35</v>
      </c>
      <c r="E30" s="38" t="n">
        <v>88.76</v>
      </c>
      <c r="F30" s="25" t="n">
        <f aca="false">E30-D30</f>
        <v>-10.59</v>
      </c>
      <c r="G30" s="39" t="n">
        <f aca="false">IF(D30=0,"-",F30/D30)</f>
        <v>-0.106592853548062</v>
      </c>
      <c r="H30" s="40" t="n">
        <f aca="false">Presupuesto!J357</f>
        <v>27</v>
      </c>
      <c r="I30" s="25" t="n">
        <f aca="false">ROUND(D30*H30,2)</f>
        <v>2682.45</v>
      </c>
      <c r="J30" s="40" t="n">
        <f aca="false">Presupuesto!K357</f>
        <v>2396.52</v>
      </c>
      <c r="K30" s="25" t="n">
        <f aca="false">J30-I30</f>
        <v>-285.93</v>
      </c>
      <c r="L30" s="22" t="s">
        <v>1218</v>
      </c>
    </row>
    <row r="31" customFormat="false" ht="21.75" hidden="false" customHeight="true" outlineLevel="0" collapsed="false">
      <c r="A31" s="37" t="str">
        <f aca="false">Presupuesto!A362</f>
        <v>09.03</v>
      </c>
      <c r="B31" s="37" t="str">
        <f aca="false">Presupuesto!B362</f>
        <v>m2</v>
      </c>
      <c r="C31" s="37" t="str">
        <f aca="false">Presupuesto!C362</f>
        <v>TABICA DE PLACA DE YESO LAMINADO EN LOS BORDES DEL FALSO TECHO</v>
      </c>
      <c r="D31" s="38" t="n">
        <v>0</v>
      </c>
      <c r="E31" s="38" t="n">
        <v>21.35</v>
      </c>
      <c r="F31" s="25" t="n">
        <f aca="false">E31-D31</f>
        <v>21.35</v>
      </c>
      <c r="G31" s="39" t="str">
        <f aca="false">IF(D31=0,"-",F31/D31)</f>
        <v>-</v>
      </c>
      <c r="H31" s="40" t="n">
        <f aca="false">Presupuesto!J365</f>
        <v>34</v>
      </c>
      <c r="I31" s="25" t="n">
        <f aca="false">ROUND(D31*H31,2)</f>
        <v>0</v>
      </c>
      <c r="J31" s="40" t="n">
        <f aca="false">Presupuesto!K365</f>
        <v>725.9</v>
      </c>
      <c r="K31" s="25" t="n">
        <f aca="false">J31-I31</f>
        <v>725.9</v>
      </c>
      <c r="L31" s="22" t="s">
        <v>1219</v>
      </c>
    </row>
    <row r="32" customFormat="false" ht="15" hidden="false" customHeight="true" outlineLevel="0" collapsed="false">
      <c r="A32" s="37" t="str">
        <f aca="false">Presupuesto!A373</f>
        <v>10.01</v>
      </c>
      <c r="B32" s="37" t="str">
        <f aca="false">Presupuesto!B373</f>
        <v>m2</v>
      </c>
      <c r="C32" s="37" t="str">
        <f aca="false">Presupuesto!C373</f>
        <v>MORTERO AUTONIVELANTE DE 4 CM CON SUELO RADIANTE</v>
      </c>
      <c r="D32" s="38" t="n">
        <v>188.3</v>
      </c>
      <c r="E32" s="38" t="n">
        <v>209.42</v>
      </c>
      <c r="F32" s="25" t="n">
        <f aca="false">E32-D32</f>
        <v>21.12</v>
      </c>
      <c r="G32" s="39" t="n">
        <f aca="false">IF(D32=0,"-",F32/D32)</f>
        <v>0.112161444503452</v>
      </c>
      <c r="H32" s="40" t="n">
        <f aca="false">Presupuesto!J376</f>
        <v>15</v>
      </c>
      <c r="I32" s="25" t="n">
        <f aca="false">ROUND(D32*H32,2)</f>
        <v>2824.5</v>
      </c>
      <c r="J32" s="40" t="n">
        <f aca="false">Presupuesto!K376</f>
        <v>3141.3</v>
      </c>
      <c r="K32" s="25" t="n">
        <f aca="false">J32-I32</f>
        <v>316.8</v>
      </c>
      <c r="L32" s="22" t="s">
        <v>1220</v>
      </c>
    </row>
    <row r="33" customFormat="false" ht="15" hidden="false" customHeight="true" outlineLevel="0" collapsed="false">
      <c r="A33" s="37" t="str">
        <f aca="false">Presupuesto!A381</f>
        <v>10.03</v>
      </c>
      <c r="B33" s="37" t="str">
        <f aca="false">Presupuesto!B381</f>
        <v>m2</v>
      </c>
      <c r="C33" s="37" t="str">
        <f aca="false">Presupuesto!C381</f>
        <v>PAVIMENTO CONTINUO DE MICROCEMENTO PULIDO INTERIOR</v>
      </c>
      <c r="D33" s="38" t="n">
        <v>191.01</v>
      </c>
      <c r="E33" s="38" t="n">
        <v>191.76</v>
      </c>
      <c r="F33" s="25" t="n">
        <f aca="false">E33-D33</f>
        <v>0.75</v>
      </c>
      <c r="G33" s="39" t="n">
        <f aca="false">IF(D33=0,"-",F33/D33)</f>
        <v>0.00392649599497409</v>
      </c>
      <c r="H33" s="40" t="n">
        <f aca="false">Presupuesto!J385</f>
        <v>48</v>
      </c>
      <c r="I33" s="25" t="n">
        <f aca="false">ROUND(D33*H33,2)</f>
        <v>9168.48</v>
      </c>
      <c r="J33" s="40" t="n">
        <f aca="false">Presupuesto!K385</f>
        <v>9204.48</v>
      </c>
      <c r="K33" s="25" t="n">
        <f aca="false">J33-I33</f>
        <v>36</v>
      </c>
      <c r="L33" s="22" t="s">
        <v>1221</v>
      </c>
    </row>
    <row r="34" customFormat="false" ht="15" hidden="false" customHeight="true" outlineLevel="0" collapsed="false">
      <c r="A34" s="37" t="str">
        <f aca="false">Presupuesto!A386</f>
        <v>10.04</v>
      </c>
      <c r="B34" s="37" t="str">
        <f aca="false">Presupuesto!B386</f>
        <v>m2</v>
      </c>
      <c r="C34" s="37" t="str">
        <f aca="false">Presupuesto!C386</f>
        <v>PAVIMENTO CONTINUO DE MICROCEMENTO EXTERIOR</v>
      </c>
      <c r="D34" s="38" t="n">
        <v>91.93</v>
      </c>
      <c r="E34" s="38" t="n">
        <v>70.14</v>
      </c>
      <c r="F34" s="25" t="n">
        <f aca="false">E34-D34</f>
        <v>-21.79</v>
      </c>
      <c r="G34" s="39" t="n">
        <f aca="false">IF(D34=0,"-",F34/D34)</f>
        <v>-0.237028173610356</v>
      </c>
      <c r="H34" s="40" t="n">
        <f aca="false">Presupuesto!J390</f>
        <v>56</v>
      </c>
      <c r="I34" s="25" t="n">
        <f aca="false">ROUND(D34*H34,2)</f>
        <v>5148.08</v>
      </c>
      <c r="J34" s="40" t="n">
        <f aca="false">Presupuesto!K390</f>
        <v>3927.84</v>
      </c>
      <c r="K34" s="25" t="n">
        <f aca="false">J34-I34</f>
        <v>-1220.24</v>
      </c>
      <c r="L34" s="22" t="s">
        <v>1222</v>
      </c>
    </row>
    <row r="35" customFormat="false" ht="15" hidden="false" customHeight="true" outlineLevel="0" collapsed="false">
      <c r="A35" s="37" t="str">
        <f aca="false">Presupuesto!A391</f>
        <v>10.05</v>
      </c>
      <c r="B35" s="37" t="str">
        <f aca="false">Presupuesto!B391</f>
        <v>m2</v>
      </c>
      <c r="C35" s="37" t="str">
        <f aca="false">Presupuesto!C391</f>
        <v>PAVIMENTO DE GRES PORCELÁNICO EN BAÑOS Y ASEOS</v>
      </c>
      <c r="D35" s="38" t="n">
        <v>17.81</v>
      </c>
      <c r="E35" s="38" t="n">
        <v>17.66</v>
      </c>
      <c r="F35" s="25" t="n">
        <f aca="false">E35-D35</f>
        <v>-0.149999999999999</v>
      </c>
      <c r="G35" s="39" t="n">
        <f aca="false">IF(D35=0,"-",F35/D35)</f>
        <v>-0.00842223469960688</v>
      </c>
      <c r="H35" s="40" t="n">
        <f aca="false">Presupuesto!J394</f>
        <v>54</v>
      </c>
      <c r="I35" s="25" t="n">
        <f aca="false">ROUND(D35*H35,2)</f>
        <v>961.74</v>
      </c>
      <c r="J35" s="40" t="n">
        <f aca="false">Presupuesto!K394</f>
        <v>953.64</v>
      </c>
      <c r="K35" s="25" t="n">
        <f aca="false">J35-I35</f>
        <v>-8.10000000000002</v>
      </c>
      <c r="L35" s="22" t="s">
        <v>1223</v>
      </c>
    </row>
    <row r="36" customFormat="false" ht="15" hidden="false" customHeight="true" outlineLevel="0" collapsed="false">
      <c r="A36" s="37" t="str">
        <f aca="false">Presupuesto!A395</f>
        <v>10.06</v>
      </c>
      <c r="B36" s="37" t="str">
        <f aca="false">Presupuesto!B395</f>
        <v>m2</v>
      </c>
      <c r="C36" s="37" t="str">
        <f aca="false">Presupuesto!C395</f>
        <v>PAVIMENTO CONTINUO DE CUARZO EN GARAJE</v>
      </c>
      <c r="D36" s="38" t="n">
        <v>49.52</v>
      </c>
      <c r="E36" s="38" t="n">
        <v>49.52</v>
      </c>
      <c r="F36" s="25" t="n">
        <f aca="false">E36-D36</f>
        <v>0</v>
      </c>
      <c r="G36" s="39" t="n">
        <f aca="false">IF(D36=0,"-",F36/D36)</f>
        <v>0</v>
      </c>
      <c r="H36" s="40" t="n">
        <f aca="false">Presupuesto!J398</f>
        <v>15.61</v>
      </c>
      <c r="I36" s="25" t="n">
        <f aca="false">ROUND(D36*H36,2)</f>
        <v>773.01</v>
      </c>
      <c r="J36" s="40" t="n">
        <f aca="false">Presupuesto!K398</f>
        <v>773.01</v>
      </c>
      <c r="K36" s="25" t="n">
        <f aca="false">J36-I36</f>
        <v>0</v>
      </c>
      <c r="L36" s="22" t="s">
        <v>868</v>
      </c>
    </row>
    <row r="37" customFormat="false" ht="15" hidden="false" customHeight="true" outlineLevel="0" collapsed="false">
      <c r="A37" s="37" t="str">
        <f aca="false">Presupuesto!A407</f>
        <v>10.09</v>
      </c>
      <c r="B37" s="37" t="str">
        <f aca="false">Presupuesto!B407</f>
        <v>m2</v>
      </c>
      <c r="C37" s="37" t="str">
        <f aca="false">Presupuesto!C407</f>
        <v>MORTERO DE PROTECCIÓN DE 4 CM SOBRE LA LÁMINA (PATIO, PORCHE, TERRAZA Y CUBIERTA PLANA)</v>
      </c>
      <c r="D37" s="38" t="n">
        <v>0</v>
      </c>
      <c r="E37" s="38" t="n">
        <v>70.14</v>
      </c>
      <c r="F37" s="25" t="n">
        <f aca="false">E37-D37</f>
        <v>70.14</v>
      </c>
      <c r="G37" s="39" t="str">
        <f aca="false">IF(D37=0,"-",F37/D37)</f>
        <v>-</v>
      </c>
      <c r="H37" s="40" t="n">
        <f aca="false">Presupuesto!J410</f>
        <v>15</v>
      </c>
      <c r="I37" s="25" t="n">
        <f aca="false">ROUND(D37*H37,2)</f>
        <v>0</v>
      </c>
      <c r="J37" s="40" t="n">
        <f aca="false">Presupuesto!K410</f>
        <v>1052.1</v>
      </c>
      <c r="K37" s="25" t="n">
        <f aca="false">J37-I37</f>
        <v>1052.1</v>
      </c>
      <c r="L37" s="22" t="s">
        <v>1224</v>
      </c>
    </row>
    <row r="38" customFormat="false" ht="15" hidden="false" customHeight="true" outlineLevel="0" collapsed="false">
      <c r="A38" s="37" t="str">
        <f aca="false">Presupuesto!A414</f>
        <v>11.01</v>
      </c>
      <c r="B38" s="37" t="str">
        <f aca="false">Presupuesto!B414</f>
        <v>m²</v>
      </c>
      <c r="C38" s="37" t="str">
        <f aca="false">Presupuesto!C414</f>
        <v>REVOCO DE CAL / MONOCAPA EN FACHADAS Y PATIOS</v>
      </c>
      <c r="D38" s="38" t="n">
        <v>196.3</v>
      </c>
      <c r="E38" s="38" t="n">
        <v>317.11</v>
      </c>
      <c r="F38" s="25" t="n">
        <f aca="false">E38-D38</f>
        <v>120.81</v>
      </c>
      <c r="G38" s="39" t="n">
        <f aca="false">IF(D38=0,"-",F38/D38)</f>
        <v>0.615435557819664</v>
      </c>
      <c r="H38" s="40" t="n">
        <f aca="false">Presupuesto!J419</f>
        <v>29.56</v>
      </c>
      <c r="I38" s="25" t="n">
        <f aca="false">ROUND(D38*H38,2)</f>
        <v>5802.63</v>
      </c>
      <c r="J38" s="40" t="n">
        <f aca="false">Presupuesto!K419</f>
        <v>9373.77</v>
      </c>
      <c r="K38" s="25" t="n">
        <f aca="false">J38-I38</f>
        <v>3571.14</v>
      </c>
      <c r="L38" s="22" t="s">
        <v>1225</v>
      </c>
    </row>
    <row r="39" customFormat="false" ht="21.75" hidden="false" customHeight="true" outlineLevel="0" collapsed="false">
      <c r="A39" s="37" t="str">
        <f aca="false">Presupuesto!A420</f>
        <v>11.02</v>
      </c>
      <c r="B39" s="37" t="str">
        <f aca="false">Presupuesto!B420</f>
        <v>m2</v>
      </c>
      <c r="C39" s="37" t="str">
        <f aca="false">Presupuesto!C420</f>
        <v>GUARNECIDO Y ENLUCIDO DE YESO EN PAREDES Y TECHOS</v>
      </c>
      <c r="D39" s="38" t="n">
        <v>701.6</v>
      </c>
      <c r="E39" s="38" t="n">
        <v>925.05</v>
      </c>
      <c r="F39" s="25" t="n">
        <f aca="false">E39-D39</f>
        <v>223.45</v>
      </c>
      <c r="G39" s="39" t="n">
        <f aca="false">IF(D39=0,"-",F39/D39)</f>
        <v>0.318486316989738</v>
      </c>
      <c r="H39" s="40" t="n">
        <f aca="false">Presupuesto!J429</f>
        <v>14</v>
      </c>
      <c r="I39" s="25" t="n">
        <f aca="false">ROUND(D39*H39,2)</f>
        <v>9822.4</v>
      </c>
      <c r="J39" s="40" t="n">
        <f aca="false">Presupuesto!K429</f>
        <v>12950.7</v>
      </c>
      <c r="K39" s="25" t="n">
        <f aca="false">J39-I39</f>
        <v>3128.3</v>
      </c>
      <c r="L39" s="22" t="s">
        <v>1226</v>
      </c>
    </row>
    <row r="40" customFormat="false" ht="15" hidden="false" customHeight="true" outlineLevel="0" collapsed="false">
      <c r="A40" s="37" t="str">
        <f aca="false">Presupuesto!A430</f>
        <v>11.03</v>
      </c>
      <c r="B40" s="37" t="str">
        <f aca="false">Presupuesto!B430</f>
        <v>m2</v>
      </c>
      <c r="C40" s="37" t="str">
        <f aca="false">Presupuesto!C430</f>
        <v>ALICATADO CERÁMICO 10 MM EN BAÑOS Y ASEOS</v>
      </c>
      <c r="D40" s="38" t="n">
        <v>67.81</v>
      </c>
      <c r="E40" s="38" t="n">
        <v>88.06</v>
      </c>
      <c r="F40" s="25" t="n">
        <f aca="false">E40-D40</f>
        <v>20.25</v>
      </c>
      <c r="G40" s="39" t="n">
        <f aca="false">IF(D40=0,"-",F40/D40)</f>
        <v>0.298628520867129</v>
      </c>
      <c r="H40" s="40" t="n">
        <f aca="false">Presupuesto!J437</f>
        <v>64</v>
      </c>
      <c r="I40" s="25" t="n">
        <f aca="false">ROUND(D40*H40,2)</f>
        <v>4339.84</v>
      </c>
      <c r="J40" s="40" t="n">
        <f aca="false">Presupuesto!K437</f>
        <v>5635.84</v>
      </c>
      <c r="K40" s="25" t="n">
        <f aca="false">J40-I40</f>
        <v>1296</v>
      </c>
      <c r="L40" s="22" t="s">
        <v>1227</v>
      </c>
    </row>
    <row r="41" customFormat="false" ht="15" hidden="false" customHeight="true" outlineLevel="0" collapsed="false">
      <c r="A41" s="37" t="str">
        <f aca="false">Presupuesto!A445</f>
        <v>12.01</v>
      </c>
      <c r="B41" s="37" t="str">
        <f aca="false">Presupuesto!B445</f>
        <v>ud</v>
      </c>
      <c r="C41" s="37" t="str">
        <f aca="false">Presupuesto!C445</f>
        <v>PUERTA DE PASO P2 ENRASADA 0,85 × 2,05</v>
      </c>
      <c r="D41" s="38" t="n">
        <v>7</v>
      </c>
      <c r="E41" s="38" t="n">
        <v>8</v>
      </c>
      <c r="F41" s="25" t="n">
        <f aca="false">E41-D41</f>
        <v>1</v>
      </c>
      <c r="G41" s="39" t="n">
        <f aca="false">IF(D41=0,"-",F41/D41)</f>
        <v>0.142857142857143</v>
      </c>
      <c r="H41" s="40" t="n">
        <f aca="false">Presupuesto!J448</f>
        <v>899.66</v>
      </c>
      <c r="I41" s="25" t="n">
        <f aca="false">ROUND(D41*H41,2)</f>
        <v>6297.62</v>
      </c>
      <c r="J41" s="40" t="n">
        <f aca="false">Presupuesto!K448</f>
        <v>7197.28</v>
      </c>
      <c r="K41" s="25" t="n">
        <f aca="false">J41-I41</f>
        <v>899.66</v>
      </c>
      <c r="L41" s="22" t="s">
        <v>1228</v>
      </c>
    </row>
    <row r="42" customFormat="false" ht="15" hidden="false" customHeight="true" outlineLevel="0" collapsed="false">
      <c r="A42" s="37" t="str">
        <f aca="false">Presupuesto!A449</f>
        <v>12.02</v>
      </c>
      <c r="B42" s="37" t="str">
        <f aca="false">Presupuesto!B449</f>
        <v>ud</v>
      </c>
      <c r="C42" s="37" t="str">
        <f aca="false">Presupuesto!C449</f>
        <v>PUERTA CORREDERA P3 OCULTA EN TABIQUE (VESTIDOR)</v>
      </c>
      <c r="D42" s="38" t="n">
        <v>1</v>
      </c>
      <c r="E42" s="38" t="n">
        <v>1</v>
      </c>
      <c r="F42" s="25" t="n">
        <f aca="false">E42-D42</f>
        <v>0</v>
      </c>
      <c r="G42" s="39" t="n">
        <f aca="false">IF(D42=0,"-",F42/D42)</f>
        <v>0</v>
      </c>
      <c r="H42" s="40" t="n">
        <f aca="false">Presupuesto!J452</f>
        <v>1650</v>
      </c>
      <c r="I42" s="25" t="n">
        <f aca="false">ROUND(D42*H42,2)</f>
        <v>1650</v>
      </c>
      <c r="J42" s="40" t="n">
        <f aca="false">Presupuesto!K452</f>
        <v>1650</v>
      </c>
      <c r="K42" s="25" t="n">
        <f aca="false">J42-I42</f>
        <v>0</v>
      </c>
      <c r="L42" s="22" t="s">
        <v>1229</v>
      </c>
    </row>
    <row r="43" customFormat="false" ht="15" hidden="false" customHeight="true" outlineLevel="0" collapsed="false">
      <c r="A43" s="37" t="str">
        <f aca="false">Presupuesto!A453</f>
        <v>12.03</v>
      </c>
      <c r="B43" s="37" t="str">
        <f aca="false">Presupuesto!B453</f>
        <v>ud</v>
      </c>
      <c r="C43" s="37" t="str">
        <f aca="false">Presupuesto!C453</f>
        <v>PUERTA P4 EI2 45-C5 GARAJE–ALMACÉN</v>
      </c>
      <c r="D43" s="38" t="n">
        <v>1</v>
      </c>
      <c r="E43" s="38" t="n">
        <v>1</v>
      </c>
      <c r="F43" s="25" t="n">
        <f aca="false">E43-D43</f>
        <v>0</v>
      </c>
      <c r="G43" s="39" t="n">
        <f aca="false">IF(D43=0,"-",F43/D43)</f>
        <v>0</v>
      </c>
      <c r="H43" s="40" t="n">
        <f aca="false">Presupuesto!J456</f>
        <v>1250</v>
      </c>
      <c r="I43" s="25" t="n">
        <f aca="false">ROUND(D43*H43,2)</f>
        <v>1250</v>
      </c>
      <c r="J43" s="40" t="n">
        <f aca="false">Presupuesto!K456</f>
        <v>1250</v>
      </c>
      <c r="K43" s="25" t="n">
        <f aca="false">J43-I43</f>
        <v>0</v>
      </c>
      <c r="L43" s="22" t="s">
        <v>1230</v>
      </c>
    </row>
    <row r="44" customFormat="false" ht="15" hidden="false" customHeight="true" outlineLevel="0" collapsed="false">
      <c r="A44" s="37" t="str">
        <f aca="false">Presupuesto!A464</f>
        <v>13.01</v>
      </c>
      <c r="B44" s="37" t="str">
        <f aca="false">Presupuesto!B464</f>
        <v>ud</v>
      </c>
      <c r="C44" s="37" t="str">
        <f aca="false">Presupuesto!C464</f>
        <v>CARPINTERÍA V1 · 1,15 × 2,28, FACHADA C. ANCHA</v>
      </c>
      <c r="D44" s="38" t="n">
        <v>4</v>
      </c>
      <c r="E44" s="38" t="n">
        <v>4</v>
      </c>
      <c r="F44" s="25" t="n">
        <f aca="false">E44-D44</f>
        <v>0</v>
      </c>
      <c r="G44" s="39" t="n">
        <f aca="false">IF(D44=0,"-",F44/D44)</f>
        <v>0</v>
      </c>
      <c r="H44" s="40" t="n">
        <f aca="false">Presupuesto!J467</f>
        <v>1809.53</v>
      </c>
      <c r="I44" s="25" t="n">
        <f aca="false">ROUND(D44*H44,2)</f>
        <v>7238.12</v>
      </c>
      <c r="J44" s="40" t="n">
        <f aca="false">Presupuesto!K467</f>
        <v>7238.12</v>
      </c>
      <c r="K44" s="25" t="n">
        <f aca="false">J44-I44</f>
        <v>0</v>
      </c>
      <c r="L44" s="22" t="s">
        <v>290</v>
      </c>
    </row>
    <row r="45" customFormat="false" ht="15" hidden="false" customHeight="true" outlineLevel="0" collapsed="false">
      <c r="A45" s="37" t="str">
        <f aca="false">Presupuesto!A468</f>
        <v>13.02</v>
      </c>
      <c r="B45" s="37" t="str">
        <f aca="false">Presupuesto!B468</f>
        <v>ud</v>
      </c>
      <c r="C45" s="37" t="str">
        <f aca="false">Presupuesto!C468</f>
        <v>CARPINTERÍA V2 / V3 · FACHADA C. DEL PESO</v>
      </c>
      <c r="D45" s="38" t="n">
        <v>3</v>
      </c>
      <c r="E45" s="38" t="n">
        <v>3</v>
      </c>
      <c r="F45" s="25" t="n">
        <f aca="false">E45-D45</f>
        <v>0</v>
      </c>
      <c r="G45" s="39" t="n">
        <f aca="false">IF(D45=0,"-",F45/D45)</f>
        <v>0</v>
      </c>
      <c r="H45" s="40" t="n">
        <f aca="false">Presupuesto!J471</f>
        <v>2097.6</v>
      </c>
      <c r="I45" s="25" t="n">
        <f aca="false">ROUND(D45*H45,2)</f>
        <v>6292.8</v>
      </c>
      <c r="J45" s="40" t="n">
        <f aca="false">Presupuesto!K471</f>
        <v>6292.8</v>
      </c>
      <c r="K45" s="25" t="n">
        <f aca="false">J45-I45</f>
        <v>0</v>
      </c>
      <c r="L45" s="22" t="s">
        <v>1231</v>
      </c>
    </row>
    <row r="46" customFormat="false" ht="15" hidden="false" customHeight="true" outlineLevel="0" collapsed="false">
      <c r="A46" s="37" t="str">
        <f aca="false">Presupuesto!A472</f>
        <v>13.03</v>
      </c>
      <c r="B46" s="37" t="str">
        <f aca="false">Presupuesto!B472</f>
        <v>ud</v>
      </c>
      <c r="C46" s="37" t="str">
        <f aca="false">Presupuesto!C472</f>
        <v>CARPINTERÍA V4 · PLANTA BAJA, C. ANCHA</v>
      </c>
      <c r="D46" s="38" t="n">
        <v>1</v>
      </c>
      <c r="E46" s="38" t="n">
        <v>1</v>
      </c>
      <c r="F46" s="25" t="n">
        <f aca="false">E46-D46</f>
        <v>0</v>
      </c>
      <c r="G46" s="39" t="n">
        <f aca="false">IF(D46=0,"-",F46/D46)</f>
        <v>0</v>
      </c>
      <c r="H46" s="40" t="n">
        <f aca="false">Presupuesto!J475</f>
        <v>631.56</v>
      </c>
      <c r="I46" s="25" t="n">
        <f aca="false">ROUND(D46*H46,2)</f>
        <v>631.56</v>
      </c>
      <c r="J46" s="40" t="n">
        <f aca="false">Presupuesto!K475</f>
        <v>631.56</v>
      </c>
      <c r="K46" s="25" t="n">
        <f aca="false">J46-I46</f>
        <v>0</v>
      </c>
      <c r="L46" s="22" t="s">
        <v>1232</v>
      </c>
    </row>
    <row r="47" customFormat="false" ht="21.75" hidden="false" customHeight="true" outlineLevel="0" collapsed="false">
      <c r="A47" s="37" t="str">
        <f aca="false">Presupuesto!A476</f>
        <v>13.04</v>
      </c>
      <c r="B47" s="37" t="str">
        <f aca="false">Presupuesto!B476</f>
        <v>ud</v>
      </c>
      <c r="C47" s="37" t="str">
        <f aca="false">Presupuesto!C476</f>
        <v>CARPINTERÍA V5 · FIJO EN ESQUINA AL PATIO PEQUEÑO (PLANTAS 1ª Y 2ª)</v>
      </c>
      <c r="D47" s="38" t="n">
        <v>2</v>
      </c>
      <c r="E47" s="38" t="n">
        <v>2</v>
      </c>
      <c r="F47" s="25" t="n">
        <f aca="false">E47-D47</f>
        <v>0</v>
      </c>
      <c r="G47" s="39" t="n">
        <f aca="false">IF(D47=0,"-",F47/D47)</f>
        <v>0</v>
      </c>
      <c r="H47" s="40" t="n">
        <f aca="false">Presupuesto!J479</f>
        <v>3281.6</v>
      </c>
      <c r="I47" s="25" t="n">
        <f aca="false">ROUND(D47*H47,2)</f>
        <v>6563.2</v>
      </c>
      <c r="J47" s="40" t="n">
        <f aca="false">Presupuesto!K479</f>
        <v>6563.2</v>
      </c>
      <c r="K47" s="25" t="n">
        <f aca="false">J47-I47</f>
        <v>0</v>
      </c>
      <c r="L47" s="22" t="s">
        <v>1233</v>
      </c>
    </row>
    <row r="48" customFormat="false" ht="15" hidden="false" customHeight="true" outlineLevel="0" collapsed="false">
      <c r="A48" s="37" t="str">
        <f aca="false">Presupuesto!A480</f>
        <v>13.05</v>
      </c>
      <c r="B48" s="37" t="str">
        <f aca="false">Presupuesto!B480</f>
        <v>ud</v>
      </c>
      <c r="C48" s="37" t="str">
        <f aca="false">Presupuesto!C480</f>
        <v>CARPINTERÍA V5b · FIJO EN ESQUINA AL PATIO PEQUEÑO (PLANTA BAJA)</v>
      </c>
      <c r="D48" s="38" t="n">
        <v>1</v>
      </c>
      <c r="E48" s="38" t="n">
        <v>1</v>
      </c>
      <c r="F48" s="25" t="n">
        <f aca="false">E48-D48</f>
        <v>0</v>
      </c>
      <c r="G48" s="39" t="n">
        <f aca="false">IF(D48=0,"-",F48/D48)</f>
        <v>0</v>
      </c>
      <c r="H48" s="40" t="n">
        <f aca="false">Presupuesto!J483</f>
        <v>3528</v>
      </c>
      <c r="I48" s="25" t="n">
        <f aca="false">ROUND(D48*H48,2)</f>
        <v>3528</v>
      </c>
      <c r="J48" s="40" t="n">
        <f aca="false">Presupuesto!K483</f>
        <v>3528</v>
      </c>
      <c r="K48" s="25" t="n">
        <f aca="false">J48-I48</f>
        <v>0</v>
      </c>
      <c r="L48" s="22" t="s">
        <v>1234</v>
      </c>
    </row>
    <row r="49" customFormat="false" ht="15" hidden="false" customHeight="true" outlineLevel="0" collapsed="false">
      <c r="A49" s="37" t="str">
        <f aca="false">Presupuesto!A484</f>
        <v>13.06</v>
      </c>
      <c r="B49" s="37" t="str">
        <f aca="false">Presupuesto!B484</f>
        <v>ud</v>
      </c>
      <c r="C49" s="37" t="str">
        <f aca="false">Presupuesto!C484</f>
        <v>CARPINTERÍA V6 · ASEO AL PATIO PEQUEÑO (PLANTAS 1ª Y 2ª)</v>
      </c>
      <c r="D49" s="38" t="n">
        <v>2</v>
      </c>
      <c r="E49" s="38" t="n">
        <v>2</v>
      </c>
      <c r="F49" s="25" t="n">
        <f aca="false">E49-D49</f>
        <v>0</v>
      </c>
      <c r="G49" s="39" t="n">
        <f aca="false">IF(D49=0,"-",F49/D49)</f>
        <v>0</v>
      </c>
      <c r="H49" s="40" t="n">
        <f aca="false">Presupuesto!J487</f>
        <v>483.41</v>
      </c>
      <c r="I49" s="25" t="n">
        <f aca="false">ROUND(D49*H49,2)</f>
        <v>966.82</v>
      </c>
      <c r="J49" s="40" t="n">
        <f aca="false">Presupuesto!K487</f>
        <v>966.82</v>
      </c>
      <c r="K49" s="25" t="n">
        <f aca="false">J49-I49</f>
        <v>0</v>
      </c>
      <c r="L49" s="22" t="s">
        <v>1235</v>
      </c>
    </row>
    <row r="50" customFormat="false" ht="15" hidden="false" customHeight="true" outlineLevel="0" collapsed="false">
      <c r="A50" s="37" t="str">
        <f aca="false">Presupuesto!A488</f>
        <v>13.07</v>
      </c>
      <c r="B50" s="37" t="str">
        <f aca="false">Presupuesto!B488</f>
        <v>ud</v>
      </c>
      <c r="C50" s="37" t="str">
        <f aca="false">Presupuesto!C488</f>
        <v>CARPINTERÍA V6b · ASEO AL PATIO PEQUEÑO (PLANTA BAJA)</v>
      </c>
      <c r="D50" s="38" t="n">
        <v>1</v>
      </c>
      <c r="E50" s="38" t="n">
        <v>1</v>
      </c>
      <c r="F50" s="25" t="n">
        <f aca="false">E50-D50</f>
        <v>0</v>
      </c>
      <c r="G50" s="39" t="n">
        <f aca="false">IF(D50=0,"-",F50/D50)</f>
        <v>0</v>
      </c>
      <c r="H50" s="40" t="n">
        <f aca="false">Presupuesto!J491</f>
        <v>545.79</v>
      </c>
      <c r="I50" s="25" t="n">
        <f aca="false">ROUND(D50*H50,2)</f>
        <v>545.79</v>
      </c>
      <c r="J50" s="40" t="n">
        <f aca="false">Presupuesto!K491</f>
        <v>545.79</v>
      </c>
      <c r="K50" s="25" t="n">
        <f aca="false">J50-I50</f>
        <v>0</v>
      </c>
      <c r="L50" s="22" t="s">
        <v>1236</v>
      </c>
    </row>
    <row r="51" customFormat="false" ht="15" hidden="false" customHeight="true" outlineLevel="0" collapsed="false">
      <c r="A51" s="37" t="str">
        <f aca="false">Presupuesto!A492</f>
        <v>13.08</v>
      </c>
      <c r="B51" s="37" t="str">
        <f aca="false">Presupuesto!B492</f>
        <v>ud</v>
      </c>
      <c r="C51" s="37" t="str">
        <f aca="false">Presupuesto!C492</f>
        <v>CARPINTERÍA V7 · COCINA A PATIO</v>
      </c>
      <c r="D51" s="38" t="n">
        <v>1</v>
      </c>
      <c r="E51" s="38" t="n">
        <v>1</v>
      </c>
      <c r="F51" s="25" t="n">
        <f aca="false">E51-D51</f>
        <v>0</v>
      </c>
      <c r="G51" s="39" t="n">
        <f aca="false">IF(D51=0,"-",F51/D51)</f>
        <v>0</v>
      </c>
      <c r="H51" s="40" t="n">
        <f aca="false">Presupuesto!J495</f>
        <v>1787.1</v>
      </c>
      <c r="I51" s="25" t="n">
        <f aca="false">ROUND(D51*H51,2)</f>
        <v>1787.1</v>
      </c>
      <c r="J51" s="40" t="n">
        <f aca="false">Presupuesto!K495</f>
        <v>1787.1</v>
      </c>
      <c r="K51" s="25" t="n">
        <f aca="false">J51-I51</f>
        <v>0</v>
      </c>
      <c r="L51" s="22" t="s">
        <v>527</v>
      </c>
    </row>
    <row r="52" customFormat="false" ht="15" hidden="false" customHeight="true" outlineLevel="0" collapsed="false">
      <c r="A52" s="37" t="str">
        <f aca="false">Presupuesto!A496</f>
        <v>13.09</v>
      </c>
      <c r="B52" s="37" t="str">
        <f aca="false">Presupuesto!B496</f>
        <v>ud</v>
      </c>
      <c r="C52" s="37" t="str">
        <f aca="false">Presupuesto!C496</f>
        <v>CARPINTERÍA V8 · COCINA, BAJO EL FORJADO</v>
      </c>
      <c r="D52" s="38" t="n">
        <v>1</v>
      </c>
      <c r="E52" s="38" t="n">
        <v>1</v>
      </c>
      <c r="F52" s="25" t="n">
        <f aca="false">E52-D52</f>
        <v>0</v>
      </c>
      <c r="G52" s="39" t="n">
        <f aca="false">IF(D52=0,"-",F52/D52)</f>
        <v>0</v>
      </c>
      <c r="H52" s="40" t="n">
        <f aca="false">Presupuesto!J499</f>
        <v>4092</v>
      </c>
      <c r="I52" s="25" t="n">
        <f aca="false">ROUND(D52*H52,2)</f>
        <v>4092</v>
      </c>
      <c r="J52" s="40" t="n">
        <f aca="false">Presupuesto!K499</f>
        <v>4092</v>
      </c>
      <c r="K52" s="25" t="n">
        <f aca="false">J52-I52</f>
        <v>0</v>
      </c>
      <c r="L52" s="22" t="s">
        <v>1237</v>
      </c>
    </row>
    <row r="53" customFormat="false" ht="15" hidden="false" customHeight="true" outlineLevel="0" collapsed="false">
      <c r="A53" s="37" t="str">
        <f aca="false">Presupuesto!A500</f>
        <v>13.10</v>
      </c>
      <c r="B53" s="37" t="str">
        <f aca="false">Presupuesto!B500</f>
        <v>ud</v>
      </c>
      <c r="C53" s="37" t="str">
        <f aca="false">Presupuesto!C500</f>
        <v>CARPINTERÍA V9 · LAVANDERÍA, CON PANEL OPACO</v>
      </c>
      <c r="D53" s="38" t="n">
        <v>1</v>
      </c>
      <c r="E53" s="38" t="n">
        <v>1</v>
      </c>
      <c r="F53" s="25" t="n">
        <f aca="false">E53-D53</f>
        <v>0</v>
      </c>
      <c r="G53" s="39" t="n">
        <f aca="false">IF(D53=0,"-",F53/D53)</f>
        <v>0</v>
      </c>
      <c r="H53" s="40" t="n">
        <f aca="false">Presupuesto!J503</f>
        <v>2660</v>
      </c>
      <c r="I53" s="25" t="n">
        <f aca="false">ROUND(D53*H53,2)</f>
        <v>2660</v>
      </c>
      <c r="J53" s="40" t="n">
        <f aca="false">Presupuesto!K503</f>
        <v>2660</v>
      </c>
      <c r="K53" s="25" t="n">
        <f aca="false">J53-I53</f>
        <v>0</v>
      </c>
      <c r="L53" s="22" t="s">
        <v>1238</v>
      </c>
    </row>
    <row r="54" customFormat="false" ht="15" hidden="false" customHeight="true" outlineLevel="0" collapsed="false">
      <c r="A54" s="37" t="str">
        <f aca="false">Presupuesto!A504</f>
        <v>13.11</v>
      </c>
      <c r="B54" s="37" t="str">
        <f aca="false">Presupuesto!B504</f>
        <v>ud</v>
      </c>
      <c r="C54" s="37" t="str">
        <f aca="false">Presupuesto!C504</f>
        <v>CARPINTERÍA V11 · BAÑO PRINCIPAL A PATIO</v>
      </c>
      <c r="D54" s="38" t="n">
        <v>1</v>
      </c>
      <c r="E54" s="38" t="n">
        <v>1</v>
      </c>
      <c r="F54" s="25" t="n">
        <f aca="false">E54-D54</f>
        <v>0</v>
      </c>
      <c r="G54" s="39" t="n">
        <f aca="false">IF(D54=0,"-",F54/D54)</f>
        <v>0</v>
      </c>
      <c r="H54" s="40" t="n">
        <f aca="false">Presupuesto!J507</f>
        <v>1428.3</v>
      </c>
      <c r="I54" s="25" t="n">
        <f aca="false">ROUND(D54*H54,2)</f>
        <v>1428.3</v>
      </c>
      <c r="J54" s="40" t="n">
        <f aca="false">Presupuesto!K507</f>
        <v>1428.3</v>
      </c>
      <c r="K54" s="25" t="n">
        <f aca="false">J54-I54</f>
        <v>0</v>
      </c>
      <c r="L54" s="22" t="s">
        <v>1239</v>
      </c>
    </row>
    <row r="55" customFormat="false" ht="42.75" hidden="false" customHeight="true" outlineLevel="0" collapsed="false">
      <c r="A55" s="37" t="str">
        <f aca="false">Presupuesto!A543</f>
        <v>14.03</v>
      </c>
      <c r="B55" s="37" t="str">
        <f aca="false">Presupuesto!B543</f>
        <v>m</v>
      </c>
      <c r="C55" s="37" t="str">
        <f aca="false">Presupuesto!C543</f>
        <v>BARANDILLA DE ACERO LACADO DE BARROTES REDONDOS</v>
      </c>
      <c r="D55" s="38" t="n">
        <v>26</v>
      </c>
      <c r="E55" s="38" t="n">
        <v>24.08</v>
      </c>
      <c r="F55" s="25" t="n">
        <f aca="false">E55-D55</f>
        <v>-1.92</v>
      </c>
      <c r="G55" s="39" t="n">
        <f aca="false">IF(D55=0,"-",F55/D55)</f>
        <v>-0.0738461538461539</v>
      </c>
      <c r="H55" s="40" t="n">
        <f aca="false">Presupuesto!J548</f>
        <v>215</v>
      </c>
      <c r="I55" s="25" t="n">
        <f aca="false">ROUND(D55*H55,2)</f>
        <v>5590</v>
      </c>
      <c r="J55" s="40" t="n">
        <f aca="false">Presupuesto!K548</f>
        <v>5177.2</v>
      </c>
      <c r="K55" s="25" t="n">
        <f aca="false">J55-I55</f>
        <v>-412.8</v>
      </c>
      <c r="L55" s="22" t="s">
        <v>1240</v>
      </c>
    </row>
    <row r="56" customFormat="false" ht="15" hidden="false" customHeight="true" outlineLevel="0" collapsed="false">
      <c r="A56" s="37" t="str">
        <f aca="false">Presupuesto!A549</f>
        <v>14.04</v>
      </c>
      <c r="B56" s="37" t="str">
        <f aca="false">Presupuesto!B549</f>
        <v>ud</v>
      </c>
      <c r="C56" s="37" t="str">
        <f aca="false">Presupuesto!C549</f>
        <v>MINI-BALCÓN DE CHAPA DE ACERO EN VENTANA DE FACHADA</v>
      </c>
      <c r="D56" s="38" t="n">
        <v>7</v>
      </c>
      <c r="E56" s="38" t="n">
        <v>7</v>
      </c>
      <c r="F56" s="25" t="n">
        <f aca="false">E56-D56</f>
        <v>0</v>
      </c>
      <c r="G56" s="39" t="n">
        <f aca="false">IF(D56=0,"-",F56/D56)</f>
        <v>0</v>
      </c>
      <c r="H56" s="40" t="n">
        <f aca="false">Presupuesto!J552</f>
        <v>480</v>
      </c>
      <c r="I56" s="25" t="n">
        <f aca="false">ROUND(D56*H56,2)</f>
        <v>3360</v>
      </c>
      <c r="J56" s="40" t="n">
        <f aca="false">Presupuesto!K552</f>
        <v>3360</v>
      </c>
      <c r="K56" s="25" t="n">
        <f aca="false">J56-I56</f>
        <v>0</v>
      </c>
      <c r="L56" s="22" t="s">
        <v>1241</v>
      </c>
    </row>
    <row r="57" customFormat="false" ht="15" hidden="false" customHeight="true" outlineLevel="0" collapsed="false">
      <c r="A57" s="37" t="str">
        <f aca="false">Presupuesto!A564</f>
        <v>15.01</v>
      </c>
      <c r="B57" s="37" t="str">
        <f aca="false">Presupuesto!B564</f>
        <v>m2</v>
      </c>
      <c r="C57" s="37" t="str">
        <f aca="false">Presupuesto!C564</f>
        <v>PINTURA PLÁSTICA LISA EN PAREDES Y TECHOS</v>
      </c>
      <c r="D57" s="38" t="n">
        <v>818.95</v>
      </c>
      <c r="E57" s="38" t="n">
        <v>1013.81</v>
      </c>
      <c r="F57" s="25" t="n">
        <f aca="false">E57-D57</f>
        <v>194.86</v>
      </c>
      <c r="G57" s="39" t="n">
        <f aca="false">IF(D57=0,"-",F57/D57)</f>
        <v>0.237938824104036</v>
      </c>
      <c r="H57" s="40" t="n">
        <f aca="false">Presupuesto!J568</f>
        <v>6.37</v>
      </c>
      <c r="I57" s="25" t="n">
        <f aca="false">ROUND(D57*H57,2)</f>
        <v>5216.71</v>
      </c>
      <c r="J57" s="40" t="n">
        <f aca="false">Presupuesto!K568</f>
        <v>6457.97</v>
      </c>
      <c r="K57" s="25" t="n">
        <f aca="false">J57-I57</f>
        <v>1241.26</v>
      </c>
      <c r="L57" s="22" t="s">
        <v>1242</v>
      </c>
    </row>
    <row r="58" customFormat="false" ht="15" hidden="false" customHeight="true" outlineLevel="0" collapsed="false">
      <c r="A58" s="37" t="str">
        <f aca="false">Presupuesto!A569</f>
        <v>15.02</v>
      </c>
      <c r="B58" s="37" t="str">
        <f aca="false">Presupuesto!B569</f>
        <v>m²</v>
      </c>
      <c r="C58" s="37" t="str">
        <f aca="false">Presupuesto!C569</f>
        <v>PINTURA AL SILICATO EN EXTERIORES (SI EL REVOCO NO VA COLOREADO)</v>
      </c>
      <c r="D58" s="38" t="n">
        <v>196.3</v>
      </c>
      <c r="E58" s="38" t="n">
        <v>317.11</v>
      </c>
      <c r="F58" s="25" t="n">
        <f aca="false">E58-D58</f>
        <v>120.81</v>
      </c>
      <c r="G58" s="39" t="n">
        <f aca="false">IF(D58=0,"-",F58/D58)</f>
        <v>0.615435557819664</v>
      </c>
      <c r="H58" s="40" t="n">
        <f aca="false">Presupuesto!J572</f>
        <v>7.55</v>
      </c>
      <c r="I58" s="25" t="n">
        <f aca="false">ROUND(D58*H58,2)</f>
        <v>1482.07</v>
      </c>
      <c r="J58" s="40" t="n">
        <f aca="false">Presupuesto!K572</f>
        <v>2394.18</v>
      </c>
      <c r="K58" s="25" t="n">
        <f aca="false">J58-I58</f>
        <v>912.11</v>
      </c>
      <c r="L58" s="22" t="s">
        <v>1243</v>
      </c>
    </row>
    <row r="60" customFormat="false" ht="15" hidden="false" customHeight="true" outlineLevel="0" collapsed="false">
      <c r="C60" s="3" t="s">
        <v>1244</v>
      </c>
      <c r="I60" s="41" t="n">
        <f aca="false">SUM(I6:I58)</f>
        <v>200559.85</v>
      </c>
      <c r="J60" s="41" t="n">
        <f aca="false">SUM(J6:J58)</f>
        <v>229709.74</v>
      </c>
      <c r="K60" s="41" t="n">
        <f aca="false">SUM(K6:K58)</f>
        <v>29149.89</v>
      </c>
    </row>
    <row r="62" customFormat="false" ht="15" hidden="false" customHeight="true" outlineLevel="0" collapsed="false">
      <c r="C62" s="8" t="s">
        <v>1245</v>
      </c>
      <c r="J62" s="38" t="n">
        <v>359203.02</v>
      </c>
    </row>
    <row r="63" customFormat="false" ht="15" hidden="false" customHeight="true" outlineLevel="0" collapsed="false">
      <c r="C63" s="8" t="s">
        <v>1246</v>
      </c>
      <c r="J63" s="40" t="n">
        <f aca="false">Resumen!C41</f>
        <v>379933.02</v>
      </c>
    </row>
    <row r="64" customFormat="false" ht="15" hidden="false" customHeight="true" outlineLevel="0" collapsed="false">
      <c r="C64" s="3" t="s">
        <v>1188</v>
      </c>
      <c r="J64" s="41" t="n">
        <f aca="false">J63-J62</f>
        <v>20730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2026-10-27T22:43:17Z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