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<sst xmlns="http://schemas.openxmlformats.org/spreadsheetml/2006/main" count="2866" uniqueCount="1236">
  <si>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</si>
  <si>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</si>
  <si>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con la estructura del ingeniero (23-oct) y el IFC del 24-oct (muros bajo rasante y revoco)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</si>
  <si>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</si>
  <si>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</si>
  <si>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</si>
  <si>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</si>
  <si>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</si>
  <si>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</si>
  <si>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</si>
  <si>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</si>
  <si>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</si>
  <si>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</si>
  <si>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</si>
  <si>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</si>
  <si>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</si>
  <si>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</si>
  <si>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</si>
  <si>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</si>
  <si>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</si>
  <si>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</si>
  <si>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</si>
  <si>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</si>
  <si>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</si>
  <si>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</si>
  <si>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</si>
  <si>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</si>
  <si>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</si>
  <si>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</si>
  <si>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</si>
  <si>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</si>
  <si>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</si>
  <si>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</si>
  <si>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</si>
  <si>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</si>
  <si>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</si>
  <si>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</si>
  <si>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</si>
  <si>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</si>
  <si>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</si>
  <si>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</si>
  <si>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</si>
  <si>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</si>
  <si>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</si>
  <si>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</si>
  <si>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</si>
  <si>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</si>
  <si>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</si>
  <si>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</si>
  <si>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</si>
  <si>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</si>
  <si>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</si>
  <si>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</si>
  <si>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</si>
  <si>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</si>
  <si>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</si>
  <si>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</si>
  <si>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</si>
  <si>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</si>
  <si>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</si>
  <si>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</si>
  <si>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</si>
  <si>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</si>
  <si>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</si>
  <si>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</si>
  <si>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</si>
  <si>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</si>
  <si>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</si>
  <si>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</si>
  <si>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</si>
  <si>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</si>
  <si>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</si>
  <si>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</si>
  <si>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</si>
  <si>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</si>
  <si>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</si>
  <si>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</si>
  <si>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</si>
  <si>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</si>
  <si>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</si>
  <si>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</si>
  <si>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</si>
  <si>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</si>
  <si>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</si>
  <si>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</si>
  <si>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</si>
  <si>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</si>
  <si>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</si>
  <si>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</si>
  <si>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</si>
  <si>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</si>
  <si>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</si>
  <si>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</si>
  <si>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</si>
  <si>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</si>
  <si>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</si>
  <si>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</si>
  <si>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</si>
  <si>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</si>
  <si>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</si>
  <si>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</si>
  <si>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</si>
  <si>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</si>
  <si>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</si>
  <si>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</si>
  <si>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</si>
  <si>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</si>
  <si>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</si>
  <si>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</si>
  <si>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</si>
  <si>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</si>
  <si>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</si>
  <si>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</si>
  <si>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</si>
  <si>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</si>
  <si>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</si>
  <si>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</si>
  <si>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</si>
  <si>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</si>
  <si>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</si>
  <si>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</si>
  <si>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</si>
  <si>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</si>
  <si>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</si>
  <si>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</si>
  <si>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</si>
  <si>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</si>
  <si>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</si>
  <si>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</si>
  <si>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</si>
  <si>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</si>
  <si>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</si>
  <si>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</si>
  <si>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</si>
  <si>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</si>
  <si>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</si>
  <si>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</si>
  <si>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</si>
  <si>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</si>
  <si>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</si>
  <si>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</si>
  <si>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</si>
  <si>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</si>
  <si>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</si>
  <si>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</si>
  <si>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</si>
  <si>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</si>
  <si>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</si>
  <si>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</si>
  <si>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</si>
  <si>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</si>
  <si>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</si>
  <si>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</si>
  <si>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</si>
  <si>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</si>
  <si>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</si>
  <si>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</si>
  <si>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</si>
  <si>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</si>
  <si>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</si>
  <si>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</si>
  <si>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</si>
  <si>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</si>
  <si>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</si>
  <si>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</si>
  <si>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</si>
  <si>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</si>
  <si>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</si>
  <si>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</si>
  <si>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</si>
  <si>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</si>
  <si>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</si>
  <si>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</si>
  <si>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</si>
  <si>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</si>
  <si>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</si>
  <si>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</si>
  <si>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</si>
  <si>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</si>
  <si>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</si>
  <si>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</si>
  <si>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</si>
  <si>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</si>
  <si>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</si>
  <si>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</si>
  <si>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</si>
  <si>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</si>
  <si>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</si>
  <si>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</si>
  <si>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</si>
  <si>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</si>
  <si>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</si>
  <si>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</si>
  <si>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</si>
  <si>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</si>
  <si>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</si>
  <si>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</si>
  <si>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</si>
  <si>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</si>
  <si>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</si>
  <si>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</si>
  <si>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</si>
  <si>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</si>
  <si>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</si>
  <si>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</si>
  <si>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</si>
  <si>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</si>
  <si>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</si>
  <si>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</si>
  <si>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</si>
  <si>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</si>
  <si>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</si>
  <si>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</si>
  <si>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</si>
  <si>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</si>
  <si>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</si>
  <si>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</si>
  <si>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</si>
  <si>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</si>
  <si>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</si>
  <si>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</si>
  <si>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</si>
  <si>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</si>
  <si>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</si>
  <si>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</si>
  <si>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</si>
  <si>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</si>
  <si>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</si>
  <si>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</si>
  <si>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</si>
  <si>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</si>
  <si>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</si>
  <si>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</si>
  <si>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</si>
  <si>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</si>
  <si>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</si>
  <si>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</si>
  <si>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</si>
  <si>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</si>
  <si>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</si>
  <si>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</si>
  <si>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</si>
  <si>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</si>
  <si>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</si>
  <si>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</si>
  <si>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SOBRE ZANCAS</t>
  </si>
  <si>
    <t xml:space="preserve">Peldaño de chapa de acero plegada de 4 mm, atornillado a los angulares de las zancas, con acabado antideslizante de clase 2, sin empotrar en los muros (detalle D4 del plano LO-E3).</t>
  </si>
  <si>
    <t xml:space="preserve">Planta baja a primera</t>
  </si>
  <si>
    <t xml:space="preserve">Planta primera a segunda</t>
  </si>
  <si>
    <t xml:space="preserve">Sin empotramiento ni anclaje químico en el muro: el peldaño apoya en las zancas (05.02.10)</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</si>
  <si>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</si>
  <si>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</si>
  <si>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</si>
  <si>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</si>
  <si>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</si>
  <si>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</si>
  <si>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de la escalera de pletina de acero S275 de 200×12 mm, dos por tramo (la del muro, adosada sin empotrar), con placas de apoyo ancladas a los brochales del hueco, angulares de apoyo de los peldaños, imprimación anticorrosiva y montaje (detalle D4 del plano LO-E3).</t>
  </si>
  <si>
    <t xml:space="preserve">Planta baja a primera 2 × 6,1 m + primera a segunda 2 × 5,3 m = 22,8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</si>
  <si>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</si>
  <si>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</si>
  <si>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</si>
  <si>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</si>
  <si>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</si>
  <si>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</si>
  <si>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</si>
  <si>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</si>
  <si>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</si>
  <si>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</si>
  <si>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</si>
  <si>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</si>
  <si>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</si>
  <si>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</si>
  <si>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</si>
  <si>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</si>
  <si>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</si>
  <si>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</si>
  <si>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</si>
  <si>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</si>
  <si>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</si>
  <si>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</si>
  <si>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</si>
  <si>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</si>
  <si>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</si>
  <si>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</si>
  <si>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</si>
  <si>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</si>
  <si>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</si>
  <si>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</si>
  <si>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</si>
  <si>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</si>
  <si>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</si>
  <si>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</si>
  <si>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</si>
  <si>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</si>
  <si>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</si>
  <si>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</si>
  <si>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</si>
  <si>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</si>
  <si>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</si>
  <si>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</si>
  <si>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</si>
  <si>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</si>
  <si>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</si>
  <si>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</si>
  <si>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</si>
  <si>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</si>
  <si>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</si>
  <si>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</si>
  <si>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</si>
  <si>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</si>
  <si>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</si>
  <si>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</si>
  <si>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</si>
  <si>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</si>
  <si>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</si>
  <si>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</si>
  <si>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</si>
  <si>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</si>
  <si>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</si>
  <si>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</si>
  <si>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</si>
  <si>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</si>
  <si>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</si>
  <si>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</si>
  <si>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</si>
  <si>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</si>
  <si>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</si>
  <si>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</si>
  <si>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</si>
  <si>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</si>
  <si>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</si>
  <si>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</si>
  <si>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</si>
  <si>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</si>
  <si>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</si>
  <si>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</si>
  <si>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</si>
  <si>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</si>
  <si>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</si>
  <si>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</si>
  <si>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</si>
  <si>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</si>
  <si>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</si>
  <si>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</si>
  <si>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</si>
  <si>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</si>
  <si>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</si>
  <si>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</si>
  <si>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</si>
  <si>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</si>
  <si>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</si>
  <si>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</si>
  <si>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</si>
  <si>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</si>
  <si>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</si>
  <si>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</si>
  <si>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</si>
  <si>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</si>
  <si>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</si>
  <si>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</si>
  <si>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</si>
  <si>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</si>
  <si>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</si>
  <si>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</si>
  <si>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</si>
  <si>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</si>
  <si>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</si>
  <si>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</si>
  <si>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</si>
  <si>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</si>
  <si>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</si>
  <si>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</si>
  <si>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</si>
  <si>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</si>
  <si>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</si>
  <si>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</si>
  <si>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</si>
  <si>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</si>
  <si>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</si>
  <si>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</si>
  <si>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</si>
  <si>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</si>
  <si>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</si>
  <si>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</si>
  <si>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</si>
  <si>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</si>
  <si>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</si>
  <si>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</si>
  <si>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</si>
  <si>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</si>
  <si>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</si>
  <si>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</si>
  <si>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</si>
  <si>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</si>
  <si>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</si>
  <si>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</si>
  <si>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</si>
  <si>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</si>
  <si>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</si>
  <si>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</si>
  <si>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</si>
  <si>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</si>
  <si>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</si>
  <si>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</si>
  <si>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</si>
  <si>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</si>
  <si>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</si>
  <si>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</si>
  <si>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</si>
  <si>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</si>
  <si>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</si>
  <si>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</si>
  <si>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</si>
  <si>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</si>
  <si>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</si>
  <si>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</si>
  <si>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</si>
  <si>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</si>
  <si>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</si>
  <si>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</si>
  <si>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</si>
  <si>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</si>
  <si>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</si>
  <si>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</si>
  <si>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</si>
  <si>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</si>
  <si>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</si>
  <si>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</si>
  <si>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</si>
  <si>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</si>
  <si>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</si>
  <si>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</si>
  <si>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</si>
  <si>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</si>
  <si>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</si>
  <si>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</si>
  <si>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</si>
  <si>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</si>
  <si>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</si>
  <si>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</si>
  <si>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</si>
  <si>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</si>
  <si>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</si>
  <si>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</si>
  <si>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</si>
  <si>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</si>
  <si>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</si>
  <si>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</si>
  <si>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</si>
  <si>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</si>
  <si>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</si>
  <si>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</si>
  <si>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</si>
  <si>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</si>
  <si>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</si>
  <si>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</si>
  <si>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</si>
  <si>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</si>
  <si>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</si>
  <si>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</si>
  <si>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</si>
  <si>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</si>
  <si>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</si>
  <si>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</si>
  <si>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</si>
  <si>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</si>
  <si>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</si>
  <si>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</si>
  <si>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</si>
  <si>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</si>
  <si>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</si>
  <si>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</si>
  <si>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</si>
  <si>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</si>
  <si>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</si>
  <si>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</si>
  <si>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</si>
  <si>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</si>
  <si>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</si>
  <si>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</si>
  <si>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</si>
  <si>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</si>
  <si>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</si>
  <si>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</si>
  <si>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</si>
  <si>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</si>
  <si>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</si>
  <si>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</si>
  <si>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</si>
  <si>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</si>
  <si>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</si>
  <si>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</si>
  <si>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</si>
  <si>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</si>
  <si>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</si>
  <si>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</si>
  <si>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</si>
  <si>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</si>
  <si>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</si>
  <si>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</si>
  <si>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</si>
  <si>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</si>
  <si>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</si>
  <si>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</si>
  <si>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</si>
  <si>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</si>
  <si>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</si>
  <si>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</si>
  <si>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</si>
  <si>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</si>
  <si>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</si>
  <si>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</si>
  <si>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</si>
  <si>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</si>
  <si>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</si>
  <si>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</si>
  <si>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</si>
  <si>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</si>
  <si>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</si>
  <si>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</si>
  <si>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</si>
  <si>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</si>
  <si>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</si>
  <si>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</si>
  <si>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</si>
  <si>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</si>
  <si>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</si>
  <si>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</si>
  <si>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</si>
  <si>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</si>
  <si>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</si>
  <si>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</si>
  <si>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</si>
  <si>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</si>
  <si>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</si>
  <si>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</si>
  <si>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</si>
  <si>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</si>
  <si>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</si>
  <si>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</si>
  <si>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</si>
  <si>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</si>
  <si>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</si>
  <si>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</si>
  <si>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</si>
  <si>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</si>
  <si>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</si>
  <si>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</si>
  <si>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</si>
  <si>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</si>
  <si>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</si>
  <si>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</si>
  <si>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</si>
  <si>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</si>
  <si>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</si>
  <si>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</si>
  <si>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</si>
  <si>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</si>
  <si>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</si>
  <si>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</si>
  <si>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</si>
  <si>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</si>
  <si>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</si>
  <si>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</si>
  <si>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</si>
  <si>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</si>
  <si>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</si>
  <si>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</si>
  <si>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</si>
  <si>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</si>
  <si>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</si>
  <si>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</si>
  <si>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</si>
  <si>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</si>
  <si>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</si>
  <si>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</si>
  <si>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</si>
  <si>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</si>
  <si>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</si>
  <si>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</si>
  <si>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</si>
  <si>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</si>
  <si>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</si>
  <si>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</si>
  <si>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</si>
  <si>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</si>
  <si>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</si>
  <si>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</si>
  <si>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</si>
  <si>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</si>
  <si>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</si>
  <si>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</si>
  <si>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</si>
  <si>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</si>
  <si>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</si>
  <si>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</si>
  <si>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</si>
  <si>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</si>
  <si>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</si>
  <si>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</si>
  <si>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</si>
  <si>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</si>
  <si>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</si>
  <si>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</si>
  <si>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</si>
  <si>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</si>
  <si>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</si>
  <si>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</si>
  <si>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</si>
  <si>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</si>
  <si>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</si>
  <si>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</si>
  <si>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</si>
  <si>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</si>
  <si>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</si>
  <si>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</si>
  <si>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</si>
  <si>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</si>
  <si>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</si>
  <si>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</si>
  <si>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</si>
  <si>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</si>
  <si>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</si>
  <si>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</si>
  <si>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</si>
  <si>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</si>
  <si>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</si>
  <si>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</si>
  <si>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</si>
  <si>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</si>
  <si>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</si>
  <si>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</si>
  <si>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</si>
  <si>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</si>
  <si>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</si>
  <si>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</si>
  <si>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</si>
  <si>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</si>
  <si>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</si>
  <si>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</si>
  <si>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</si>
  <si>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</si>
  <si>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</si>
  <si>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</si>
  <si>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</si>
  <si>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</si>
  <si>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</si>
  <si>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</si>
  <si>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</si>
  <si>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</si>
  <si>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</si>
  <si>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</si>
  <si>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</si>
  <si>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</si>
  <si>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</si>
  <si>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</si>
  <si>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</si>
  <si>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</si>
  <si>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</si>
  <si>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</si>
  <si>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</si>
  <si>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</si>
  <si>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</si>
  <si>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</si>
  <si>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</si>
  <si>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</si>
  <si>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</si>
  <si>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</si>
  <si>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</si>
  <si>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</si>
  <si>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</si>
  <si>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</si>
  <si>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</si>
  <si>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</si>
  <si>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</si>
  <si>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</si>
  <si>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</si>
  <si>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</si>
  <si>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</si>
  <si>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</si>
  <si>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</si>
  <si>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</si>
  <si>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</si>
  <si>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</si>
  <si>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</si>
  <si>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</si>
  <si>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</si>
  <si>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</si>
  <si>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</si>
  <si>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</si>
  <si>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</si>
  <si>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</si>
  <si>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</si>
  <si>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</si>
  <si>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</si>
  <si>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</si>
  <si>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</si>
  <si>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</si>
  <si>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</si>
  <si>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</si>
  <si>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</si>
  <si>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</si>
  <si>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</si>
  <si>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</si>
  <si>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</si>
  <si>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</si>
  <si>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</si>
  <si>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</si>
  <si>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</si>
  <si>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</si>
  <si>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</si>
  <si>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</si>
  <si>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</si>
  <si>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</si>
  <si>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</si>
  <si>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</si>
  <si>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</si>
  <si>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</si>
  <si>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</si>
  <si>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</si>
  <si>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</si>
  <si>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</si>
  <si>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</si>
  <si>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</si>
  <si>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</si>
  <si>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</si>
  <si>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</si>
  <si>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</si>
  <si>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</si>
  <si>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</si>
  <si>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</si>
  <si>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</si>
  <si>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</si>
  <si>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</si>
  <si>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</si>
  <si>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</si>
  <si>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</si>
  <si>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</si>
  <si>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</si>
  <si>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</si>
  <si>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</si>
  <si>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</si>
  <si>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</si>
  <si>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</si>
  <si>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</si>
  <si>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</si>
  <si>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</si>
  <si>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</si>
  <si>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</si>
  <si>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</si>
  <si>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</si>
  <si>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</si>
  <si>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</si>
  <si>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</si>
  <si>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</si>
  <si>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</si>
  <si>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</si>
  <si>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</si>
  <si>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</si>
  <si>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</si>
  <si>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</si>
  <si>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</si>
  <si>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</si>
  <si>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</si>
  <si>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</si>
  <si>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</si>
  <si>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</si>
  <si>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</si>
  <si>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</si>
  <si>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</si>
  <si>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</si>
  <si>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</si>
  <si>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</si>
  <si>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</si>
  <si>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</si>
  <si>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</si>
  <si>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</si>
  <si>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</si>
  <si>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</si>
  <si>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</si>
  <si>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</si>
  <si>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</si>
  <si>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</si>
  <si>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</si>
  <si>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</si>
  <si>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</si>
  <si>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</si>
  <si>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</si>
  <si>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</si>
  <si>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</si>
  <si>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</si>
  <si>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</si>
  <si>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</si>
  <si>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</si>
  <si>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</si>
  <si>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</si>
  <si>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</si>
  <si>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</si>
  <si>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</si>
  <si>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</si>
  <si>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</si>
  <si>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</si>
  <si>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</si>
  <si>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</si>
  <si>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</si>
  <si>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</si>
  <si>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</si>
  <si>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</si>
  <si>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</si>
  <si>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</si>
  <si>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</si>
  <si>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</si>
  <si>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</si>
  <si>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</si>
  <si>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</si>
  <si>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</si>
  <si>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</si>
  <si>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</si>
  <si>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</si>
  <si>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</si>
  <si>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</si>
  <si>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</si>
  <si>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</si>
  <si>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</si>
  <si>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</si>
  <si>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</si>
  <si>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</si>
  <si>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</si>
  <si>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</si>
  <si>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</si>
  <si>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</si>
  <si>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</si>
  <si>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</si>
  <si>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</si>
  <si>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</si>
  <si>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</si>
  <si>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</si>
  <si>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</si>
  <si>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</si>
  <si>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</si>
  <si>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</si>
  <si>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</si>
  <si>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</si>
  <si>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</si>
  <si>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</si>
  <si>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</si>
  <si>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</si>
  <si>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</si>
  <si>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</si>
  <si>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</si>
  <si>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</si>
  <si>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</si>
  <si>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</si>
  <si>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</si>
  <si>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</si>
  <si>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</si>
  <si>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</si>
  <si>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</si>
  <si>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</si>
  <si>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</si>
  <si>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</si>
  <si>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</si>
  <si>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</si>
  <si>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</si>
  <si>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</si>
  <si>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</si>
  <si>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</si>
  <si>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</si>
  <si>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</si>
  <si>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</si>
  <si>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</si>
  <si>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</si>
  <si>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</si>
  <si>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</si>
  <si>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</si>
  <si>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</si>
  <si>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</si>
  <si>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</si>
  <si>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</si>
  <si>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</si>
  <si>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</si>
  <si>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</si>
  <si>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</si>
  <si>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</si>
  <si>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</si>
  <si>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</si>
  <si>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</si>
  <si>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</si>
  <si>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</si>
  <si>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</si>
  <si>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</si>
  <si>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</si>
  <si>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</si>
  <si>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</si>
  <si>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</si>
  <si>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</si>
  <si>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</si>
  <si>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</si>
  <si>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</si>
  <si>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</si>
  <si>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</si>
  <si>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</si>
  <si>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</si>
  <si>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</si>
  <si>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</si>
  <si>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</si>
  <si>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</si>
  <si>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</si>
  <si>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</si>
  <si>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</si>
  <si>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</si>
  <si>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</si>
  <si>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</si>
  <si>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</si>
  <si>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</si>
  <si>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</si>
  <si>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</si>
  <si>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</si>
  <si>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</si>
  <si>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</si>
  <si>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</si>
  <si>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</si>
  <si>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</si>
  <si>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</si>
  <si>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</si>
  <si>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</si>
  <si>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</si>
  <si>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</si>
  <si>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</si>
  <si>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</si>
  <si>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</si>
  <si>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</si>
  <si>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</si>
  <si>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</si>
  <si>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</si>
  <si>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</si>
  <si>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</si>
  <si>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</si>
  <si>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</si>
  <si>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</si>
  <si>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</si>
  <si>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</si>
  <si>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</si>
  <si>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</si>
  <si>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</si>
  <si>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</si>
  <si>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</si>
  <si>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</si>
  <si>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</si>
  <si>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</si>
  <si>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</si>
  <si>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</si>
  <si>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</si>
  <si>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</si>
  <si>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</si>
  <si>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</si>
  <si>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</si>
  <si>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</si>
  <si>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</si>
  <si>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</si>
  <si>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</si>
  <si>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</si>
  <si>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</si>
  <si>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</si>
  <si>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</si>
  <si>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</si>
  <si>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</si>
  <si>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</si>
  <si>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</si>
  <si>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</si>
  <si>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</si>
  <si>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</si>
  <si>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</si>
  <si>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</si>
  <si>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</si>
  <si>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</si>
  <si>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</si>
  <si>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</si>
  <si>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</si>
  <si>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</si>
  <si>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</si>
  <si>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</si>
  <si>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</si>
  <si>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</si>
  <si>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</si>
  <si>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</si>
  <si>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</si>
  <si>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</si>
  <si>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</si>
  <si>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</si>
  <si>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</si>
  <si>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</si>
  <si>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</si>
  <si>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</si>
  <si>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</si>
  <si>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</si>
  <si>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</si>
  <si>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</si>
  <si>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</si>
  <si>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</si>
  <si>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</si>
  <si>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</si>
  <si>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</si>
  <si>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</si>
  <si>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</si>
  <si>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</si>
  <si>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</si>
  <si>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</si>
  <si>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</si>
  <si>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</si>
  <si>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</si>
  <si>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</si>
  <si>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</si>
  <si>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</si>
  <si>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</si>
  <si>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</si>
  <si>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</si>
  <si>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</si>
  <si>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</si>
  <si>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</si>
  <si>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</si>
  <si>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</si>
  <si>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</si>
  <si>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</si>
  <si>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</si>
  <si>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</si>
  <si>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</si>
  <si>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</si>
  <si>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</si>
  <si>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</si>
  <si>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</si>
  <si>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</si>
  <si>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</si>
  <si>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</si>
  <si>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</si>
  <si>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</si>
  <si>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</si>
  <si>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</si>
  <si>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</si>
  <si>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</si>
  <si>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</si>
  <si>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</si>
  <si>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</si>
  <si>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</si>
  <si>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</si>
  <si>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</si>
  <si>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</si>
  <si>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</si>
  <si>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</si>
  <si>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</si>
  <si>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</si>
  <si>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</si>
  <si>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</si>
  <si>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</si>
  <si>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</si>
  <si>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</si>
  <si>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</si>
  <si>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</si>
  <si>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</si>
  <si>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</si>
  <si>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</si>
  <si>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</si>
  <si>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</si>
  <si>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</si>
  <si>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</si>
  <si>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</si>
  <si>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</si>
  <si>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</si>
  <si>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</si>
  <si>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</si>
  <si>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</si>
  <si>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</si>
  <si>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</si>
  <si>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</si>
  <si>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</si>
  <si>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</si>
  <si>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</si>
  <si>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</si>
  <si>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</si>
  <si>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</si>
  <si>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</si>
  <si>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</si>
  <si>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</si>
  <si>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</si>
  <si>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</si>
  <si>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</si>
  <si>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</si>
  <si>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</si>
  <si>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</si>
  <si>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</si>
  <si>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</si>
  <si>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</si>
  <si>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</si>
  <si>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</si>
  <si>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</si>
  <si>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</si>
  <si>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</si>
  <si>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</si>
  <si>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</si>
  <si>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</si>
  <si>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</si>
  <si>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</si>
  <si>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</si>
  <si>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</si>
  <si>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</si>
  <si>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</si>
  <si>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</si>
  <si>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</si>
  <si>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</si>
  <si>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</si>
  <si>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</si>
  <si>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</si>
  <si>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</si>
  <si>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</si>
  <si>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</si>
  <si>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</si>
  <si>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</si>
  <si>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</si>
  <si>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</si>
  <si>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</si>
  <si>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</si>
  <si>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</si>
  <si>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</si>
  <si>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</si>
  <si>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</si>
  <si>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</si>
  <si>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</si>
  <si>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</si>
  <si>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</si>
  <si>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</si>
  <si>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</si>
  <si>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</si>
  <si>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</si>
  <si>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</si>
  <si>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</si>
  <si>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</si>
  <si>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</si>
  <si>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</si>
  <si>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</si>
  <si>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</si>
  <si>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</si>
  <si>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</si>
  <si>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</si>
  <si>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</si>
  <si>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</si>
  <si>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</si>
  <si>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</si>
  <si>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</si>
  <si>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</si>
  <si>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</si>
  <si>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</si>
  <si>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</si>
  <si>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</si>
  <si>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</si>
  <si>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</si>
  <si>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</si>
  <si>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Estructura del ingeniero (memoria estructural, documento 04_3, y planos LO-E1 a LO-E3, 23-oct-2026): zapatas corridas y aisladas y vigas de atado del cuadro de cimentación, medidas en el BIM/IFC (lodosa_bim_20261024-0000.ifc, 24-oct); vigas en su alternativa de hormigón armado (la de acero queda para las vigas cuyo descuelgue no se admita, a decidir con el ingeniero); nueve pilares de tubo #140.140.6 S275; escalera de zancas de pletina 200×12 con peldaños de chapa sin empotrar; techo del garaje con bovedilla de hormigón y yeso proyectado (REI 90). Forjados y zunchos, del modelo BIM. Quedan por cerrar con el ingeniero el forjado de la terraza de segunda (15+5 en arquitectura, 20+5 en la estructura) y las vigas de limatesa de la cubierta, sin cuadro.</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</si>
  <si>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</si>
  <si>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</si>
  <si>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</si>
  <si>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</si>
  <si>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</si>
  <si>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</si>
  <si>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</si>
  <si>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</si>
  <si>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</si>
  <si>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</si>
  <si>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</si>
  <si>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</si>
  <si>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</si>
  <si>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</si>
  <si>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</si>
  <si>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</si>
  <si>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</si>
  <si>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</si>
  <si>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</si>
  <si>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</si>
  <si>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</si>
  <si>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</si>
  <si>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</si>
  <si>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</si>
  <si>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</si>
  <si>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</si>
  <si>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</si>
  <si>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 · BIM 24-oct: + muros de hormigón bajo rasante (MC) de la cara superior de la cimentación al suelo de planta baja, 23 tramos, 74,05 m de eje: 14.37 m³ (al precio del zócalo)</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</si>
  <si>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</si>
  <si>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</si>
  <si>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</si>
  <si>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</si>
  <si>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</si>
  <si>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</si>
  <si>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</si>
  <si>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</si>
  <si>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</si>
  <si>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</si>
  <si>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</si>
  <si>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</si>
  <si>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</si>
  <si>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</si>
  <si>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</si>
  <si>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</si>
  <si>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</si>
  <si>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</si>
  <si>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</si>
  <si>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</si>
  <si>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</si>
  <si>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</si>
  <si>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</si>
  <si>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</si>
  <si>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</si>
  <si>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</si>
  <si>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</si>
  <si>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</si>
  <si>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</si>
  <si>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 · IFC 24-oct 11:33–11:50 (captura «mortero»): revoco de la cámara bajo el faldón C. del Peso (5,39 m²), esquinas cerradas y pared del patio en un solo paño: 316.10 m²</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</si>
  <si>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</si>
  <si>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</si>
  <si>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</si>
  <si>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</si>
  <si>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</si>
  <si>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</si>
  <si>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</si>
  <si>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</si>
  <si>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</si>
  <si>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</si>
  <si>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</si>
  <si>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</si>
  <si>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</si>
  <si>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</si>
  <si>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</si>
  <si>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</si>
  <si>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</si>
  <si>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 · IFC 24-oct 11:33–11:50 (captura «mortero»): revoco de la cámara bajo el faldón C. del Peso (5,39 m²), esquinas cerradas y pared del patio en un solo paño: 316.10 m²</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</si>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</sst>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0.00404440417094866</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0.0132777400580678</v>
      </c>
    </row>
    <row r="9" customFormat="false" ht="15" hidden="false" customHeight="true" outlineLevel="0" collapsed="false">
      <c r="A9" s="3" t="s">
        <v>13</v>
      </c>
      <c r="B9" s="3" t="s">
        <v>14</v>
      </c>
      <c r="C9" s="6" t="n">
        <f aca="false">Presupuesto!K101</f>
        <v>6481.94</v>
      </c>
      <c r="D9" s="7" t="n">
        <f aca="false">IF($C$41=0,0,C9/$C$41)</f>
        <v>0.0171242962779012</v>
      </c>
    </row>
    <row r="10" customFormat="false" ht="15" hidden="false" customHeight="true" outlineLevel="0" collapsed="false">
      <c r="A10" s="3" t="s">
        <v>15</v>
      </c>
      <c r="B10" s="3" t="s">
        <v>16</v>
      </c>
      <c r="C10" s="6" t="n">
        <f aca="false">Presupuesto!K175</f>
        <v>86385.23</v>
      </c>
      <c r="D10" s="7" t="n">
        <f aca="false">IF($C$41=0,0,C10/$C$41)</f>
        <v>0.228216594500202</v>
      </c>
    </row>
    <row r="11" customFormat="false" ht="15" hidden="false" customHeight="true" outlineLevel="0" collapsed="false">
      <c r="A11" s="8" t="s">
        <v>17</v>
      </c>
      <c r="B11" s="8" t="s">
        <v>18</v>
      </c>
      <c r="C11" s="9" t="n">
        <f aca="false">SUMIFS(Presupuesto!$K$5:$K$1288,Presupuesto!$M$5:$M$1288,"P",Presupuesto!$O$5:$O$1288,"05.01")</f>
        <v>23806.03</v>
      </c>
    </row>
    <row r="12" customFormat="false" ht="15" hidden="false" customHeight="true" outlineLevel="0" collapsed="false">
      <c r="A12" s="8" t="s">
        <v>19</v>
      </c>
      <c r="B12" s="8" t="s">
        <v>20</v>
      </c>
      <c r="C12" s="9" t="n">
        <f aca="false">SUMIFS(Presupuesto!$K$5:$K$1288,Presupuesto!$M$5:$M$1288,"P",Presupuesto!$O$5:$O$1288,"05.02")</f>
        <v>62579.2</v>
      </c>
    </row>
    <row r="13" customFormat="false" ht="15" hidden="false" customHeight="true" outlineLevel="0" collapsed="false">
      <c r="A13" s="3" t="s">
        <v>21</v>
      </c>
      <c r="B13" s="3" t="s">
        <v>22</v>
      </c>
      <c r="C13" s="6" t="n">
        <f aca="false">Presupuesto!K254</f>
        <v>56031.31</v>
      </c>
      <c r="D13" s="7" t="n">
        <f aca="false">IF($C$41=0,0,C13/$C$41)</f>
        <v>0.148026170140256</v>
      </c>
    </row>
    <row r="14" customFormat="false" ht="15" hidden="false" customHeight="true" outlineLevel="0" collapsed="false">
      <c r="A14" s="3" t="s">
        <v>23</v>
      </c>
      <c r="B14" s="3" t="s">
        <v>24</v>
      </c>
      <c r="C14" s="6" t="n">
        <f aca="false">Presupuesto!K311</f>
        <v>14386.83</v>
      </c>
      <c r="D14" s="7" t="n">
        <f aca="false">IF($C$41=0,0,C14/$C$41)</f>
        <v>0.0380078093008879</v>
      </c>
    </row>
    <row r="15" customFormat="false" ht="15" hidden="false" customHeight="true" outlineLevel="0" collapsed="false">
      <c r="A15" s="3" t="s">
        <v>25</v>
      </c>
      <c r="B15" s="3" t="s">
        <v>26</v>
      </c>
      <c r="C15" s="6" t="n">
        <f aca="false">Presupuesto!K347</f>
        <v>7531.54</v>
      </c>
      <c r="D15" s="7" t="n">
        <f aca="false">IF($C$41=0,0,C15/$C$41)</f>
        <v>0.0198971792995406</v>
      </c>
    </row>
    <row r="16" customFormat="false" ht="15" hidden="false" customHeight="true" outlineLevel="0" collapsed="false">
      <c r="A16" s="3" t="s">
        <v>27</v>
      </c>
      <c r="B16" s="3" t="s">
        <v>28</v>
      </c>
      <c r="C16" s="6" t="n">
        <f aca="false">Presupuesto!K362</f>
        <v>3675.43</v>
      </c>
      <c r="D16" s="7" t="n">
        <f aca="false">IF($C$41=0,0,C16/$C$41)</f>
        <v>0.00970992515646342</v>
      </c>
    </row>
    <row r="17" customFormat="false" ht="15" hidden="false" customHeight="true" outlineLevel="0" collapsed="false">
      <c r="A17" s="3" t="s">
        <v>29</v>
      </c>
      <c r="B17" s="3" t="s">
        <v>30</v>
      </c>
      <c r="C17" s="6" t="n">
        <f aca="false">Presupuesto!K403</f>
        <v>21764.7</v>
      </c>
      <c r="D17" s="7" t="n">
        <f aca="false">IF($C$41=0,0,C17/$C$41)</f>
        <v>0.0574990159118469</v>
      </c>
    </row>
    <row r="18" customFormat="false" ht="15" hidden="false" customHeight="true" outlineLevel="0" collapsed="false">
      <c r="A18" s="3" t="s">
        <v>31</v>
      </c>
      <c r="B18" s="3" t="s">
        <v>32</v>
      </c>
      <c r="C18" s="6" t="n">
        <f aca="false">Presupuesto!K434</f>
        <v>28737.74</v>
      </c>
      <c r="D18" s="7" t="n">
        <f aca="false">IF($C$41=0,0,C18/$C$41)</f>
        <v>0.0759207234434896</v>
      </c>
    </row>
    <row r="19" customFormat="false" ht="15" hidden="false" customHeight="true" outlineLevel="0" collapsed="false">
      <c r="A19" s="3" t="s">
        <v>33</v>
      </c>
      <c r="B19" s="3" t="s">
        <v>34</v>
      </c>
      <c r="C19" s="6" t="n">
        <f aca="false">Presupuesto!K453</f>
        <v>10570.72</v>
      </c>
      <c r="D19" s="7" t="n">
        <f aca="false">IF($C$41=0,0,C19/$C$41)</f>
        <v>0.0279262290534525</v>
      </c>
    </row>
    <row r="20" customFormat="false" ht="15" hidden="false" customHeight="true" outlineLevel="0" collapsed="false">
      <c r="A20" s="3" t="s">
        <v>35</v>
      </c>
      <c r="B20" s="3" t="s">
        <v>36</v>
      </c>
      <c r="C20" s="6" t="n">
        <f aca="false">Presupuesto!K521</f>
        <v>52569.01</v>
      </c>
      <c r="D20" s="7" t="n">
        <f aca="false">IF($C$41=0,0,C20/$C$41)</f>
        <v>0.138879301918245</v>
      </c>
    </row>
    <row r="21" customFormat="false" ht="15" hidden="false" customHeight="true" outlineLevel="0" collapsed="false">
      <c r="A21" s="3" t="s">
        <v>37</v>
      </c>
      <c r="B21" s="3" t="s">
        <v>38</v>
      </c>
      <c r="C21" s="6" t="n">
        <f aca="false">Presupuesto!K553</f>
        <v>20509.5</v>
      </c>
      <c r="D21" s="7" t="n">
        <f aca="false">IF($C$41=0,0,C21/$C$41)</f>
        <v>0.0541829690666089</v>
      </c>
    </row>
    <row r="22" customFormat="false" ht="15" hidden="false" customHeight="true" outlineLevel="0" collapsed="false">
      <c r="A22" s="3" t="s">
        <v>39</v>
      </c>
      <c r="B22" s="3" t="s">
        <v>40</v>
      </c>
      <c r="C22" s="6" t="n">
        <f aca="false">Presupuesto!K565</f>
        <v>9002.57</v>
      </c>
      <c r="D22" s="7" t="n">
        <f aca="false">IF($C$41=0,0,C22/$C$41)</f>
        <v>0.0237834160671875</v>
      </c>
    </row>
    <row r="23" customFormat="false" ht="15" hidden="false" customHeight="true" outlineLevel="0" collapsed="false">
      <c r="A23" s="3" t="s">
        <v>41</v>
      </c>
      <c r="B23" s="3" t="s">
        <v>42</v>
      </c>
      <c r="C23" s="6" t="n">
        <f aca="false">Presupuesto!K962</f>
        <v>45949.51</v>
      </c>
      <c r="D23" s="7" t="n">
        <f aca="false">IF($C$41=0,0,C23/$C$41)</f>
        <v>0.121391593113232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0.00402749634764598</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0.00726518599926557</v>
      </c>
    </row>
    <row r="34" customFormat="false" ht="15" hidden="false" customHeight="true" outlineLevel="0" collapsed="false">
      <c r="A34" s="3" t="s">
        <v>63</v>
      </c>
      <c r="B34" s="3" t="s">
        <v>64</v>
      </c>
      <c r="C34" s="6" t="n">
        <f aca="false">Presupuesto!K1286</f>
        <v>4095.6</v>
      </c>
      <c r="D34" s="7" t="n">
        <f aca="false">IF($C$41=0,0,C34/$C$41)</f>
        <v>0.0108199501747582</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378523</v>
      </c>
    </row>
    <row r="43" customFormat="false" ht="15" hidden="false" customHeight="true" outlineLevel="0" collapsed="false">
      <c r="B43" s="8" t="s">
        <v>76</v>
      </c>
      <c r="C43" s="12" t="n">
        <f aca="false">ROUND(C41*D43,2)</f>
        <v>18926.15</v>
      </c>
      <c r="D43" s="13" t="n">
        <v>0.05</v>
      </c>
    </row>
    <row r="44" customFormat="false" ht="15" hidden="false" customHeight="true" outlineLevel="0" collapsed="false">
      <c r="B44" s="8" t="s">
        <v>77</v>
      </c>
      <c r="C44" s="12" t="n">
        <f aca="false">ROUND(C41*D44,2)</f>
        <v>18926.15</v>
      </c>
      <c r="D44" s="13" t="n">
        <v>0.05</v>
      </c>
    </row>
    <row r="45" customFormat="false" ht="15" hidden="false" customHeight="true" outlineLevel="0" collapsed="false">
      <c r="B45" s="3" t="s">
        <v>78</v>
      </c>
      <c r="C45" s="14" t="n">
        <f aca="false">C41+C43+C44</f>
        <v>416375.3</v>
      </c>
    </row>
    <row r="46" customFormat="false" ht="15" hidden="false" customHeight="true" outlineLevel="0" collapsed="false">
      <c r="B46" s="8" t="s">
        <v>79</v>
      </c>
      <c r="C46" s="12" t="n">
        <f aca="false">ROUND(C45*D46,2)</f>
        <v>41637.53</v>
      </c>
      <c r="D46" s="13" t="n">
        <v>0.1</v>
      </c>
    </row>
    <row r="47" customFormat="false" ht="15" hidden="false" customHeight="true" outlineLevel="0" collapsed="false">
      <c r="B47" s="10" t="s">
        <v>80</v>
      </c>
      <c r="C47" s="11" t="n">
        <f aca="false">C45+C46</f>
        <v>458012.83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1077.86035651233</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56.51</v>
      </c>
      <c r="F107" s="24"/>
      <c r="G107" s="24" t="n">
        <v>0.1</v>
      </c>
      <c r="H107" s="25" t="n">
        <f aca="false">IF(COUNT(D107:G107)=0,0,D107*IF(E107="",1,E107)*IF(F107="",1,F107)*IF(G107="",1,G107))</f>
        <v>5.651</v>
      </c>
      <c r="M107" s="21"/>
      <c r="N107" s="21"/>
      <c r="O107" s="21"/>
    </row>
    <row r="108" customFormat="false" ht="18.75" hidden="false" customHeight="true" outlineLevel="0" collapsed="false">
      <c r="H108" s="26"/>
      <c r="I108" s="27" t="n">
        <f aca="false">ROUND(SUM(H107:H107),2)</f>
        <v>5.65</v>
      </c>
      <c r="J108" s="28" t="n">
        <v>98</v>
      </c>
      <c r="K108" s="27" t="n">
        <f aca="false">ROUND(I108*J108,2)</f>
        <v>553.7</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26.57</v>
      </c>
      <c r="F111" s="24"/>
      <c r="G111" s="24"/>
      <c r="H111" s="25" t="n">
        <f aca="false">IF(COUNT(D111:G111)=0,0,D111*IF(E111="",1,E111)*IF(F111="",1,F111)*IF(G111="",1,G111))</f>
        <v>26.57</v>
      </c>
      <c r="M111" s="21"/>
      <c r="N111" s="21"/>
      <c r="O111" s="21"/>
    </row>
    <row r="112" customFormat="false" ht="27.75" hidden="false" customHeight="true" outlineLevel="0" collapsed="false">
      <c r="H112" s="26"/>
      <c r="I112" s="27" t="n">
        <f aca="false">ROUND(SUM(H111:H111),2)</f>
        <v>26.57</v>
      </c>
      <c r="J112" s="28" t="n">
        <v>185</v>
      </c>
      <c r="K112" s="27" t="n">
        <f aca="false">ROUND(I112*J112,2)</f>
        <v>4915.45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27.71</v>
      </c>
      <c r="F115" s="24"/>
      <c r="G115" s="24"/>
      <c r="H115" s="25" t="n">
        <f aca="false">IF(COUNT(D115:G115)=0,0,D115*IF(E115="",1,E115)*IF(F115="",1,F115)*IF(G115="",1,G115))</f>
        <v>27.71</v>
      </c>
      <c r="M115" s="21"/>
      <c r="N115" s="21"/>
      <c r="O115" s="21"/>
    </row>
    <row r="116" customFormat="false" ht="15" hidden="false" customHeight="true" outlineLevel="0" collapsed="false">
      <c r="H116" s="26"/>
      <c r="I116" s="27" t="n">
        <f aca="false">ROUND(SUM(H115:H115),2)</f>
        <v>27.71</v>
      </c>
      <c r="J116" s="28" t="n">
        <v>365.9</v>
      </c>
      <c r="K116" s="27" t="n">
        <f aca="false">ROUND(I116*J116,2)</f>
        <v>10139.09</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134</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223</v>
      </c>
      <c r="D134" s="24" t="n">
        <v>1</v>
      </c>
      <c r="E134" s="31" t="n">
        <v>19.17</v>
      </c>
      <c r="H134" s="25" t="n">
        <f aca="false">IF(COUNT(D134:G134)=0,0,D134*IF(E134="",1,E134)*IF(F134="",1,F134)*IF(G134="",1,G134))</f>
        <v>19.17</v>
      </c>
      <c r="M134" s="21"/>
      <c r="N134" s="21"/>
      <c r="O134" s="21"/>
    </row>
    <row r="135" customFormat="false" ht="18.75" hidden="false" customHeight="true" outlineLevel="0" collapsed="false">
      <c r="H135" s="26"/>
      <c r="I135" s="27" t="n">
        <f aca="false">ROUND(SUM(H134:H134),2)</f>
        <v>19.17</v>
      </c>
      <c r="J135" s="28" t="n">
        <v>420</v>
      </c>
      <c r="K135" s="27" t="n">
        <f aca="false">ROUND(I135*J135,2)</f>
        <v>8051.4</v>
      </c>
      <c r="L135" s="29" t="s">
        <v>224</v>
      </c>
      <c r="M135" s="21" t="s">
        <v>110</v>
      </c>
      <c r="N135" s="21" t="s">
        <v>15</v>
      </c>
      <c r="O135" s="21" t="s">
        <v>214</v>
      </c>
    </row>
    <row r="136" customFormat="false" ht="15" hidden="false" customHeight="true" outlineLevel="0" collapsed="false">
      <c r="A136" s="3" t="s">
        <v>225</v>
      </c>
      <c r="B136" s="3" t="s">
        <v>226</v>
      </c>
      <c r="C136" s="3" t="s">
        <v>227</v>
      </c>
      <c r="M136" s="21"/>
      <c r="N136" s="21"/>
      <c r="O136" s="21"/>
    </row>
    <row r="137" customFormat="false" ht="24" hidden="false" customHeight="true" outlineLevel="0" collapsed="false">
      <c r="C137" s="22" t="s">
        <v>228</v>
      </c>
      <c r="M137" s="21"/>
      <c r="N137" s="21"/>
      <c r="O137" s="21"/>
    </row>
    <row r="138" customFormat="false" ht="15" hidden="false" customHeight="true" outlineLevel="0" collapsed="false">
      <c r="C138" s="23" t="s">
        <v>229</v>
      </c>
      <c r="D138" s="24" t="n">
        <v>1</v>
      </c>
      <c r="E138" s="24" t="n">
        <v>1842</v>
      </c>
      <c r="F138" s="24"/>
      <c r="G138" s="24"/>
      <c r="H138" s="25" t="n">
        <f aca="false">IF(COUNT(D138:G138)=0,0,D138*IF(E138="",1,E138)*IF(F138="",1,F138)*IF(G138="",1,G138))</f>
        <v>1842</v>
      </c>
      <c r="M138" s="21"/>
      <c r="N138" s="21"/>
      <c r="O138" s="21"/>
    </row>
    <row r="139" customFormat="false" ht="18.75" hidden="false" customHeight="true" outlineLevel="0" collapsed="false">
      <c r="H139" s="26"/>
      <c r="I139" s="27" t="n">
        <f aca="false">ROUND(SUM(H138:H138),2)</f>
        <v>1842</v>
      </c>
      <c r="J139" s="28" t="n">
        <v>2.7</v>
      </c>
      <c r="K139" s="27" t="n">
        <f aca="false">ROUND(I139*J139,2)</f>
        <v>4973.4</v>
      </c>
      <c r="L139" s="29" t="s">
        <v>224</v>
      </c>
      <c r="M139" s="21" t="s">
        <v>110</v>
      </c>
      <c r="N139" s="21" t="s">
        <v>15</v>
      </c>
      <c r="O139" s="21" t="s">
        <v>214</v>
      </c>
    </row>
    <row r="140" customFormat="false" ht="15" hidden="false" customHeight="true" outlineLevel="0" collapsed="false">
      <c r="A140" s="3" t="s">
        <v>230</v>
      </c>
      <c r="B140" s="3" t="s">
        <v>158</v>
      </c>
      <c r="C140" s="3" t="s">
        <v>231</v>
      </c>
      <c r="M140" s="21"/>
      <c r="N140" s="21"/>
      <c r="O140" s="21"/>
    </row>
    <row r="141" customFormat="false" ht="24" hidden="false" customHeight="true" outlineLevel="0" collapsed="false">
      <c r="C141" s="22" t="s">
        <v>232</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233</v>
      </c>
      <c r="B146" s="3" t="s">
        <v>158</v>
      </c>
      <c r="C146" s="3" t="s">
        <v>234</v>
      </c>
      <c r="M146" s="21"/>
      <c r="N146" s="21"/>
      <c r="O146" s="21"/>
    </row>
    <row r="147" customFormat="false" ht="24" hidden="false" customHeight="true" outlineLevel="0" collapsed="false">
      <c r="C147" s="22" t="s">
        <v>235</v>
      </c>
      <c r="M147" s="21"/>
      <c r="N147" s="21"/>
      <c r="O147" s="21"/>
    </row>
    <row r="148" customFormat="false" ht="15" hidden="false" customHeight="true" outlineLevel="0" collapsed="false">
      <c r="C148" s="23" t="s">
        <v>236</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237</v>
      </c>
      <c r="B150" s="3" t="s">
        <v>134</v>
      </c>
      <c r="C150" s="3" t="s">
        <v>238</v>
      </c>
      <c r="M150" s="21"/>
      <c r="N150" s="21"/>
      <c r="O150" s="21"/>
    </row>
    <row r="151" customFormat="false" ht="24" hidden="false" customHeight="true" outlineLevel="0" collapsed="false">
      <c r="C151" s="22" t="s">
        <v>239</v>
      </c>
      <c r="M151" s="21"/>
      <c r="N151" s="21"/>
      <c r="O151" s="21"/>
    </row>
    <row r="152" customFormat="false" ht="15" hidden="false" customHeight="true" outlineLevel="0" collapsed="false">
      <c r="C152" s="23" t="s">
        <v>240</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241</v>
      </c>
      <c r="B154" s="3" t="s">
        <v>153</v>
      </c>
      <c r="C154" s="3" t="s">
        <v>242</v>
      </c>
      <c r="M154" s="21"/>
      <c r="N154" s="21"/>
      <c r="O154" s="21"/>
    </row>
    <row r="155" customFormat="false" ht="24" hidden="false" customHeight="true" outlineLevel="0" collapsed="false">
      <c r="C155" s="22" t="s">
        <v>243</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244</v>
      </c>
      <c r="B158" s="3" t="s">
        <v>105</v>
      </c>
      <c r="C158" s="3" t="s">
        <v>245</v>
      </c>
      <c r="M158" s="21"/>
      <c r="N158" s="21"/>
      <c r="O158" s="21"/>
    </row>
    <row r="159" customFormat="false" ht="24" hidden="false" customHeight="true" outlineLevel="0" collapsed="false">
      <c r="C159" s="22" t="s">
        <v>246</v>
      </c>
      <c r="M159" s="21"/>
      <c r="N159" s="21"/>
      <c r="O159" s="21"/>
    </row>
    <row r="160" customFormat="false" ht="15" hidden="false" customHeight="true" outlineLevel="0" collapsed="false">
      <c r="C160" s="23" t="s">
        <v>247</v>
      </c>
      <c r="D160" s="24" t="n">
        <v>19</v>
      </c>
      <c r="H160" s="25" t="n">
        <f aca="false">IF(COUNT(D160:G160)=0,0,D160*IF(E160="",1,E160)*IF(F160="",1,F160)*IF(G160="",1,G160))</f>
        <v>19</v>
      </c>
      <c r="M160" s="21"/>
      <c r="N160" s="21"/>
      <c r="O160" s="21"/>
    </row>
    <row r="161" customFormat="false" ht="15" hidden="false" customHeight="true" outlineLevel="0" collapsed="false">
      <c r="C161" s="23" t="s">
        <v>248</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120</v>
      </c>
      <c r="K162" s="27" t="n">
        <f aca="false">ROUND(I162*J162,2)</f>
        <v>4320</v>
      </c>
      <c r="L162" s="29" t="s">
        <v>249</v>
      </c>
      <c r="M162" s="21" t="s">
        <v>110</v>
      </c>
      <c r="N162" s="21" t="s">
        <v>15</v>
      </c>
      <c r="O162" s="21" t="s">
        <v>214</v>
      </c>
    </row>
    <row r="163" customFormat="false" ht="15" hidden="false" customHeight="true" outlineLevel="0" collapsed="false">
      <c r="A163" s="3" t="s">
        <v>250</v>
      </c>
      <c r="B163" s="3" t="s">
        <v>153</v>
      </c>
      <c r="C163" s="3" t="s">
        <v>251</v>
      </c>
      <c r="M163" s="21"/>
      <c r="N163" s="21"/>
      <c r="O163" s="21"/>
    </row>
    <row r="164" customFormat="false" ht="36" hidden="false" customHeight="true" outlineLevel="0" collapsed="false">
      <c r="C164" s="22" t="s">
        <v>252</v>
      </c>
      <c r="M164" s="21"/>
      <c r="N164" s="21"/>
      <c r="O164" s="21"/>
    </row>
    <row r="165" customFormat="false" ht="15" hidden="false" customHeight="true" outlineLevel="0" collapsed="false">
      <c r="C165" s="23" t="s">
        <v>253</v>
      </c>
      <c r="D165" s="24" t="n">
        <v>1</v>
      </c>
      <c r="E165" s="24" t="n">
        <v>49.52</v>
      </c>
      <c r="H165" s="25" t="n">
        <f aca="false">IF(COUNT(D165:G165)=0,0,D165*IF(E165="",1,E165)*IF(F165="",1,F165)*IF(G165="",1,G165))</f>
        <v>49.52</v>
      </c>
      <c r="M165" s="21"/>
      <c r="N165" s="21"/>
      <c r="O165" s="21"/>
    </row>
    <row r="166" customFormat="false" ht="27.75" hidden="false" customHeight="true" outlineLevel="0" collapsed="false">
      <c r="H166" s="26"/>
      <c r="I166" s="27" t="n">
        <f aca="false">ROUND(SUM(H165:H165),2)</f>
        <v>49.52</v>
      </c>
      <c r="J166" s="28" t="n">
        <v>24</v>
      </c>
      <c r="K166" s="27" t="n">
        <f aca="false">ROUND(I166*J166,2)</f>
        <v>1188.48</v>
      </c>
      <c r="L166" s="29" t="s">
        <v>224</v>
      </c>
      <c r="M166" s="21" t="s">
        <v>110</v>
      </c>
      <c r="N166" s="21" t="s">
        <v>15</v>
      </c>
      <c r="O166" s="21" t="s">
        <v>214</v>
      </c>
    </row>
    <row r="167" customFormat="false" ht="15" hidden="false" customHeight="true" outlineLevel="0" collapsed="false">
      <c r="A167" s="3" t="s">
        <v>254</v>
      </c>
      <c r="B167" s="3" t="s">
        <v>226</v>
      </c>
      <c r="C167" s="3" t="s">
        <v>255</v>
      </c>
      <c r="M167" s="21"/>
      <c r="N167" s="21"/>
      <c r="O167" s="21"/>
    </row>
    <row r="168" customFormat="false" ht="24" hidden="false" customHeight="true" outlineLevel="0" collapsed="false">
      <c r="C168" s="22" t="s">
        <v>256</v>
      </c>
      <c r="M168" s="21"/>
      <c r="N168" s="21"/>
      <c r="O168" s="21"/>
    </row>
    <row r="169" customFormat="false" ht="15" hidden="false" customHeight="true" outlineLevel="0" collapsed="false">
      <c r="C169" s="23" t="s">
        <v>257</v>
      </c>
      <c r="D169" s="24" t="n">
        <v>1</v>
      </c>
      <c r="E169" s="31" t="n">
        <v>473</v>
      </c>
      <c r="F169" s="24"/>
      <c r="G169" s="24"/>
      <c r="H169" s="25" t="n">
        <f aca="false">IF(COUNT(D169:G169)=0,0,D169*IF(E169="",1,E169)*IF(F169="",1,F169)*IF(G169="",1,G169))</f>
        <v>473</v>
      </c>
      <c r="M169" s="21"/>
      <c r="N169" s="21"/>
      <c r="O169" s="21"/>
    </row>
    <row r="170" customFormat="false" ht="15" hidden="false" customHeight="true" outlineLevel="0" collapsed="false">
      <c r="H170" s="26"/>
      <c r="I170" s="27" t="n">
        <f aca="false">ROUND(SUM(H169:H169),2)</f>
        <v>473</v>
      </c>
      <c r="J170" s="28" t="n">
        <v>3.2</v>
      </c>
      <c r="K170" s="27" t="n">
        <f aca="false">ROUND(I170*J170,2)</f>
        <v>1513.6</v>
      </c>
      <c r="L170" s="29" t="s">
        <v>258</v>
      </c>
      <c r="M170" s="21" t="s">
        <v>110</v>
      </c>
      <c r="N170" s="21" t="s">
        <v>15</v>
      </c>
      <c r="O170" s="21" t="s">
        <v>214</v>
      </c>
    </row>
    <row r="171" customFormat="false" ht="15" hidden="false" customHeight="true" outlineLevel="0" collapsed="false">
      <c r="A171" s="3" t="s">
        <v>259</v>
      </c>
      <c r="B171" s="3" t="s">
        <v>153</v>
      </c>
      <c r="C171" s="3" t="s">
        <v>260</v>
      </c>
      <c r="M171" s="21"/>
      <c r="N171" s="21"/>
      <c r="O171" s="21"/>
    </row>
    <row r="172" customFormat="false" ht="36" hidden="false" customHeight="true" outlineLevel="0" collapsed="false">
      <c r="C172" s="22" t="s">
        <v>261</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262</v>
      </c>
      <c r="M174" s="21" t="s">
        <v>110</v>
      </c>
      <c r="N174" s="21" t="s">
        <v>15</v>
      </c>
      <c r="O174" s="21" t="s">
        <v>214</v>
      </c>
    </row>
    <row r="175" customFormat="false" ht="15" hidden="false" customHeight="true" outlineLevel="0" collapsed="false">
      <c r="C175" s="30" t="s">
        <v>263</v>
      </c>
      <c r="K175" s="11" t="n">
        <f aca="false">SUMIFS($K$5:$K$174,$M$5:$M$174,"P",$N$5:$N$174,"05")</f>
        <v>86385.23</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264</v>
      </c>
      <c r="B178" s="3" t="s">
        <v>153</v>
      </c>
      <c r="C178" s="3" t="s">
        <v>265</v>
      </c>
      <c r="M178" s="21"/>
      <c r="N178" s="21"/>
      <c r="O178" s="21"/>
    </row>
    <row r="179" customFormat="false" ht="36" hidden="false" customHeight="true" outlineLevel="0" collapsed="false">
      <c r="C179" s="22" t="s">
        <v>266</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267</v>
      </c>
      <c r="B189" s="3" t="s">
        <v>153</v>
      </c>
      <c r="C189" s="3" t="s">
        <v>268</v>
      </c>
      <c r="M189" s="21"/>
      <c r="N189" s="21"/>
      <c r="O189" s="21"/>
    </row>
    <row r="190" customFormat="false" ht="36" hidden="false" customHeight="true" outlineLevel="0" collapsed="false">
      <c r="C190" s="22" t="s">
        <v>269</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270</v>
      </c>
      <c r="B196" s="3" t="s">
        <v>153</v>
      </c>
      <c r="C196" s="3" t="s">
        <v>271</v>
      </c>
      <c r="M196" s="21"/>
      <c r="N196" s="21"/>
      <c r="O196" s="21"/>
    </row>
    <row r="197" customFormat="false" ht="36" hidden="false" customHeight="true" outlineLevel="0" collapsed="false">
      <c r="C197" s="22" t="s">
        <v>272</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273</v>
      </c>
      <c r="B204" s="3" t="s">
        <v>153</v>
      </c>
      <c r="C204" s="3" t="s">
        <v>274</v>
      </c>
      <c r="M204" s="21"/>
      <c r="N204" s="21"/>
      <c r="O204" s="21"/>
    </row>
    <row r="205" customFormat="false" ht="24" hidden="false" customHeight="true" outlineLevel="0" collapsed="false">
      <c r="C205" s="22" t="s">
        <v>275</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276</v>
      </c>
      <c r="B210" s="3" t="s">
        <v>153</v>
      </c>
      <c r="C210" s="3" t="s">
        <v>277</v>
      </c>
      <c r="M210" s="21"/>
      <c r="N210" s="21"/>
      <c r="O210" s="21"/>
    </row>
    <row r="211" customFormat="false" ht="24" hidden="false" customHeight="true" outlineLevel="0" collapsed="false">
      <c r="C211" s="22" t="s">
        <v>278</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279</v>
      </c>
      <c r="B216" s="3" t="s">
        <v>153</v>
      </c>
      <c r="C216" s="3" t="s">
        <v>280</v>
      </c>
      <c r="M216" s="21"/>
      <c r="N216" s="21"/>
      <c r="O216" s="21"/>
    </row>
    <row r="217" customFormat="false" ht="24" hidden="false" customHeight="true" outlineLevel="0" collapsed="false">
      <c r="C217" s="22" t="s">
        <v>281</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282</v>
      </c>
      <c r="B222" s="3" t="s">
        <v>158</v>
      </c>
      <c r="C222" s="3" t="s">
        <v>283</v>
      </c>
      <c r="M222" s="21"/>
      <c r="N222" s="21"/>
      <c r="O222" s="21"/>
    </row>
    <row r="223" customFormat="false" ht="24" hidden="false" customHeight="true" outlineLevel="0" collapsed="false">
      <c r="C223" s="22" t="s">
        <v>284</v>
      </c>
      <c r="M223" s="21"/>
      <c r="N223" s="21"/>
      <c r="O223" s="21"/>
    </row>
    <row r="224" customFormat="false" ht="15" hidden="false" customHeight="true" outlineLevel="0" collapsed="false">
      <c r="C224" s="23" t="s">
        <v>285</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286</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287</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288</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289</v>
      </c>
      <c r="B229" s="3" t="s">
        <v>158</v>
      </c>
      <c r="C229" s="3" t="s">
        <v>290</v>
      </c>
      <c r="M229" s="21"/>
      <c r="N229" s="21"/>
      <c r="O229" s="21"/>
    </row>
    <row r="230" customFormat="false" ht="24" hidden="false" customHeight="true" outlineLevel="0" collapsed="false">
      <c r="C230" s="22" t="s">
        <v>291</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292</v>
      </c>
      <c r="B234" s="3" t="s">
        <v>105</v>
      </c>
      <c r="C234" s="3" t="s">
        <v>293</v>
      </c>
      <c r="M234" s="21"/>
      <c r="N234" s="21"/>
      <c r="O234" s="21"/>
    </row>
    <row r="235" customFormat="false" ht="12" hidden="false" customHeight="true" outlineLevel="0" collapsed="false">
      <c r="C235" s="22" t="s">
        <v>294</v>
      </c>
      <c r="M235" s="21"/>
      <c r="N235" s="21"/>
      <c r="O235" s="21"/>
    </row>
    <row r="236" customFormat="false" ht="15" hidden="false" customHeight="true" outlineLevel="0" collapsed="false">
      <c r="C236" s="23" t="s">
        <v>295</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296</v>
      </c>
      <c r="B238" s="3" t="s">
        <v>105</v>
      </c>
      <c r="C238" s="3" t="s">
        <v>297</v>
      </c>
      <c r="M238" s="21"/>
      <c r="N238" s="21"/>
      <c r="O238" s="21"/>
    </row>
    <row r="239" customFormat="false" ht="12" hidden="false" customHeight="true" outlineLevel="0" collapsed="false">
      <c r="C239" s="22" t="s">
        <v>298</v>
      </c>
      <c r="M239" s="21"/>
      <c r="N239" s="21"/>
      <c r="O239" s="21"/>
    </row>
    <row r="240" customFormat="false" ht="15" hidden="false" customHeight="true" outlineLevel="0" collapsed="false">
      <c r="C240" s="23" t="s">
        <v>299</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300</v>
      </c>
      <c r="B242" s="3" t="s">
        <v>105</v>
      </c>
      <c r="C242" s="3" t="s">
        <v>301</v>
      </c>
      <c r="M242" s="21"/>
      <c r="N242" s="21"/>
      <c r="O242" s="21"/>
    </row>
    <row r="243" customFormat="false" ht="12" hidden="false" customHeight="true" outlineLevel="0" collapsed="false">
      <c r="C243" s="22" t="s">
        <v>302</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303</v>
      </c>
      <c r="B246" s="3" t="s">
        <v>105</v>
      </c>
      <c r="C246" s="3" t="s">
        <v>304</v>
      </c>
      <c r="M246" s="21"/>
      <c r="N246" s="21"/>
      <c r="O246" s="21"/>
    </row>
    <row r="247" customFormat="false" ht="12" hidden="false" customHeight="true" outlineLevel="0" collapsed="false">
      <c r="C247" s="22" t="s">
        <v>305</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306</v>
      </c>
      <c r="B250" s="3" t="s">
        <v>105</v>
      </c>
      <c r="C250" s="3" t="s">
        <v>307</v>
      </c>
      <c r="M250" s="21"/>
      <c r="N250" s="21"/>
      <c r="O250" s="21"/>
    </row>
    <row r="251" customFormat="false" ht="24" hidden="false" customHeight="true" outlineLevel="0" collapsed="false">
      <c r="C251" s="22" t="s">
        <v>308</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309</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310</v>
      </c>
      <c r="B257" s="3" t="s">
        <v>153</v>
      </c>
      <c r="C257" s="3" t="s">
        <v>311</v>
      </c>
      <c r="M257" s="21"/>
      <c r="N257" s="21"/>
      <c r="O257" s="21"/>
    </row>
    <row r="258" customFormat="false" ht="24" hidden="false" customHeight="true" outlineLevel="0" collapsed="false">
      <c r="C258" s="22" t="s">
        <v>312</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313</v>
      </c>
      <c r="B261" s="3" t="s">
        <v>153</v>
      </c>
      <c r="C261" s="3" t="s">
        <v>314</v>
      </c>
      <c r="M261" s="21"/>
      <c r="N261" s="21"/>
      <c r="O261" s="21"/>
    </row>
    <row r="262" customFormat="false" ht="12" hidden="false" customHeight="true" outlineLevel="0" collapsed="false">
      <c r="C262" s="22" t="s">
        <v>315</v>
      </c>
      <c r="M262" s="21"/>
      <c r="N262" s="21"/>
      <c r="O262" s="21"/>
    </row>
    <row r="263" customFormat="false" ht="15" hidden="false" customHeight="true" outlineLevel="0" collapsed="false">
      <c r="C263" s="23" t="s">
        <v>316</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317</v>
      </c>
      <c r="B265" s="3" t="s">
        <v>153</v>
      </c>
      <c r="C265" s="3" t="s">
        <v>318</v>
      </c>
      <c r="M265" s="21"/>
      <c r="N265" s="21"/>
      <c r="O265" s="21"/>
    </row>
    <row r="266" customFormat="false" ht="48" hidden="false" customHeight="true" outlineLevel="0" collapsed="false">
      <c r="C266" s="22" t="s">
        <v>319</v>
      </c>
      <c r="M266" s="21"/>
      <c r="N266" s="21"/>
      <c r="O266" s="21"/>
    </row>
    <row r="267" customFormat="false" ht="15" hidden="false" customHeight="true" outlineLevel="0" collapsed="false">
      <c r="C267" s="23" t="s">
        <v>316</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320</v>
      </c>
      <c r="B269" s="3" t="s">
        <v>153</v>
      </c>
      <c r="C269" s="3" t="s">
        <v>321</v>
      </c>
      <c r="M269" s="21"/>
      <c r="N269" s="21"/>
      <c r="O269" s="21"/>
    </row>
    <row r="270" customFormat="false" ht="24" hidden="false" customHeight="true" outlineLevel="0" collapsed="false">
      <c r="C270" s="22" t="s">
        <v>322</v>
      </c>
      <c r="M270" s="21"/>
      <c r="N270" s="21"/>
      <c r="O270" s="21"/>
    </row>
    <row r="271" customFormat="false" ht="15" hidden="false" customHeight="true" outlineLevel="0" collapsed="false">
      <c r="C271" s="23" t="s">
        <v>316</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323</v>
      </c>
      <c r="B273" s="3" t="s">
        <v>324</v>
      </c>
      <c r="C273" s="3" t="s">
        <v>325</v>
      </c>
      <c r="M273" s="21"/>
      <c r="N273" s="21"/>
      <c r="O273" s="21"/>
    </row>
    <row r="274" customFormat="false" ht="24" hidden="false" customHeight="true" outlineLevel="0" collapsed="false">
      <c r="C274" s="22" t="s">
        <v>326</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327</v>
      </c>
      <c r="B277" s="3" t="s">
        <v>158</v>
      </c>
      <c r="C277" s="3" t="s">
        <v>328</v>
      </c>
      <c r="M277" s="21"/>
      <c r="N277" s="21"/>
      <c r="O277" s="21"/>
    </row>
    <row r="278" customFormat="false" ht="72" hidden="false" customHeight="true" outlineLevel="0" collapsed="false">
      <c r="C278" s="22" t="s">
        <v>329</v>
      </c>
      <c r="M278" s="21"/>
      <c r="N278" s="21"/>
      <c r="O278" s="21"/>
    </row>
    <row r="279" customFormat="false" ht="15" hidden="false" customHeight="true" outlineLevel="0" collapsed="false">
      <c r="C279" s="23" t="s">
        <v>330</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331</v>
      </c>
      <c r="B281" s="3" t="s">
        <v>158</v>
      </c>
      <c r="C281" s="3" t="s">
        <v>332</v>
      </c>
      <c r="M281" s="21"/>
      <c r="N281" s="21"/>
      <c r="O281" s="21"/>
    </row>
    <row r="282" customFormat="false" ht="24" hidden="false" customHeight="true" outlineLevel="0" collapsed="false">
      <c r="C282" s="22" t="s">
        <v>333</v>
      </c>
      <c r="M282" s="21"/>
      <c r="N282" s="21"/>
      <c r="O282" s="21"/>
    </row>
    <row r="283" customFormat="false" ht="15" hidden="false" customHeight="true" outlineLevel="0" collapsed="false">
      <c r="C283" s="23" t="s">
        <v>334</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335</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336</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337</v>
      </c>
      <c r="B287" s="3" t="s">
        <v>158</v>
      </c>
      <c r="C287" s="3" t="s">
        <v>338</v>
      </c>
      <c r="M287" s="21"/>
      <c r="N287" s="21"/>
      <c r="O287" s="21"/>
    </row>
    <row r="288" customFormat="false" ht="24" hidden="false" customHeight="true" outlineLevel="0" collapsed="false">
      <c r="C288" s="22" t="s">
        <v>339</v>
      </c>
      <c r="M288" s="21"/>
      <c r="N288" s="21"/>
      <c r="O288" s="21"/>
    </row>
    <row r="289" customFormat="false" ht="15" hidden="false" customHeight="true" outlineLevel="0" collapsed="false">
      <c r="C289" s="23" t="s">
        <v>340</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341</v>
      </c>
      <c r="B291" s="3" t="s">
        <v>153</v>
      </c>
      <c r="C291" s="3" t="s">
        <v>342</v>
      </c>
      <c r="M291" s="21"/>
      <c r="N291" s="21"/>
      <c r="O291" s="21"/>
    </row>
    <row r="292" customFormat="false" ht="36" hidden="false" customHeight="true" outlineLevel="0" collapsed="false">
      <c r="C292" s="22" t="s">
        <v>343</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344</v>
      </c>
      <c r="M294" s="21" t="s">
        <v>110</v>
      </c>
      <c r="N294" s="21" t="s">
        <v>23</v>
      </c>
      <c r="O294" s="21"/>
    </row>
    <row r="295" customFormat="false" ht="15" hidden="false" customHeight="true" outlineLevel="0" collapsed="false">
      <c r="A295" s="3" t="s">
        <v>345</v>
      </c>
      <c r="B295" s="3" t="s">
        <v>105</v>
      </c>
      <c r="C295" s="3" t="s">
        <v>346</v>
      </c>
      <c r="M295" s="21"/>
      <c r="N295" s="21"/>
      <c r="O295" s="21"/>
    </row>
    <row r="296" customFormat="false" ht="24" hidden="false" customHeight="true" outlineLevel="0" collapsed="false">
      <c r="C296" s="22" t="s">
        <v>347</v>
      </c>
      <c r="M296" s="21"/>
      <c r="N296" s="21"/>
      <c r="O296" s="21"/>
    </row>
    <row r="297" customFormat="false" ht="15" hidden="false" customHeight="true" outlineLevel="0" collapsed="false">
      <c r="C297" s="23" t="s">
        <v>348</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349</v>
      </c>
      <c r="B299" s="3" t="s">
        <v>105</v>
      </c>
      <c r="C299" s="3" t="s">
        <v>350</v>
      </c>
      <c r="M299" s="21"/>
      <c r="N299" s="21"/>
      <c r="O299" s="21"/>
    </row>
    <row r="300" customFormat="false" ht="24" hidden="false" customHeight="true" outlineLevel="0" collapsed="false">
      <c r="C300" s="22" t="s">
        <v>351</v>
      </c>
      <c r="M300" s="21"/>
      <c r="N300" s="21"/>
      <c r="O300" s="21"/>
    </row>
    <row r="301" customFormat="false" ht="15" hidden="false" customHeight="true" outlineLevel="0" collapsed="false">
      <c r="C301" s="23" t="s">
        <v>352</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353</v>
      </c>
      <c r="B303" s="3" t="s">
        <v>153</v>
      </c>
      <c r="C303" s="3" t="s">
        <v>354</v>
      </c>
      <c r="M303" s="21"/>
      <c r="N303" s="21"/>
      <c r="O303" s="21"/>
    </row>
    <row r="304" customFormat="false" ht="24" hidden="false" customHeight="true" outlineLevel="0" collapsed="false">
      <c r="C304" s="22" t="s">
        <v>355</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356</v>
      </c>
      <c r="B307" s="3" t="s">
        <v>153</v>
      </c>
      <c r="C307" s="3" t="s">
        <v>357</v>
      </c>
      <c r="M307" s="21"/>
      <c r="N307" s="21"/>
      <c r="O307" s="21"/>
    </row>
    <row r="308" customFormat="false" ht="24" hidden="false" customHeight="true" outlineLevel="0" collapsed="false">
      <c r="C308" s="22" t="s">
        <v>358</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359</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360</v>
      </c>
      <c r="B314" s="3" t="s">
        <v>153</v>
      </c>
      <c r="C314" s="3" t="s">
        <v>361</v>
      </c>
      <c r="M314" s="21"/>
      <c r="N314" s="21"/>
      <c r="O314" s="21"/>
    </row>
    <row r="315" customFormat="false" ht="24" hidden="false" customHeight="true" outlineLevel="0" collapsed="false">
      <c r="C315" s="22" t="s">
        <v>362</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363</v>
      </c>
      <c r="B318" s="3" t="s">
        <v>153</v>
      </c>
      <c r="C318" s="3" t="s">
        <v>364</v>
      </c>
      <c r="M318" s="21"/>
      <c r="N318" s="21"/>
      <c r="O318" s="21"/>
    </row>
    <row r="319" customFormat="false" ht="72" hidden="false" customHeight="true" outlineLevel="0" collapsed="false">
      <c r="C319" s="22" t="s">
        <v>365</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366</v>
      </c>
      <c r="B323" s="3" t="s">
        <v>153</v>
      </c>
      <c r="C323" s="3" t="s">
        <v>367</v>
      </c>
      <c r="M323" s="21"/>
      <c r="N323" s="21"/>
      <c r="O323" s="21"/>
    </row>
    <row r="324" customFormat="false" ht="24" hidden="false" customHeight="true" outlineLevel="0" collapsed="false">
      <c r="C324" s="22" t="s">
        <v>368</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369</v>
      </c>
      <c r="B327" s="3" t="s">
        <v>158</v>
      </c>
      <c r="C327" s="3" t="s">
        <v>370</v>
      </c>
      <c r="M327" s="21"/>
      <c r="N327" s="21"/>
      <c r="O327" s="21"/>
    </row>
    <row r="328" customFormat="false" ht="24" hidden="false" customHeight="true" outlineLevel="0" collapsed="false">
      <c r="C328" s="22" t="s">
        <v>371</v>
      </c>
      <c r="M328" s="21"/>
      <c r="N328" s="21"/>
      <c r="O328" s="21"/>
    </row>
    <row r="329" customFormat="false" ht="15" hidden="false" customHeight="true" outlineLevel="0" collapsed="false">
      <c r="C329" s="23" t="s">
        <v>372</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373</v>
      </c>
      <c r="B331" s="3" t="s">
        <v>158</v>
      </c>
      <c r="C331" s="3" t="s">
        <v>374</v>
      </c>
      <c r="M331" s="21"/>
      <c r="N331" s="21"/>
      <c r="O331" s="21"/>
    </row>
    <row r="332" customFormat="false" ht="108" hidden="false" customHeight="true" outlineLevel="0" collapsed="false">
      <c r="C332" s="22" t="s">
        <v>375</v>
      </c>
      <c r="M332" s="21"/>
      <c r="N332" s="21"/>
      <c r="O332" s="21"/>
    </row>
    <row r="333" customFormat="false" ht="15" hidden="false" customHeight="true" outlineLevel="0" collapsed="false">
      <c r="C333" s="23" t="s">
        <v>376</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377</v>
      </c>
      <c r="B335" s="3" t="s">
        <v>158</v>
      </c>
      <c r="C335" s="3" t="s">
        <v>378</v>
      </c>
      <c r="M335" s="21"/>
      <c r="N335" s="21"/>
      <c r="O335" s="21"/>
    </row>
    <row r="336" customFormat="false" ht="24" hidden="false" customHeight="true" outlineLevel="0" collapsed="false">
      <c r="C336" s="22" t="s">
        <v>379</v>
      </c>
      <c r="M336" s="21"/>
      <c r="N336" s="21"/>
      <c r="O336" s="21"/>
    </row>
    <row r="337" customFormat="false" ht="15" hidden="false" customHeight="true" outlineLevel="0" collapsed="false">
      <c r="C337" s="23" t="s">
        <v>380</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381</v>
      </c>
      <c r="B339" s="3" t="s">
        <v>153</v>
      </c>
      <c r="C339" s="3" t="s">
        <v>382</v>
      </c>
      <c r="M339" s="21"/>
      <c r="N339" s="21"/>
      <c r="O339" s="21"/>
    </row>
    <row r="340" customFormat="false" ht="12" hidden="false" customHeight="true" outlineLevel="0" collapsed="false">
      <c r="C340" s="22" t="s">
        <v>383</v>
      </c>
      <c r="M340" s="21"/>
      <c r="N340" s="21"/>
      <c r="O340" s="21"/>
    </row>
    <row r="341" customFormat="false" ht="15" hidden="false" customHeight="true" outlineLevel="0" collapsed="false">
      <c r="C341" s="23" t="s">
        <v>384</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385</v>
      </c>
      <c r="B343" s="3" t="s">
        <v>153</v>
      </c>
      <c r="C343" s="3" t="s">
        <v>386</v>
      </c>
      <c r="M343" s="21"/>
      <c r="N343" s="21"/>
      <c r="O343" s="21"/>
    </row>
    <row r="344" customFormat="false" ht="12" hidden="false" customHeight="true" outlineLevel="0" collapsed="false">
      <c r="C344" s="22" t="s">
        <v>387</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388</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389</v>
      </c>
      <c r="B350" s="3" t="s">
        <v>153</v>
      </c>
      <c r="C350" s="3" t="s">
        <v>390</v>
      </c>
      <c r="M350" s="21"/>
      <c r="N350" s="21"/>
      <c r="O350" s="21"/>
    </row>
    <row r="351" customFormat="false" ht="24" hidden="false" customHeight="true" outlineLevel="0" collapsed="false">
      <c r="C351" s="22" t="s">
        <v>391</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392</v>
      </c>
      <c r="B354" s="3" t="s">
        <v>105</v>
      </c>
      <c r="C354" s="3" t="s">
        <v>393</v>
      </c>
      <c r="M354" s="21"/>
      <c r="N354" s="21"/>
      <c r="O354" s="21"/>
    </row>
    <row r="355" customFormat="false" ht="12" hidden="false" customHeight="true" outlineLevel="0" collapsed="false">
      <c r="C355" s="22" t="s">
        <v>394</v>
      </c>
      <c r="M355" s="21"/>
      <c r="N355" s="21"/>
      <c r="O355" s="21"/>
    </row>
    <row r="356" customFormat="false" ht="15" hidden="false" customHeight="true" outlineLevel="0" collapsed="false">
      <c r="C356" s="23" t="s">
        <v>395</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396</v>
      </c>
      <c r="B358" s="3" t="s">
        <v>153</v>
      </c>
      <c r="C358" s="3" t="s">
        <v>397</v>
      </c>
      <c r="M358" s="21"/>
      <c r="N358" s="21"/>
      <c r="O358" s="21"/>
    </row>
    <row r="359" customFormat="false" ht="24" hidden="false" customHeight="true" outlineLevel="0" collapsed="false">
      <c r="C359" s="22" t="s">
        <v>398</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399</v>
      </c>
      <c r="M361" s="21" t="s">
        <v>110</v>
      </c>
      <c r="N361" s="21" t="s">
        <v>27</v>
      </c>
      <c r="O361" s="21"/>
    </row>
    <row r="362" customFormat="false" ht="15" hidden="false" customHeight="true" outlineLevel="0" collapsed="false">
      <c r="C362" s="30" t="s">
        <v>400</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401</v>
      </c>
      <c r="B365" s="3" t="s">
        <v>153</v>
      </c>
      <c r="C365" s="3" t="s">
        <v>402</v>
      </c>
      <c r="M365" s="21"/>
      <c r="N365" s="21"/>
      <c r="O365" s="21"/>
    </row>
    <row r="366" customFormat="false" ht="24" hidden="false" customHeight="true" outlineLevel="0" collapsed="false">
      <c r="C366" s="22" t="s">
        <v>403</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404</v>
      </c>
      <c r="B369" s="3" t="s">
        <v>153</v>
      </c>
      <c r="C369" s="3" t="s">
        <v>405</v>
      </c>
      <c r="M369" s="21"/>
      <c r="N369" s="21"/>
      <c r="O369" s="21"/>
    </row>
    <row r="370" customFormat="false" ht="24" hidden="false" customHeight="true" outlineLevel="0" collapsed="false">
      <c r="C370" s="22" t="s">
        <v>406</v>
      </c>
      <c r="M370" s="21"/>
      <c r="N370" s="21"/>
      <c r="O370" s="21"/>
    </row>
    <row r="371" customFormat="false" ht="15" hidden="false" customHeight="true" outlineLevel="0" collapsed="false">
      <c r="C371" s="23" t="s">
        <v>407</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408</v>
      </c>
      <c r="B373" s="3" t="s">
        <v>153</v>
      </c>
      <c r="C373" s="3" t="s">
        <v>409</v>
      </c>
      <c r="M373" s="21"/>
      <c r="N373" s="21"/>
      <c r="O373" s="21"/>
    </row>
    <row r="374" customFormat="false" ht="24" hidden="false" customHeight="true" outlineLevel="0" collapsed="false">
      <c r="C374" s="22" t="s">
        <v>410</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411</v>
      </c>
      <c r="B378" s="3" t="s">
        <v>153</v>
      </c>
      <c r="C378" s="3" t="s">
        <v>412</v>
      </c>
      <c r="M378" s="21"/>
      <c r="N378" s="21"/>
      <c r="O378" s="21"/>
    </row>
    <row r="379" customFormat="false" ht="24" hidden="false" customHeight="true" outlineLevel="0" collapsed="false">
      <c r="C379" s="22" t="s">
        <v>413</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414</v>
      </c>
      <c r="B383" s="3" t="s">
        <v>153</v>
      </c>
      <c r="C383" s="3" t="s">
        <v>415</v>
      </c>
      <c r="M383" s="21"/>
      <c r="N383" s="21"/>
      <c r="O383" s="21"/>
    </row>
    <row r="384" customFormat="false" ht="12" hidden="false" customHeight="true" outlineLevel="0" collapsed="false">
      <c r="C384" s="22" t="s">
        <v>416</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417</v>
      </c>
      <c r="B387" s="3" t="s">
        <v>153</v>
      </c>
      <c r="C387" s="3" t="s">
        <v>418</v>
      </c>
      <c r="M387" s="21"/>
      <c r="N387" s="21"/>
      <c r="O387" s="21"/>
    </row>
    <row r="388" customFormat="false" ht="132" hidden="false" customHeight="true" outlineLevel="0" collapsed="false">
      <c r="C388" s="22" t="s">
        <v>419</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420</v>
      </c>
      <c r="B391" s="3" t="s">
        <v>158</v>
      </c>
      <c r="C391" s="3" t="s">
        <v>421</v>
      </c>
      <c r="M391" s="21"/>
      <c r="N391" s="21"/>
      <c r="O391" s="21"/>
    </row>
    <row r="392" customFormat="false" ht="24" hidden="false" customHeight="true" outlineLevel="0" collapsed="false">
      <c r="C392" s="22" t="s">
        <v>422</v>
      </c>
      <c r="M392" s="21"/>
      <c r="N392" s="21"/>
      <c r="O392" s="21"/>
    </row>
    <row r="393" customFormat="false" ht="15" hidden="false" customHeight="true" outlineLevel="0" collapsed="false">
      <c r="C393" s="23" t="s">
        <v>288</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423</v>
      </c>
      <c r="B395" s="3" t="s">
        <v>105</v>
      </c>
      <c r="C395" s="3" t="s">
        <v>424</v>
      </c>
      <c r="M395" s="21"/>
      <c r="N395" s="21"/>
      <c r="O395" s="21"/>
    </row>
    <row r="396" customFormat="false" ht="24" hidden="false" customHeight="true" outlineLevel="0" collapsed="false">
      <c r="C396" s="22" t="s">
        <v>425</v>
      </c>
      <c r="M396" s="21"/>
      <c r="N396" s="21"/>
      <c r="O396" s="21"/>
    </row>
    <row r="397" customFormat="false" ht="15" hidden="false" customHeight="true" outlineLevel="0" collapsed="false">
      <c r="C397" s="23" t="s">
        <v>287</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426</v>
      </c>
      <c r="B399" s="3" t="s">
        <v>153</v>
      </c>
      <c r="C399" s="3" t="s">
        <v>427</v>
      </c>
      <c r="M399" s="21"/>
      <c r="N399" s="21"/>
      <c r="O399" s="21"/>
    </row>
    <row r="400" customFormat="false" ht="24" hidden="false" customHeight="true" outlineLevel="0" collapsed="false">
      <c r="C400" s="22" t="s">
        <v>428</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429</v>
      </c>
      <c r="M402" s="21" t="s">
        <v>110</v>
      </c>
      <c r="N402" s="21" t="s">
        <v>29</v>
      </c>
      <c r="O402" s="21"/>
    </row>
    <row r="403" customFormat="false" ht="15" hidden="false" customHeight="true" outlineLevel="0" collapsed="false">
      <c r="C403" s="30" t="s">
        <v>430</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431</v>
      </c>
      <c r="B406" s="3" t="s">
        <v>324</v>
      </c>
      <c r="C406" s="3" t="s">
        <v>432</v>
      </c>
      <c r="M406" s="21"/>
      <c r="N406" s="21"/>
      <c r="O406" s="21"/>
    </row>
    <row r="407" customFormat="false" ht="36" hidden="false" customHeight="true" outlineLevel="0" collapsed="false">
      <c r="C407" s="22" t="s">
        <v>433</v>
      </c>
      <c r="M407" s="21"/>
      <c r="N407" s="21"/>
      <c r="O407" s="21"/>
    </row>
    <row r="408" customFormat="false" ht="15" hidden="false" customHeight="true" outlineLevel="0" collapsed="false">
      <c r="C408" s="23" t="s">
        <v>219</v>
      </c>
      <c r="D408" s="24" t="n">
        <v>1</v>
      </c>
      <c r="E408" s="31" t="n">
        <f aca="false">'Mediciones BIM'!E38</f>
        <v>316.1</v>
      </c>
      <c r="H408" s="25" t="n">
        <f aca="false">IF(COUNT(D408:G408)=0,0,D408*IF(E408="",1,E408)*IF(F408="",1,F408)*IF(G408="",1,G408))</f>
        <v>316.1</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316.1</v>
      </c>
      <c r="J411" s="28" t="n">
        <v>29.56</v>
      </c>
      <c r="K411" s="27" t="n">
        <f aca="false">ROUND(I411*J411,2)</f>
        <v>9343.92</v>
      </c>
      <c r="L411" s="29" t="s">
        <v>109</v>
      </c>
      <c r="M411" s="21" t="s">
        <v>110</v>
      </c>
      <c r="N411" s="21" t="s">
        <v>31</v>
      </c>
      <c r="O411" s="21"/>
    </row>
    <row r="412" customFormat="false" ht="15" hidden="false" customHeight="true" outlineLevel="0" collapsed="false">
      <c r="A412" s="3" t="s">
        <v>434</v>
      </c>
      <c r="B412" s="3" t="s">
        <v>153</v>
      </c>
      <c r="C412" s="3" t="s">
        <v>435</v>
      </c>
      <c r="M412" s="21"/>
      <c r="N412" s="21"/>
      <c r="O412" s="21"/>
    </row>
    <row r="413" customFormat="false" ht="24" hidden="false" customHeight="true" outlineLevel="0" collapsed="false">
      <c r="C413" s="22" t="s">
        <v>436</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437</v>
      </c>
      <c r="B422" s="3" t="s">
        <v>153</v>
      </c>
      <c r="C422" s="3" t="s">
        <v>438</v>
      </c>
      <c r="M422" s="21"/>
      <c r="N422" s="21"/>
      <c r="O422" s="21"/>
    </row>
    <row r="423" customFormat="false" ht="24" hidden="false" customHeight="true" outlineLevel="0" collapsed="false">
      <c r="C423" s="22" t="s">
        <v>439</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440</v>
      </c>
      <c r="B430" s="3" t="s">
        <v>153</v>
      </c>
      <c r="C430" s="3" t="s">
        <v>441</v>
      </c>
      <c r="M430" s="21"/>
      <c r="N430" s="21"/>
      <c r="O430" s="21"/>
    </row>
    <row r="431" customFormat="false" ht="12" hidden="false" customHeight="true" outlineLevel="0" collapsed="false">
      <c r="C431" s="22" t="s">
        <v>442</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443</v>
      </c>
      <c r="K434" s="11" t="n">
        <f aca="false">SUMIFS($K$5:$K$433,$M$5:$M$433,"P",$N$5:$N$433,"11")</f>
        <v>28737.74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444</v>
      </c>
      <c r="B437" s="3" t="s">
        <v>105</v>
      </c>
      <c r="C437" s="3" t="s">
        <v>445</v>
      </c>
      <c r="M437" s="21"/>
      <c r="N437" s="21"/>
      <c r="O437" s="21"/>
    </row>
    <row r="438" customFormat="false" ht="24" hidden="false" customHeight="true" outlineLevel="0" collapsed="false">
      <c r="C438" s="22" t="s">
        <v>446</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447</v>
      </c>
      <c r="B441" s="3" t="s">
        <v>105</v>
      </c>
      <c r="C441" s="3" t="s">
        <v>448</v>
      </c>
      <c r="M441" s="21"/>
      <c r="N441" s="21"/>
      <c r="O441" s="21"/>
    </row>
    <row r="442" customFormat="false" ht="24" hidden="false" customHeight="true" outlineLevel="0" collapsed="false">
      <c r="C442" s="22" t="s">
        <v>449</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450</v>
      </c>
      <c r="B445" s="3" t="s">
        <v>105</v>
      </c>
      <c r="C445" s="3" t="s">
        <v>451</v>
      </c>
      <c r="M445" s="21"/>
      <c r="N445" s="21"/>
      <c r="O445" s="21"/>
    </row>
    <row r="446" customFormat="false" ht="36" hidden="false" customHeight="true" outlineLevel="0" collapsed="false">
      <c r="C446" s="22" t="s">
        <v>452</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453</v>
      </c>
      <c r="B449" s="3" t="s">
        <v>105</v>
      </c>
      <c r="C449" s="3" t="s">
        <v>454</v>
      </c>
      <c r="M449" s="21"/>
      <c r="N449" s="21"/>
      <c r="O449" s="21"/>
    </row>
    <row r="450" customFormat="false" ht="36" hidden="false" customHeight="true" outlineLevel="0" collapsed="false">
      <c r="C450" s="22" t="s">
        <v>455</v>
      </c>
      <c r="M450" s="21"/>
      <c r="N450" s="21"/>
      <c r="O450" s="21"/>
    </row>
    <row r="451" customFormat="false" ht="15" hidden="false" customHeight="true" outlineLevel="0" collapsed="false">
      <c r="C451" s="23" t="s">
        <v>456</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457</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458</v>
      </c>
      <c r="B456" s="3" t="s">
        <v>105</v>
      </c>
      <c r="C456" s="3" t="s">
        <v>459</v>
      </c>
      <c r="M456" s="21"/>
      <c r="N456" s="21"/>
      <c r="O456" s="21"/>
    </row>
    <row r="457" customFormat="false" ht="60" hidden="false" customHeight="true" outlineLevel="0" collapsed="false">
      <c r="C457" s="22" t="s">
        <v>460</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461</v>
      </c>
      <c r="B460" s="3" t="s">
        <v>105</v>
      </c>
      <c r="C460" s="3" t="s">
        <v>462</v>
      </c>
      <c r="M460" s="21"/>
      <c r="N460" s="21"/>
      <c r="O460" s="21"/>
    </row>
    <row r="461" customFormat="false" ht="60" hidden="false" customHeight="true" outlineLevel="0" collapsed="false">
      <c r="C461" s="22" t="s">
        <v>463</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464</v>
      </c>
      <c r="B464" s="3" t="s">
        <v>105</v>
      </c>
      <c r="C464" s="3" t="s">
        <v>465</v>
      </c>
      <c r="M464" s="21"/>
      <c r="N464" s="21"/>
      <c r="O464" s="21"/>
    </row>
    <row r="465" customFormat="false" ht="60" hidden="false" customHeight="true" outlineLevel="0" collapsed="false">
      <c r="C465" s="22" t="s">
        <v>466</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467</v>
      </c>
      <c r="B468" s="3" t="s">
        <v>105</v>
      </c>
      <c r="C468" s="3" t="s">
        <v>468</v>
      </c>
      <c r="M468" s="21"/>
      <c r="N468" s="21"/>
      <c r="O468" s="21"/>
    </row>
    <row r="469" customFormat="false" ht="60" hidden="false" customHeight="true" outlineLevel="0" collapsed="false">
      <c r="C469" s="22" t="s">
        <v>469</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470</v>
      </c>
      <c r="B472" s="3" t="s">
        <v>105</v>
      </c>
      <c r="C472" s="3" t="s">
        <v>471</v>
      </c>
      <c r="M472" s="21"/>
      <c r="N472" s="21"/>
      <c r="O472" s="21"/>
    </row>
    <row r="473" customFormat="false" ht="60" hidden="false" customHeight="true" outlineLevel="0" collapsed="false">
      <c r="C473" s="22" t="s">
        <v>472</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473</v>
      </c>
      <c r="B476" s="3" t="s">
        <v>105</v>
      </c>
      <c r="C476" s="3" t="s">
        <v>474</v>
      </c>
      <c r="M476" s="21"/>
      <c r="N476" s="21"/>
      <c r="O476" s="21"/>
    </row>
    <row r="477" customFormat="false" ht="60" hidden="false" customHeight="true" outlineLevel="0" collapsed="false">
      <c r="C477" s="22" t="s">
        <v>475</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476</v>
      </c>
      <c r="B480" s="3" t="s">
        <v>105</v>
      </c>
      <c r="C480" s="3" t="s">
        <v>477</v>
      </c>
      <c r="M480" s="21"/>
      <c r="N480" s="21"/>
      <c r="O480" s="21"/>
    </row>
    <row r="481" customFormat="false" ht="60" hidden="false" customHeight="true" outlineLevel="0" collapsed="false">
      <c r="C481" s="22" t="s">
        <v>478</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479</v>
      </c>
      <c r="B484" s="3" t="s">
        <v>105</v>
      </c>
      <c r="C484" s="3" t="s">
        <v>480</v>
      </c>
      <c r="M484" s="21"/>
      <c r="N484" s="21"/>
      <c r="O484" s="21"/>
    </row>
    <row r="485" customFormat="false" ht="60" hidden="false" customHeight="true" outlineLevel="0" collapsed="false">
      <c r="C485" s="22" t="s">
        <v>481</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482</v>
      </c>
      <c r="B488" s="3" t="s">
        <v>105</v>
      </c>
      <c r="C488" s="3" t="s">
        <v>483</v>
      </c>
      <c r="M488" s="21"/>
      <c r="N488" s="21"/>
      <c r="O488" s="21"/>
    </row>
    <row r="489" customFormat="false" ht="60" hidden="false" customHeight="true" outlineLevel="0" collapsed="false">
      <c r="C489" s="22" t="s">
        <v>484</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485</v>
      </c>
      <c r="B492" s="3" t="s">
        <v>105</v>
      </c>
      <c r="C492" s="3" t="s">
        <v>486</v>
      </c>
      <c r="M492" s="21"/>
      <c r="N492" s="21"/>
      <c r="O492" s="21"/>
    </row>
    <row r="493" customFormat="false" ht="60" hidden="false" customHeight="true" outlineLevel="0" collapsed="false">
      <c r="C493" s="22" t="s">
        <v>487</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488</v>
      </c>
      <c r="B496" s="3" t="s">
        <v>105</v>
      </c>
      <c r="C496" s="3" t="s">
        <v>489</v>
      </c>
      <c r="M496" s="21"/>
      <c r="N496" s="21"/>
      <c r="O496" s="21"/>
    </row>
    <row r="497" customFormat="false" ht="60" hidden="false" customHeight="true" outlineLevel="0" collapsed="false">
      <c r="C497" s="22" t="s">
        <v>490</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491</v>
      </c>
      <c r="B500" s="3" t="s">
        <v>105</v>
      </c>
      <c r="C500" s="3" t="s">
        <v>492</v>
      </c>
      <c r="M500" s="21"/>
      <c r="N500" s="21"/>
      <c r="O500" s="21"/>
    </row>
    <row r="501" customFormat="false" ht="24" hidden="false" customHeight="true" outlineLevel="0" collapsed="false">
      <c r="C501" s="22" t="s">
        <v>493</v>
      </c>
      <c r="M501" s="21"/>
      <c r="N501" s="21"/>
      <c r="O501" s="21"/>
    </row>
    <row r="502" customFormat="false" ht="15" hidden="false" customHeight="true" outlineLevel="0" collapsed="false">
      <c r="C502" s="23" t="s">
        <v>494</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495</v>
      </c>
      <c r="B504" s="3" t="s">
        <v>105</v>
      </c>
      <c r="C504" s="3" t="s">
        <v>496</v>
      </c>
      <c r="M504" s="21"/>
      <c r="N504" s="21"/>
      <c r="O504" s="21"/>
    </row>
    <row r="505" customFormat="false" ht="24" hidden="false" customHeight="true" outlineLevel="0" collapsed="false">
      <c r="C505" s="22" t="s">
        <v>497</v>
      </c>
      <c r="M505" s="21"/>
      <c r="N505" s="21"/>
      <c r="O505" s="21"/>
    </row>
    <row r="506" customFormat="false" ht="15" hidden="false" customHeight="true" outlineLevel="0" collapsed="false">
      <c r="C506" s="23" t="s">
        <v>287</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498</v>
      </c>
      <c r="B508" s="3" t="s">
        <v>105</v>
      </c>
      <c r="C508" s="3" t="s">
        <v>499</v>
      </c>
      <c r="M508" s="21"/>
      <c r="N508" s="21"/>
      <c r="O508" s="21"/>
    </row>
    <row r="509" customFormat="false" ht="36" hidden="false" customHeight="true" outlineLevel="0" collapsed="false">
      <c r="C509" s="22" t="s">
        <v>500</v>
      </c>
      <c r="M509" s="21"/>
      <c r="N509" s="21"/>
      <c r="O509" s="21"/>
    </row>
    <row r="510" customFormat="false" ht="15" hidden="false" customHeight="true" outlineLevel="0" collapsed="false">
      <c r="C510" s="23" t="s">
        <v>288</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501</v>
      </c>
      <c r="B512" s="3" t="s">
        <v>105</v>
      </c>
      <c r="C512" s="3" t="s">
        <v>502</v>
      </c>
      <c r="M512" s="21"/>
      <c r="N512" s="21"/>
      <c r="O512" s="21"/>
    </row>
    <row r="513" customFormat="false" ht="36" hidden="false" customHeight="true" outlineLevel="0" collapsed="false">
      <c r="C513" s="22" t="s">
        <v>503</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504</v>
      </c>
      <c r="M515" s="21" t="s">
        <v>110</v>
      </c>
      <c r="N515" s="21" t="s">
        <v>35</v>
      </c>
      <c r="O515" s="21"/>
    </row>
    <row r="516" customFormat="false" ht="15" hidden="false" customHeight="true" outlineLevel="0" collapsed="false">
      <c r="A516" s="3" t="s">
        <v>505</v>
      </c>
      <c r="B516" s="3" t="s">
        <v>158</v>
      </c>
      <c r="C516" s="3" t="s">
        <v>506</v>
      </c>
      <c r="M516" s="21"/>
      <c r="N516" s="21"/>
      <c r="O516" s="21"/>
    </row>
    <row r="517" customFormat="false" ht="60" hidden="false" customHeight="true" outlineLevel="0" collapsed="false">
      <c r="C517" s="22" t="s">
        <v>507</v>
      </c>
      <c r="M517" s="21"/>
      <c r="N517" s="21"/>
      <c r="O517" s="21"/>
    </row>
    <row r="518" customFormat="false" ht="15" hidden="false" customHeight="true" outlineLevel="0" collapsed="false">
      <c r="C518" s="23" t="s">
        <v>508</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509</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510</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511</v>
      </c>
      <c r="B524" s="3" t="s">
        <v>153</v>
      </c>
      <c r="C524" s="3" t="s">
        <v>512</v>
      </c>
      <c r="M524" s="21"/>
      <c r="N524" s="21"/>
      <c r="O524" s="21"/>
    </row>
    <row r="525" customFormat="false" ht="24" hidden="false" customHeight="true" outlineLevel="0" collapsed="false">
      <c r="C525" s="22" t="s">
        <v>513</v>
      </c>
      <c r="M525" s="21"/>
      <c r="N525" s="21"/>
      <c r="O525" s="21"/>
    </row>
    <row r="526" customFormat="false" ht="15" hidden="false" customHeight="true" outlineLevel="0" collapsed="false">
      <c r="C526" s="23" t="s">
        <v>285</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286</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514</v>
      </c>
      <c r="B529" s="3" t="s">
        <v>105</v>
      </c>
      <c r="C529" s="3" t="s">
        <v>515</v>
      </c>
      <c r="M529" s="21"/>
      <c r="N529" s="21"/>
      <c r="O529" s="21"/>
    </row>
    <row r="530" customFormat="false" ht="24" hidden="false" customHeight="true" outlineLevel="0" collapsed="false">
      <c r="C530" s="22" t="s">
        <v>516</v>
      </c>
      <c r="M530" s="21"/>
      <c r="N530" s="21"/>
      <c r="O530" s="21"/>
    </row>
    <row r="531" customFormat="false" ht="15" hidden="false" customHeight="true" outlineLevel="0" collapsed="false">
      <c r="C531" s="23" t="s">
        <v>517</v>
      </c>
      <c r="D531" s="24" t="n">
        <v>1</v>
      </c>
      <c r="H531" s="25" t="n">
        <f aca="false">IF(COUNT(D531:G531)=0,0,D531*IF(E531="",1,E531)*IF(F531="",1,F531)*IF(G531="",1,G531))</f>
        <v>1</v>
      </c>
      <c r="M531" s="21"/>
      <c r="N531" s="21"/>
      <c r="O531" s="21"/>
    </row>
    <row r="532" customFormat="false" ht="15" hidden="false" customHeight="true" outlineLevel="0" collapsed="false">
      <c r="C532" s="23" t="s">
        <v>518</v>
      </c>
      <c r="D532" s="24" t="n">
        <v>1</v>
      </c>
      <c r="H532" s="25" t="n">
        <f aca="false">IF(COUNT(D532:G532)=0,0,D532*IF(E532="",1,E532)*IF(F532="",1,F532)*IF(G532="",1,G532))</f>
        <v>1</v>
      </c>
      <c r="M532" s="21"/>
      <c r="N532" s="21"/>
      <c r="O532" s="21"/>
    </row>
    <row r="533" customFormat="false" ht="15" hidden="false" customHeight="true" outlineLevel="0" collapsed="false">
      <c r="C533" s="23" t="s">
        <v>519</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520</v>
      </c>
      <c r="B535" s="3" t="s">
        <v>158</v>
      </c>
      <c r="C535" s="3" t="s">
        <v>521</v>
      </c>
      <c r="M535" s="21"/>
      <c r="N535" s="21"/>
      <c r="O535" s="21"/>
    </row>
    <row r="536" customFormat="false" ht="36" hidden="false" customHeight="true" outlineLevel="0" collapsed="false">
      <c r="C536" s="22" t="s">
        <v>522</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523</v>
      </c>
      <c r="B541" s="3" t="s">
        <v>105</v>
      </c>
      <c r="C541" s="3" t="s">
        <v>524</v>
      </c>
      <c r="M541" s="21"/>
      <c r="N541" s="21"/>
      <c r="O541" s="21"/>
    </row>
    <row r="542" customFormat="false" ht="24" hidden="false" customHeight="true" outlineLevel="0" collapsed="false">
      <c r="C542" s="22" t="s">
        <v>525</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526</v>
      </c>
      <c r="B545" s="3" t="s">
        <v>158</v>
      </c>
      <c r="C545" s="3" t="s">
        <v>527</v>
      </c>
      <c r="M545" s="21"/>
      <c r="N545" s="21"/>
      <c r="O545" s="21"/>
    </row>
    <row r="546" customFormat="false" ht="12" hidden="false" customHeight="true" outlineLevel="0" collapsed="false">
      <c r="C546" s="22" t="s">
        <v>528</v>
      </c>
      <c r="M546" s="21"/>
      <c r="N546" s="21"/>
      <c r="O546" s="21"/>
    </row>
    <row r="547" customFormat="false" ht="15" hidden="false" customHeight="true" outlineLevel="0" collapsed="false">
      <c r="C547" s="23" t="s">
        <v>529</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530</v>
      </c>
      <c r="B549" s="3" t="s">
        <v>105</v>
      </c>
      <c r="C549" s="3" t="s">
        <v>531</v>
      </c>
      <c r="M549" s="21"/>
      <c r="N549" s="21"/>
      <c r="O549" s="21"/>
    </row>
    <row r="550" customFormat="false" ht="18.75" hidden="false" customHeight="true" outlineLevel="0" collapsed="false">
      <c r="C550" s="22" t="s">
        <v>532</v>
      </c>
      <c r="M550" s="21"/>
      <c r="N550" s="21"/>
      <c r="O550" s="21"/>
    </row>
    <row r="551" customFormat="false" ht="18.75" hidden="false" customHeight="true" outlineLevel="0" collapsed="false">
      <c r="C551" s="23" t="s">
        <v>533</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534</v>
      </c>
      <c r="M552" s="21" t="s">
        <v>110</v>
      </c>
      <c r="N552" s="21" t="s">
        <v>37</v>
      </c>
      <c r="O552" s="21"/>
    </row>
    <row r="553" customFormat="false" ht="15" hidden="false" customHeight="true" outlineLevel="0" collapsed="false">
      <c r="C553" s="30" t="s">
        <v>535</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536</v>
      </c>
      <c r="B556" s="3" t="s">
        <v>153</v>
      </c>
      <c r="C556" s="3" t="s">
        <v>537</v>
      </c>
      <c r="M556" s="21"/>
      <c r="N556" s="21"/>
      <c r="O556" s="21"/>
    </row>
    <row r="557" customFormat="false" ht="96" hidden="false" customHeight="true" outlineLevel="0" collapsed="false">
      <c r="C557" s="22" t="s">
        <v>538</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539</v>
      </c>
      <c r="B561" s="3" t="s">
        <v>324</v>
      </c>
      <c r="C561" s="3" t="s">
        <v>540</v>
      </c>
      <c r="M561" s="21"/>
      <c r="N561" s="21"/>
      <c r="O561" s="21"/>
    </row>
    <row r="562" customFormat="false" ht="36" hidden="false" customHeight="true" outlineLevel="0" collapsed="false">
      <c r="C562" s="22" t="s">
        <v>541</v>
      </c>
      <c r="M562" s="21"/>
      <c r="N562" s="21"/>
      <c r="O562" s="21"/>
    </row>
    <row r="563" customFormat="false" ht="15" hidden="false" customHeight="true" outlineLevel="0" collapsed="false">
      <c r="C563" s="23" t="s">
        <v>219</v>
      </c>
      <c r="D563" s="24" t="n">
        <v>1</v>
      </c>
      <c r="E563" s="31" t="n">
        <f aca="false">'Mediciones BIM'!E58</f>
        <v>316.1</v>
      </c>
      <c r="H563" s="25" t="n">
        <f aca="false">IF(COUNT(D563:G563)=0,0,D563*IF(E563="",1,E563)*IF(F563="",1,F563)*IF(G563="",1,G563))</f>
        <v>316.1</v>
      </c>
      <c r="M563" s="21"/>
      <c r="N563" s="21"/>
      <c r="O563" s="21"/>
    </row>
    <row r="564" customFormat="false" ht="15" hidden="false" customHeight="true" outlineLevel="0" collapsed="false">
      <c r="H564" s="26"/>
      <c r="I564" s="27" t="n">
        <f aca="false">ROUND(SUM(H563:H563),2)</f>
        <v>316.1</v>
      </c>
      <c r="J564" s="28" t="n">
        <v>7.55</v>
      </c>
      <c r="K564" s="27" t="n">
        <f aca="false">ROUND(I564*J564,2)</f>
        <v>2386.56</v>
      </c>
      <c r="L564" s="29" t="s">
        <v>109</v>
      </c>
      <c r="M564" s="21" t="s">
        <v>110</v>
      </c>
      <c r="N564" s="21" t="s">
        <v>39</v>
      </c>
      <c r="O564" s="21"/>
    </row>
    <row r="565" customFormat="false" ht="15" hidden="false" customHeight="true" outlineLevel="0" collapsed="false">
      <c r="C565" s="30" t="s">
        <v>542</v>
      </c>
      <c r="K565" s="11" t="n">
        <f aca="false">SUMIFS($K$5:$K$564,$M$5:$M$564,"P",$N$5:$N$564,"15")</f>
        <v>9002.57</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543</v>
      </c>
      <c r="C568" s="3" t="s">
        <v>544</v>
      </c>
      <c r="M568" s="21" t="s">
        <v>194</v>
      </c>
      <c r="N568" s="21" t="s">
        <v>41</v>
      </c>
      <c r="O568" s="21" t="s">
        <v>543</v>
      </c>
    </row>
    <row r="569" customFormat="false" ht="15" hidden="false" customHeight="true" outlineLevel="0" collapsed="false">
      <c r="A569" s="3" t="s">
        <v>545</v>
      </c>
      <c r="B569" s="3" t="s">
        <v>546</v>
      </c>
      <c r="C569" s="3" t="s">
        <v>547</v>
      </c>
      <c r="M569" s="21"/>
      <c r="N569" s="21"/>
      <c r="O569" s="21"/>
    </row>
    <row r="570" customFormat="false" ht="288" hidden="false" customHeight="true" outlineLevel="0" collapsed="false">
      <c r="C570" s="22" t="s">
        <v>548</v>
      </c>
      <c r="M570" s="21"/>
      <c r="N570" s="21"/>
      <c r="O570" s="21"/>
    </row>
    <row r="571" customFormat="false" ht="15" hidden="false" customHeight="true" outlineLevel="0" collapsed="false">
      <c r="C571" s="23" t="s">
        <v>549</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543</v>
      </c>
    </row>
    <row r="573" customFormat="false" ht="15" hidden="false" customHeight="true" outlineLevel="0" collapsed="false">
      <c r="A573" s="3" t="s">
        <v>550</v>
      </c>
      <c r="B573" s="3" t="s">
        <v>546</v>
      </c>
      <c r="C573" s="3" t="s">
        <v>551</v>
      </c>
      <c r="M573" s="21"/>
      <c r="N573" s="21"/>
      <c r="O573" s="21"/>
    </row>
    <row r="574" customFormat="false" ht="132" hidden="false" customHeight="true" outlineLevel="0" collapsed="false">
      <c r="C574" s="22" t="s">
        <v>552</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543</v>
      </c>
    </row>
    <row r="577" customFormat="false" ht="15" hidden="false" customHeight="true" outlineLevel="0" collapsed="false">
      <c r="A577" s="3" t="s">
        <v>553</v>
      </c>
      <c r="B577" s="3" t="s">
        <v>554</v>
      </c>
      <c r="C577" s="3" t="s">
        <v>555</v>
      </c>
      <c r="M577" s="21"/>
      <c r="N577" s="21"/>
      <c r="O577" s="21"/>
    </row>
    <row r="578" customFormat="false" ht="168" hidden="false" customHeight="true" outlineLevel="0" collapsed="false">
      <c r="C578" s="22" t="s">
        <v>556</v>
      </c>
      <c r="M578" s="21"/>
      <c r="N578" s="21"/>
      <c r="O578" s="21"/>
    </row>
    <row r="579" customFormat="false" ht="15" hidden="false" customHeight="true" outlineLevel="0" collapsed="false">
      <c r="C579" s="23" t="s">
        <v>557</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543</v>
      </c>
    </row>
    <row r="581" customFormat="false" ht="15" hidden="false" customHeight="true" outlineLevel="0" collapsed="false">
      <c r="A581" s="3" t="s">
        <v>558</v>
      </c>
      <c r="B581" s="3" t="s">
        <v>546</v>
      </c>
      <c r="C581" s="3" t="s">
        <v>559</v>
      </c>
      <c r="M581" s="21"/>
      <c r="N581" s="21"/>
      <c r="O581" s="21"/>
    </row>
    <row r="582" customFormat="false" ht="108" hidden="false" customHeight="true" outlineLevel="0" collapsed="false">
      <c r="C582" s="22" t="s">
        <v>560</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543</v>
      </c>
    </row>
    <row r="585" customFormat="false" ht="15" hidden="false" customHeight="true" outlineLevel="0" collapsed="false">
      <c r="A585" s="3" t="s">
        <v>561</v>
      </c>
      <c r="B585" s="3" t="s">
        <v>554</v>
      </c>
      <c r="C585" s="3" t="s">
        <v>562</v>
      </c>
      <c r="M585" s="21"/>
      <c r="N585" s="21"/>
      <c r="O585" s="21"/>
    </row>
    <row r="586" customFormat="false" ht="96" hidden="false" customHeight="true" outlineLevel="0" collapsed="false">
      <c r="C586" s="22" t="s">
        <v>563</v>
      </c>
      <c r="M586" s="21"/>
      <c r="N586" s="21"/>
      <c r="O586" s="21"/>
    </row>
    <row r="587" customFormat="false" ht="15" hidden="false" customHeight="true" outlineLevel="0" collapsed="false">
      <c r="C587" s="23" t="s">
        <v>564</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543</v>
      </c>
    </row>
    <row r="589" customFormat="false" ht="15" hidden="false" customHeight="true" outlineLevel="0" collapsed="false">
      <c r="A589" s="3" t="s">
        <v>565</v>
      </c>
      <c r="B589" s="3" t="s">
        <v>554</v>
      </c>
      <c r="C589" s="3" t="s">
        <v>566</v>
      </c>
      <c r="M589" s="21"/>
      <c r="N589" s="21"/>
      <c r="O589" s="21"/>
    </row>
    <row r="590" customFormat="false" ht="96" hidden="false" customHeight="true" outlineLevel="0" collapsed="false">
      <c r="C590" s="22" t="s">
        <v>567</v>
      </c>
      <c r="M590" s="21"/>
      <c r="N590" s="21"/>
      <c r="O590" s="21"/>
    </row>
    <row r="591" customFormat="false" ht="15" hidden="false" customHeight="true" outlineLevel="0" collapsed="false">
      <c r="C591" s="23" t="s">
        <v>568</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543</v>
      </c>
    </row>
    <row r="593" customFormat="false" ht="15" hidden="false" customHeight="true" outlineLevel="0" collapsed="false">
      <c r="A593" s="3" t="s">
        <v>569</v>
      </c>
      <c r="B593" s="3" t="s">
        <v>554</v>
      </c>
      <c r="C593" s="3" t="s">
        <v>570</v>
      </c>
      <c r="M593" s="21"/>
      <c r="N593" s="21"/>
      <c r="O593" s="21"/>
    </row>
    <row r="594" customFormat="false" ht="96" hidden="false" customHeight="true" outlineLevel="0" collapsed="false">
      <c r="C594" s="22" t="s">
        <v>571</v>
      </c>
      <c r="M594" s="21"/>
      <c r="N594" s="21"/>
      <c r="O594" s="21"/>
    </row>
    <row r="595" customFormat="false" ht="15" hidden="false" customHeight="true" outlineLevel="0" collapsed="false">
      <c r="C595" s="23" t="s">
        <v>572</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543</v>
      </c>
    </row>
    <row r="597" customFormat="false" ht="15" hidden="false" customHeight="true" outlineLevel="0" collapsed="false">
      <c r="A597" s="3" t="s">
        <v>573</v>
      </c>
      <c r="B597" s="3" t="s">
        <v>554</v>
      </c>
      <c r="C597" s="3" t="s">
        <v>574</v>
      </c>
      <c r="M597" s="21"/>
      <c r="N597" s="21"/>
      <c r="O597" s="21"/>
    </row>
    <row r="598" customFormat="false" ht="96" hidden="false" customHeight="true" outlineLevel="0" collapsed="false">
      <c r="C598" s="22" t="s">
        <v>575</v>
      </c>
      <c r="M598" s="21"/>
      <c r="N598" s="21"/>
      <c r="O598" s="21"/>
    </row>
    <row r="599" customFormat="false" ht="15" hidden="false" customHeight="true" outlineLevel="0" collapsed="false">
      <c r="C599" s="23" t="s">
        <v>576</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543</v>
      </c>
    </row>
    <row r="601" customFormat="false" ht="15" hidden="false" customHeight="true" outlineLevel="0" collapsed="false">
      <c r="A601" s="3" t="s">
        <v>577</v>
      </c>
      <c r="B601" s="3" t="s">
        <v>546</v>
      </c>
      <c r="C601" s="3" t="s">
        <v>578</v>
      </c>
      <c r="M601" s="21"/>
      <c r="N601" s="21"/>
      <c r="O601" s="21"/>
    </row>
    <row r="602" customFormat="false" ht="96" hidden="false" customHeight="true" outlineLevel="0" collapsed="false">
      <c r="C602" s="22" t="s">
        <v>579</v>
      </c>
      <c r="M602" s="21"/>
      <c r="N602" s="21"/>
      <c r="O602" s="21"/>
    </row>
    <row r="603" customFormat="false" ht="15" hidden="false" customHeight="true" outlineLevel="0" collapsed="false">
      <c r="C603" s="23" t="s">
        <v>580</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543</v>
      </c>
    </row>
    <row r="605" customFormat="false" ht="15" hidden="false" customHeight="true" outlineLevel="0" collapsed="false">
      <c r="A605" s="3" t="s">
        <v>581</v>
      </c>
      <c r="B605" s="3" t="s">
        <v>546</v>
      </c>
      <c r="C605" s="3" t="s">
        <v>582</v>
      </c>
      <c r="M605" s="21"/>
      <c r="N605" s="21"/>
      <c r="O605" s="21"/>
    </row>
    <row r="606" customFormat="false" ht="204" hidden="false" customHeight="true" outlineLevel="0" collapsed="false">
      <c r="C606" s="22" t="s">
        <v>583</v>
      </c>
      <c r="M606" s="21"/>
      <c r="N606" s="21"/>
      <c r="O606" s="21"/>
    </row>
    <row r="607" customFormat="false" ht="15" hidden="false" customHeight="true" outlineLevel="0" collapsed="false">
      <c r="C607" s="23" t="s">
        <v>584</v>
      </c>
      <c r="D607" s="24" t="n">
        <v>1</v>
      </c>
      <c r="H607" s="25" t="n">
        <f aca="false">IF(COUNT(D607:G607)=0,0,D607*IF(E607="",1,E607)*IF(F607="",1,F607)*IF(G607="",1,G607))</f>
        <v>1</v>
      </c>
      <c r="M607" s="21"/>
      <c r="N607" s="21"/>
      <c r="O607" s="21"/>
    </row>
    <row r="608" customFormat="false" ht="15" hidden="false" customHeight="true" outlineLevel="0" collapsed="false">
      <c r="C608" s="23" t="s">
        <v>585</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543</v>
      </c>
    </row>
    <row r="610" customFormat="false" ht="15" hidden="false" customHeight="true" outlineLevel="0" collapsed="false">
      <c r="A610" s="3" t="s">
        <v>586</v>
      </c>
      <c r="B610" s="3" t="s">
        <v>546</v>
      </c>
      <c r="C610" s="3" t="s">
        <v>587</v>
      </c>
      <c r="M610" s="21"/>
      <c r="N610" s="21"/>
      <c r="O610" s="21"/>
    </row>
    <row r="611" customFormat="false" ht="192" hidden="false" customHeight="true" outlineLevel="0" collapsed="false">
      <c r="C611" s="22" t="s">
        <v>588</v>
      </c>
      <c r="M611" s="21"/>
      <c r="N611" s="21"/>
      <c r="O611" s="21"/>
    </row>
    <row r="612" customFormat="false" ht="15" hidden="false" customHeight="true" outlineLevel="0" collapsed="false">
      <c r="C612" s="23" t="s">
        <v>589</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543</v>
      </c>
    </row>
    <row r="614" customFormat="false" ht="15" hidden="false" customHeight="true" outlineLevel="0" collapsed="false">
      <c r="A614" s="3" t="s">
        <v>590</v>
      </c>
      <c r="B614" s="3" t="s">
        <v>546</v>
      </c>
      <c r="C614" s="3" t="s">
        <v>591</v>
      </c>
      <c r="M614" s="21"/>
      <c r="N614" s="21"/>
      <c r="O614" s="21"/>
    </row>
    <row r="615" customFormat="false" ht="204" hidden="false" customHeight="true" outlineLevel="0" collapsed="false">
      <c r="C615" s="22" t="s">
        <v>592</v>
      </c>
      <c r="M615" s="21"/>
      <c r="N615" s="21"/>
      <c r="O615" s="21"/>
    </row>
    <row r="616" customFormat="false" ht="15" hidden="false" customHeight="true" outlineLevel="0" collapsed="false">
      <c r="C616" s="23" t="s">
        <v>593</v>
      </c>
      <c r="D616" s="24" t="n">
        <v>1</v>
      </c>
      <c r="H616" s="25" t="n">
        <f aca="false">IF(COUNT(D616:G616)=0,0,D616*IF(E616="",1,E616)*IF(F616="",1,F616)*IF(G616="",1,G616))</f>
        <v>1</v>
      </c>
      <c r="M616" s="21"/>
      <c r="N616" s="21"/>
      <c r="O616" s="21"/>
    </row>
    <row r="617" customFormat="false" ht="15" hidden="false" customHeight="true" outlineLevel="0" collapsed="false">
      <c r="C617" s="23" t="s">
        <v>594</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543</v>
      </c>
    </row>
    <row r="619" customFormat="false" ht="15" hidden="false" customHeight="true" outlineLevel="0" collapsed="false">
      <c r="A619" s="3" t="s">
        <v>595</v>
      </c>
      <c r="B619" s="3" t="s">
        <v>546</v>
      </c>
      <c r="C619" s="3" t="s">
        <v>591</v>
      </c>
      <c r="M619" s="21"/>
      <c r="N619" s="21"/>
      <c r="O619" s="21"/>
    </row>
    <row r="620" customFormat="false" ht="204" hidden="false" customHeight="true" outlineLevel="0" collapsed="false">
      <c r="C620" s="22" t="s">
        <v>596</v>
      </c>
      <c r="M620" s="21"/>
      <c r="N620" s="21"/>
      <c r="O620" s="21"/>
    </row>
    <row r="621" customFormat="false" ht="15" hidden="false" customHeight="true" outlineLevel="0" collapsed="false">
      <c r="C621" s="23" t="s">
        <v>597</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543</v>
      </c>
    </row>
    <row r="623" customFormat="false" ht="15" hidden="false" customHeight="true" outlineLevel="0" collapsed="false">
      <c r="A623" s="3" t="s">
        <v>598</v>
      </c>
      <c r="B623" s="3" t="s">
        <v>546</v>
      </c>
      <c r="C623" s="3" t="s">
        <v>599</v>
      </c>
      <c r="M623" s="21"/>
      <c r="N623" s="21"/>
      <c r="O623" s="21"/>
    </row>
    <row r="624" customFormat="false" ht="132" hidden="false" customHeight="true" outlineLevel="0" collapsed="false">
      <c r="C624" s="22" t="s">
        <v>600</v>
      </c>
      <c r="M624" s="21"/>
      <c r="N624" s="21"/>
      <c r="O624" s="21"/>
    </row>
    <row r="625" customFormat="false" ht="15" hidden="false" customHeight="true" outlineLevel="0" collapsed="false">
      <c r="C625" s="23" t="s">
        <v>601</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543</v>
      </c>
    </row>
    <row r="627" customFormat="false" ht="15" hidden="false" customHeight="true" outlineLevel="0" collapsed="false">
      <c r="A627" s="3" t="s">
        <v>602</v>
      </c>
      <c r="B627" s="3" t="s">
        <v>546</v>
      </c>
      <c r="C627" s="3" t="s">
        <v>603</v>
      </c>
      <c r="M627" s="21"/>
      <c r="N627" s="21"/>
      <c r="O627" s="21"/>
    </row>
    <row r="628" customFormat="false" ht="120" hidden="false" customHeight="true" outlineLevel="0" collapsed="false">
      <c r="C628" s="22" t="s">
        <v>604</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543</v>
      </c>
    </row>
    <row r="631" customFormat="false" ht="15" hidden="false" customHeight="true" outlineLevel="0" collapsed="false">
      <c r="A631" s="3" t="s">
        <v>605</v>
      </c>
      <c r="B631" s="3" t="s">
        <v>546</v>
      </c>
      <c r="C631" s="3" t="s">
        <v>606</v>
      </c>
      <c r="M631" s="21"/>
      <c r="N631" s="21"/>
      <c r="O631" s="21"/>
    </row>
    <row r="632" customFormat="false" ht="144" hidden="false" customHeight="true" outlineLevel="0" collapsed="false">
      <c r="C632" s="22" t="s">
        <v>607</v>
      </c>
      <c r="M632" s="21"/>
      <c r="N632" s="21"/>
      <c r="O632" s="21"/>
    </row>
    <row r="633" customFormat="false" ht="15" hidden="false" customHeight="true" outlineLevel="0" collapsed="false">
      <c r="C633" s="23" t="s">
        <v>608</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543</v>
      </c>
    </row>
    <row r="635" customFormat="false" ht="15" hidden="false" customHeight="true" outlineLevel="0" collapsed="false">
      <c r="A635" s="3" t="s">
        <v>609</v>
      </c>
      <c r="B635" s="3" t="s">
        <v>546</v>
      </c>
      <c r="C635" s="3" t="s">
        <v>610</v>
      </c>
      <c r="M635" s="21"/>
      <c r="N635" s="21"/>
      <c r="O635" s="21"/>
    </row>
    <row r="636" customFormat="false" ht="144" hidden="false" customHeight="true" outlineLevel="0" collapsed="false">
      <c r="C636" s="22" t="s">
        <v>611</v>
      </c>
      <c r="M636" s="21"/>
      <c r="N636" s="21"/>
      <c r="O636" s="21"/>
    </row>
    <row r="637" customFormat="false" ht="15" hidden="false" customHeight="true" outlineLevel="0" collapsed="false">
      <c r="C637" s="23" t="s">
        <v>608</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543</v>
      </c>
    </row>
    <row r="639" customFormat="false" ht="15" hidden="false" customHeight="true" outlineLevel="0" collapsed="false">
      <c r="A639" s="3" t="s">
        <v>612</v>
      </c>
      <c r="B639" s="3" t="s">
        <v>546</v>
      </c>
      <c r="C639" s="3" t="s">
        <v>613</v>
      </c>
      <c r="M639" s="21"/>
      <c r="N639" s="21"/>
      <c r="O639" s="21"/>
    </row>
    <row r="640" customFormat="false" ht="132" hidden="false" customHeight="true" outlineLevel="0" collapsed="false">
      <c r="C640" s="22" t="s">
        <v>614</v>
      </c>
      <c r="M640" s="21"/>
      <c r="N640" s="21"/>
      <c r="O640" s="21"/>
    </row>
    <row r="641" customFormat="false" ht="15" hidden="false" customHeight="true" outlineLevel="0" collapsed="false">
      <c r="C641" s="23" t="s">
        <v>615</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543</v>
      </c>
    </row>
    <row r="643" customFormat="false" ht="15" hidden="false" customHeight="true" outlineLevel="0" collapsed="false">
      <c r="A643" s="3" t="s">
        <v>616</v>
      </c>
      <c r="B643" s="3" t="s">
        <v>105</v>
      </c>
      <c r="C643" s="3" t="s">
        <v>617</v>
      </c>
      <c r="M643" s="21"/>
      <c r="N643" s="21"/>
      <c r="O643" s="21"/>
    </row>
    <row r="644" customFormat="false" ht="24" hidden="false" customHeight="true" outlineLevel="0" collapsed="false">
      <c r="C644" s="22" t="s">
        <v>618</v>
      </c>
      <c r="M644" s="21"/>
      <c r="N644" s="21"/>
      <c r="O644" s="21"/>
    </row>
    <row r="645" customFormat="false" ht="15" hidden="false" customHeight="true" outlineLevel="0" collapsed="false">
      <c r="C645" s="23" t="s">
        <v>619</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543</v>
      </c>
    </row>
    <row r="647" customFormat="false" ht="15" hidden="false" customHeight="true" outlineLevel="0" collapsed="false">
      <c r="A647" s="3" t="s">
        <v>620</v>
      </c>
      <c r="C647" s="3" t="s">
        <v>621</v>
      </c>
      <c r="M647" s="21" t="s">
        <v>194</v>
      </c>
      <c r="N647" s="21" t="s">
        <v>41</v>
      </c>
      <c r="O647" s="21" t="s">
        <v>620</v>
      </c>
    </row>
    <row r="648" customFormat="false" ht="15" hidden="false" customHeight="true" outlineLevel="0" collapsed="false">
      <c r="A648" s="3" t="s">
        <v>622</v>
      </c>
      <c r="B648" s="3" t="s">
        <v>546</v>
      </c>
      <c r="C648" s="3" t="s">
        <v>623</v>
      </c>
      <c r="M648" s="21"/>
      <c r="N648" s="21"/>
      <c r="O648" s="21"/>
    </row>
    <row r="649" customFormat="false" ht="36" hidden="false" customHeight="true" outlineLevel="0" collapsed="false">
      <c r="C649" s="22" t="s">
        <v>624</v>
      </c>
      <c r="M649" s="21"/>
      <c r="N649" s="21"/>
      <c r="O649" s="21"/>
    </row>
    <row r="650" customFormat="false" ht="15" hidden="false" customHeight="true" outlineLevel="0" collapsed="false">
      <c r="C650" s="23" t="s">
        <v>625</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620</v>
      </c>
    </row>
    <row r="652" customFormat="false" ht="15" hidden="false" customHeight="true" outlineLevel="0" collapsed="false">
      <c r="A652" s="3" t="s">
        <v>626</v>
      </c>
      <c r="B652" s="3" t="s">
        <v>546</v>
      </c>
      <c r="C652" s="3" t="s">
        <v>627</v>
      </c>
      <c r="M652" s="21"/>
      <c r="N652" s="21"/>
      <c r="O652" s="21"/>
    </row>
    <row r="653" customFormat="false" ht="36" hidden="false" customHeight="true" outlineLevel="0" collapsed="false">
      <c r="C653" s="22" t="s">
        <v>628</v>
      </c>
      <c r="M653" s="21"/>
      <c r="N653" s="21"/>
      <c r="O653" s="21"/>
    </row>
    <row r="654" customFormat="false" ht="15" hidden="false" customHeight="true" outlineLevel="0" collapsed="false">
      <c r="C654" s="23" t="s">
        <v>629</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620</v>
      </c>
    </row>
    <row r="656" customFormat="false" ht="15" hidden="false" customHeight="true" outlineLevel="0" collapsed="false">
      <c r="A656" s="3" t="s">
        <v>630</v>
      </c>
      <c r="B656" s="3" t="s">
        <v>546</v>
      </c>
      <c r="C656" s="3" t="s">
        <v>631</v>
      </c>
      <c r="M656" s="21"/>
      <c r="N656" s="21"/>
      <c r="O656" s="21"/>
    </row>
    <row r="657" customFormat="false" ht="36" hidden="false" customHeight="true" outlineLevel="0" collapsed="false">
      <c r="C657" s="22" t="s">
        <v>632</v>
      </c>
      <c r="M657" s="21"/>
      <c r="N657" s="21"/>
      <c r="O657" s="21"/>
    </row>
    <row r="658" customFormat="false" ht="15" hidden="false" customHeight="true" outlineLevel="0" collapsed="false">
      <c r="C658" s="23" t="s">
        <v>633</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620</v>
      </c>
    </row>
    <row r="660" customFormat="false" ht="15" hidden="false" customHeight="true" outlineLevel="0" collapsed="false">
      <c r="A660" s="3" t="s">
        <v>634</v>
      </c>
      <c r="C660" s="3" t="s">
        <v>635</v>
      </c>
      <c r="M660" s="21" t="s">
        <v>194</v>
      </c>
      <c r="N660" s="21" t="s">
        <v>41</v>
      </c>
      <c r="O660" s="21" t="s">
        <v>634</v>
      </c>
    </row>
    <row r="661" customFormat="false" ht="15" hidden="false" customHeight="true" outlineLevel="0" collapsed="false">
      <c r="A661" s="3" t="s">
        <v>636</v>
      </c>
      <c r="B661" s="3" t="s">
        <v>105</v>
      </c>
      <c r="C661" s="3" t="s">
        <v>637</v>
      </c>
      <c r="M661" s="21"/>
      <c r="N661" s="21"/>
      <c r="O661" s="21"/>
    </row>
    <row r="662" customFormat="false" ht="48" hidden="false" customHeight="true" outlineLevel="0" collapsed="false">
      <c r="C662" s="22" t="s">
        <v>638</v>
      </c>
      <c r="M662" s="21"/>
      <c r="N662" s="21"/>
      <c r="O662" s="21"/>
    </row>
    <row r="663" customFormat="false" ht="15" hidden="false" customHeight="true" outlineLevel="0" collapsed="false">
      <c r="C663" s="23" t="s">
        <v>639</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634</v>
      </c>
    </row>
    <row r="665" customFormat="false" ht="15" hidden="false" customHeight="true" outlineLevel="0" collapsed="false">
      <c r="A665" s="3" t="s">
        <v>640</v>
      </c>
      <c r="B665" s="3" t="s">
        <v>546</v>
      </c>
      <c r="C665" s="3" t="s">
        <v>641</v>
      </c>
      <c r="M665" s="21"/>
      <c r="N665" s="21"/>
      <c r="O665" s="21"/>
    </row>
    <row r="666" customFormat="false" ht="36" hidden="false" customHeight="true" outlineLevel="0" collapsed="false">
      <c r="C666" s="22" t="s">
        <v>642</v>
      </c>
      <c r="M666" s="21"/>
      <c r="N666" s="21"/>
      <c r="O666" s="21"/>
    </row>
    <row r="667" customFormat="false" ht="15" hidden="false" customHeight="true" outlineLevel="0" collapsed="false">
      <c r="C667" s="23" t="s">
        <v>643</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634</v>
      </c>
    </row>
    <row r="669" customFormat="false" ht="15" hidden="false" customHeight="true" outlineLevel="0" collapsed="false">
      <c r="A669" s="3" t="s">
        <v>644</v>
      </c>
      <c r="B669" s="3" t="s">
        <v>546</v>
      </c>
      <c r="C669" s="3" t="s">
        <v>645</v>
      </c>
      <c r="M669" s="21"/>
      <c r="N669" s="21"/>
      <c r="O669" s="21"/>
    </row>
    <row r="670" customFormat="false" ht="24" hidden="false" customHeight="true" outlineLevel="0" collapsed="false">
      <c r="C670" s="22" t="s">
        <v>646</v>
      </c>
      <c r="M670" s="21"/>
      <c r="N670" s="21"/>
      <c r="O670" s="21"/>
    </row>
    <row r="671" customFormat="false" ht="15" hidden="false" customHeight="true" outlineLevel="0" collapsed="false">
      <c r="C671" s="23" t="s">
        <v>643</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634</v>
      </c>
    </row>
    <row r="673" customFormat="false" ht="15" hidden="false" customHeight="true" outlineLevel="0" collapsed="false">
      <c r="A673" s="3" t="s">
        <v>647</v>
      </c>
      <c r="B673" s="3" t="s">
        <v>546</v>
      </c>
      <c r="C673" s="3" t="s">
        <v>648</v>
      </c>
      <c r="M673" s="21"/>
      <c r="N673" s="21"/>
      <c r="O673" s="21"/>
    </row>
    <row r="674" customFormat="false" ht="24" hidden="false" customHeight="true" outlineLevel="0" collapsed="false">
      <c r="C674" s="22" t="s">
        <v>649</v>
      </c>
      <c r="M674" s="21"/>
      <c r="N674" s="21"/>
      <c r="O674" s="21"/>
    </row>
    <row r="675" customFormat="false" ht="15" hidden="false" customHeight="true" outlineLevel="0" collapsed="false">
      <c r="C675" s="23" t="s">
        <v>643</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634</v>
      </c>
    </row>
    <row r="677" customFormat="false" ht="15" hidden="false" customHeight="true" outlineLevel="0" collapsed="false">
      <c r="A677" s="3" t="s">
        <v>650</v>
      </c>
      <c r="B677" s="3" t="s">
        <v>546</v>
      </c>
      <c r="C677" s="3" t="s">
        <v>651</v>
      </c>
      <c r="M677" s="21"/>
      <c r="N677" s="21"/>
      <c r="O677" s="21"/>
    </row>
    <row r="678" customFormat="false" ht="36" hidden="false" customHeight="true" outlineLevel="0" collapsed="false">
      <c r="C678" s="22" t="s">
        <v>652</v>
      </c>
      <c r="M678" s="21"/>
      <c r="N678" s="21"/>
      <c r="O678" s="21"/>
    </row>
    <row r="679" customFormat="false" ht="15" hidden="false" customHeight="true" outlineLevel="0" collapsed="false">
      <c r="C679" s="23" t="s">
        <v>643</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634</v>
      </c>
    </row>
    <row r="681" customFormat="false" ht="15" hidden="false" customHeight="true" outlineLevel="0" collapsed="false">
      <c r="A681" s="3" t="s">
        <v>653</v>
      </c>
      <c r="B681" s="3" t="s">
        <v>546</v>
      </c>
      <c r="C681" s="3" t="s">
        <v>654</v>
      </c>
      <c r="M681" s="21"/>
      <c r="N681" s="21"/>
      <c r="O681" s="21"/>
    </row>
    <row r="682" customFormat="false" ht="12" hidden="false" customHeight="true" outlineLevel="0" collapsed="false">
      <c r="C682" s="22" t="s">
        <v>655</v>
      </c>
      <c r="M682" s="21"/>
      <c r="N682" s="21"/>
      <c r="O682" s="21"/>
    </row>
    <row r="683" customFormat="false" ht="15" hidden="false" customHeight="true" outlineLevel="0" collapsed="false">
      <c r="C683" s="23" t="s">
        <v>643</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634</v>
      </c>
    </row>
    <row r="685" customFormat="false" ht="15" hidden="false" customHeight="true" outlineLevel="0" collapsed="false">
      <c r="A685" s="3" t="s">
        <v>656</v>
      </c>
      <c r="B685" s="3" t="s">
        <v>546</v>
      </c>
      <c r="C685" s="3" t="s">
        <v>657</v>
      </c>
      <c r="M685" s="21"/>
      <c r="N685" s="21"/>
      <c r="O685" s="21"/>
    </row>
    <row r="686" customFormat="false" ht="240" hidden="false" customHeight="true" outlineLevel="0" collapsed="false">
      <c r="C686" s="22" t="s">
        <v>658</v>
      </c>
      <c r="M686" s="21"/>
      <c r="N686" s="21"/>
      <c r="O686" s="21"/>
    </row>
    <row r="687" customFormat="false" ht="15" hidden="false" customHeight="true" outlineLevel="0" collapsed="false">
      <c r="C687" s="23" t="s">
        <v>643</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634</v>
      </c>
    </row>
    <row r="689" customFormat="false" ht="15" hidden="false" customHeight="true" outlineLevel="0" collapsed="false">
      <c r="A689" s="3" t="s">
        <v>659</v>
      </c>
      <c r="B689" s="3" t="s">
        <v>546</v>
      </c>
      <c r="C689" s="3" t="s">
        <v>660</v>
      </c>
      <c r="M689" s="21"/>
      <c r="N689" s="21"/>
      <c r="O689" s="21"/>
    </row>
    <row r="690" customFormat="false" ht="72" hidden="false" customHeight="true" outlineLevel="0" collapsed="false">
      <c r="C690" s="22" t="s">
        <v>661</v>
      </c>
      <c r="M690" s="21"/>
      <c r="N690" s="21"/>
      <c r="O690" s="21"/>
    </row>
    <row r="691" customFormat="false" ht="15" hidden="false" customHeight="true" outlineLevel="0" collapsed="false">
      <c r="C691" s="23" t="s">
        <v>643</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634</v>
      </c>
    </row>
    <row r="693" customFormat="false" ht="15" hidden="false" customHeight="true" outlineLevel="0" collapsed="false">
      <c r="A693" s="3" t="s">
        <v>662</v>
      </c>
      <c r="B693" s="3" t="s">
        <v>546</v>
      </c>
      <c r="C693" s="3" t="s">
        <v>663</v>
      </c>
      <c r="M693" s="21"/>
      <c r="N693" s="21"/>
      <c r="O693" s="21"/>
    </row>
    <row r="694" customFormat="false" ht="48" hidden="false" customHeight="true" outlineLevel="0" collapsed="false">
      <c r="C694" s="22" t="s">
        <v>664</v>
      </c>
      <c r="M694" s="21"/>
      <c r="N694" s="21"/>
      <c r="O694" s="21"/>
    </row>
    <row r="695" customFormat="false" ht="15" hidden="false" customHeight="true" outlineLevel="0" collapsed="false">
      <c r="C695" s="23" t="s">
        <v>643</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634</v>
      </c>
    </row>
    <row r="697" customFormat="false" ht="15" hidden="false" customHeight="true" outlineLevel="0" collapsed="false">
      <c r="A697" s="3" t="s">
        <v>665</v>
      </c>
      <c r="B697" s="3" t="s">
        <v>546</v>
      </c>
      <c r="C697" s="3" t="s">
        <v>666</v>
      </c>
      <c r="M697" s="21"/>
      <c r="N697" s="21"/>
      <c r="O697" s="21"/>
    </row>
    <row r="698" customFormat="false" ht="48" hidden="false" customHeight="true" outlineLevel="0" collapsed="false">
      <c r="C698" s="22" t="s">
        <v>667</v>
      </c>
      <c r="M698" s="21"/>
      <c r="N698" s="21"/>
      <c r="O698" s="21"/>
    </row>
    <row r="699" customFormat="false" ht="15" hidden="false" customHeight="true" outlineLevel="0" collapsed="false">
      <c r="C699" s="23" t="s">
        <v>643</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634</v>
      </c>
    </row>
    <row r="701" customFormat="false" ht="15" hidden="false" customHeight="true" outlineLevel="0" collapsed="false">
      <c r="A701" s="3" t="s">
        <v>668</v>
      </c>
      <c r="B701" s="3" t="s">
        <v>546</v>
      </c>
      <c r="C701" s="3" t="s">
        <v>669</v>
      </c>
      <c r="M701" s="21"/>
      <c r="N701" s="21"/>
      <c r="O701" s="21"/>
    </row>
    <row r="702" customFormat="false" ht="24" hidden="false" customHeight="true" outlineLevel="0" collapsed="false">
      <c r="C702" s="22" t="s">
        <v>670</v>
      </c>
      <c r="M702" s="21"/>
      <c r="N702" s="21"/>
      <c r="O702" s="21"/>
    </row>
    <row r="703" customFormat="false" ht="15" hidden="false" customHeight="true" outlineLevel="0" collapsed="false">
      <c r="C703" s="23" t="s">
        <v>643</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634</v>
      </c>
    </row>
    <row r="705" customFormat="false" ht="15" hidden="false" customHeight="true" outlineLevel="0" collapsed="false">
      <c r="A705" s="3" t="s">
        <v>671</v>
      </c>
      <c r="B705" s="3" t="s">
        <v>546</v>
      </c>
      <c r="C705" s="3" t="s">
        <v>672</v>
      </c>
      <c r="M705" s="21"/>
      <c r="N705" s="21"/>
      <c r="O705" s="21"/>
    </row>
    <row r="706" customFormat="false" ht="24" hidden="false" customHeight="true" outlineLevel="0" collapsed="false">
      <c r="C706" s="22" t="s">
        <v>673</v>
      </c>
      <c r="M706" s="21"/>
      <c r="N706" s="21"/>
      <c r="O706" s="21"/>
    </row>
    <row r="707" customFormat="false" ht="15" hidden="false" customHeight="true" outlineLevel="0" collapsed="false">
      <c r="C707" s="23" t="s">
        <v>643</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634</v>
      </c>
    </row>
    <row r="709" customFormat="false" ht="15" hidden="false" customHeight="true" outlineLevel="0" collapsed="false">
      <c r="A709" s="3" t="s">
        <v>674</v>
      </c>
      <c r="B709" s="3" t="s">
        <v>554</v>
      </c>
      <c r="C709" s="3" t="s">
        <v>675</v>
      </c>
      <c r="M709" s="21"/>
      <c r="N709" s="21"/>
      <c r="O709" s="21"/>
    </row>
    <row r="710" customFormat="false" ht="96" hidden="false" customHeight="true" outlineLevel="0" collapsed="false">
      <c r="C710" s="22" t="s">
        <v>676</v>
      </c>
      <c r="M710" s="21"/>
      <c r="N710" s="21"/>
      <c r="O710" s="21"/>
    </row>
    <row r="711" customFormat="false" ht="15" hidden="false" customHeight="true" outlineLevel="0" collapsed="false">
      <c r="C711" s="23" t="s">
        <v>643</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634</v>
      </c>
    </row>
    <row r="713" customFormat="false" ht="15" hidden="false" customHeight="true" outlineLevel="0" collapsed="false">
      <c r="A713" s="3" t="s">
        <v>677</v>
      </c>
      <c r="B713" s="3" t="s">
        <v>546</v>
      </c>
      <c r="C713" s="3" t="s">
        <v>678</v>
      </c>
      <c r="M713" s="21"/>
      <c r="N713" s="21"/>
      <c r="O713" s="21"/>
    </row>
    <row r="714" customFormat="false" ht="36" hidden="false" customHeight="true" outlineLevel="0" collapsed="false">
      <c r="C714" s="22" t="s">
        <v>679</v>
      </c>
      <c r="M714" s="21"/>
      <c r="N714" s="21"/>
      <c r="O714" s="21"/>
    </row>
    <row r="715" customFormat="false" ht="15" hidden="false" customHeight="true" outlineLevel="0" collapsed="false">
      <c r="C715" s="23" t="s">
        <v>643</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634</v>
      </c>
    </row>
    <row r="717" customFormat="false" ht="15" hidden="false" customHeight="true" outlineLevel="0" collapsed="false">
      <c r="A717" s="3" t="s">
        <v>680</v>
      </c>
      <c r="B717" s="3" t="s">
        <v>546</v>
      </c>
      <c r="C717" s="3" t="s">
        <v>681</v>
      </c>
      <c r="M717" s="21"/>
      <c r="N717" s="21"/>
      <c r="O717" s="21"/>
    </row>
    <row r="718" customFormat="false" ht="24" hidden="false" customHeight="true" outlineLevel="0" collapsed="false">
      <c r="C718" s="22" t="s">
        <v>682</v>
      </c>
      <c r="M718" s="21"/>
      <c r="N718" s="21"/>
      <c r="O718" s="21"/>
    </row>
    <row r="719" customFormat="false" ht="15" hidden="false" customHeight="true" outlineLevel="0" collapsed="false">
      <c r="C719" s="23" t="s">
        <v>643</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634</v>
      </c>
    </row>
    <row r="721" customFormat="false" ht="15" hidden="false" customHeight="true" outlineLevel="0" collapsed="false">
      <c r="A721" s="3" t="s">
        <v>683</v>
      </c>
      <c r="B721" s="3" t="s">
        <v>546</v>
      </c>
      <c r="C721" s="3" t="s">
        <v>684</v>
      </c>
      <c r="M721" s="21"/>
      <c r="N721" s="21"/>
      <c r="O721" s="21"/>
    </row>
    <row r="722" customFormat="false" ht="24" hidden="false" customHeight="true" outlineLevel="0" collapsed="false">
      <c r="C722" s="22" t="s">
        <v>685</v>
      </c>
      <c r="M722" s="21"/>
      <c r="N722" s="21"/>
      <c r="O722" s="21"/>
    </row>
    <row r="723" customFormat="false" ht="15" hidden="false" customHeight="true" outlineLevel="0" collapsed="false">
      <c r="C723" s="23" t="s">
        <v>643</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634</v>
      </c>
    </row>
    <row r="725" customFormat="false" ht="15" hidden="false" customHeight="true" outlineLevel="0" collapsed="false">
      <c r="A725" s="3" t="s">
        <v>686</v>
      </c>
      <c r="B725" s="3" t="s">
        <v>153</v>
      </c>
      <c r="C725" s="3" t="s">
        <v>687</v>
      </c>
      <c r="M725" s="21"/>
      <c r="N725" s="21"/>
      <c r="O725" s="21"/>
    </row>
    <row r="726" customFormat="false" ht="36" hidden="false" customHeight="true" outlineLevel="0" collapsed="false">
      <c r="C726" s="22" t="s">
        <v>688</v>
      </c>
      <c r="M726" s="21"/>
      <c r="N726" s="21"/>
      <c r="O726" s="21"/>
    </row>
    <row r="727" customFormat="false" ht="15" hidden="false" customHeight="true" outlineLevel="0" collapsed="false">
      <c r="C727" s="23" t="s">
        <v>689</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690</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634</v>
      </c>
    </row>
    <row r="730" customFormat="false" ht="15" hidden="false" customHeight="true" outlineLevel="0" collapsed="false">
      <c r="A730" s="3" t="s">
        <v>691</v>
      </c>
      <c r="B730" s="3" t="s">
        <v>105</v>
      </c>
      <c r="C730" s="3" t="s">
        <v>692</v>
      </c>
      <c r="M730" s="21"/>
      <c r="N730" s="21"/>
      <c r="O730" s="21"/>
    </row>
    <row r="731" customFormat="false" ht="24" hidden="false" customHeight="true" outlineLevel="0" collapsed="false">
      <c r="C731" s="22" t="s">
        <v>693</v>
      </c>
      <c r="M731" s="21"/>
      <c r="N731" s="21"/>
      <c r="O731" s="21"/>
    </row>
    <row r="732" customFormat="false" ht="15" hidden="false" customHeight="true" outlineLevel="0" collapsed="false">
      <c r="C732" s="23" t="s">
        <v>694</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634</v>
      </c>
    </row>
    <row r="734" customFormat="false" ht="15" hidden="false" customHeight="true" outlineLevel="0" collapsed="false">
      <c r="A734" s="3" t="s">
        <v>695</v>
      </c>
      <c r="B734" s="3" t="s">
        <v>546</v>
      </c>
      <c r="C734" s="3" t="s">
        <v>696</v>
      </c>
      <c r="M734" s="21"/>
      <c r="N734" s="21"/>
      <c r="O734" s="21"/>
    </row>
    <row r="735" customFormat="false" ht="12" hidden="false" customHeight="true" outlineLevel="0" collapsed="false">
      <c r="C735" s="22" t="s">
        <v>697</v>
      </c>
      <c r="M735" s="21"/>
      <c r="N735" s="21"/>
      <c r="O735" s="21"/>
    </row>
    <row r="736" customFormat="false" ht="15" hidden="false" customHeight="true" outlineLevel="0" collapsed="false">
      <c r="C736" s="23" t="s">
        <v>698</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634</v>
      </c>
    </row>
    <row r="738" customFormat="false" ht="15" hidden="false" customHeight="true" outlineLevel="0" collapsed="false">
      <c r="A738" s="3" t="s">
        <v>699</v>
      </c>
      <c r="B738" s="3" t="s">
        <v>546</v>
      </c>
      <c r="C738" s="3" t="s">
        <v>700</v>
      </c>
      <c r="M738" s="21"/>
      <c r="N738" s="21"/>
      <c r="O738" s="21"/>
    </row>
    <row r="739" customFormat="false" ht="48" hidden="false" customHeight="true" outlineLevel="0" collapsed="false">
      <c r="C739" s="22" t="s">
        <v>701</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634</v>
      </c>
    </row>
    <row r="742" customFormat="false" ht="15" hidden="false" customHeight="true" outlineLevel="0" collapsed="false">
      <c r="A742" s="3" t="s">
        <v>702</v>
      </c>
      <c r="C742" s="3" t="s">
        <v>703</v>
      </c>
      <c r="M742" s="21" t="s">
        <v>194</v>
      </c>
      <c r="N742" s="21" t="s">
        <v>41</v>
      </c>
      <c r="O742" s="21" t="s">
        <v>702</v>
      </c>
    </row>
    <row r="743" customFormat="false" ht="15" hidden="false" customHeight="true" outlineLevel="0" collapsed="false">
      <c r="A743" s="3" t="s">
        <v>704</v>
      </c>
      <c r="B743" s="3" t="s">
        <v>105</v>
      </c>
      <c r="C743" s="3" t="s">
        <v>705</v>
      </c>
      <c r="M743" s="21"/>
      <c r="N743" s="21"/>
      <c r="O743" s="21"/>
    </row>
    <row r="744" customFormat="false" ht="24" hidden="false" customHeight="true" outlineLevel="0" collapsed="false">
      <c r="C744" s="22" t="s">
        <v>706</v>
      </c>
      <c r="M744" s="21"/>
      <c r="N744" s="21"/>
      <c r="O744" s="21"/>
    </row>
    <row r="745" customFormat="false" ht="15" hidden="false" customHeight="true" outlineLevel="0" collapsed="false">
      <c r="C745" s="23" t="s">
        <v>707</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708</v>
      </c>
      <c r="M746" s="21" t="s">
        <v>110</v>
      </c>
      <c r="N746" s="21" t="s">
        <v>41</v>
      </c>
      <c r="O746" s="21" t="s">
        <v>702</v>
      </c>
    </row>
    <row r="747" customFormat="false" ht="15" hidden="false" customHeight="true" outlineLevel="0" collapsed="false">
      <c r="A747" s="3" t="s">
        <v>709</v>
      </c>
      <c r="B747" s="3" t="s">
        <v>105</v>
      </c>
      <c r="C747" s="3" t="s">
        <v>710</v>
      </c>
      <c r="M747" s="21"/>
      <c r="N747" s="21"/>
      <c r="O747" s="21"/>
    </row>
    <row r="748" customFormat="false" ht="24" hidden="false" customHeight="true" outlineLevel="0" collapsed="false">
      <c r="C748" s="22" t="s">
        <v>711</v>
      </c>
      <c r="M748" s="21"/>
      <c r="N748" s="21"/>
      <c r="O748" s="21"/>
    </row>
    <row r="749" customFormat="false" ht="15" hidden="false" customHeight="true" outlineLevel="0" collapsed="false">
      <c r="C749" s="23" t="s">
        <v>712</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713</v>
      </c>
      <c r="M750" s="21" t="s">
        <v>110</v>
      </c>
      <c r="N750" s="21" t="s">
        <v>41</v>
      </c>
      <c r="O750" s="21" t="s">
        <v>702</v>
      </c>
    </row>
    <row r="751" customFormat="false" ht="15" hidden="false" customHeight="true" outlineLevel="0" collapsed="false">
      <c r="A751" s="3" t="s">
        <v>714</v>
      </c>
      <c r="B751" s="3" t="s">
        <v>105</v>
      </c>
      <c r="C751" s="3" t="s">
        <v>715</v>
      </c>
      <c r="M751" s="21"/>
      <c r="N751" s="21"/>
      <c r="O751" s="21"/>
    </row>
    <row r="752" customFormat="false" ht="24" hidden="false" customHeight="true" outlineLevel="0" collapsed="false">
      <c r="C752" s="22" t="s">
        <v>716</v>
      </c>
      <c r="M752" s="21"/>
      <c r="N752" s="21"/>
      <c r="O752" s="21"/>
    </row>
    <row r="753" customFormat="false" ht="15" hidden="false" customHeight="true" outlineLevel="0" collapsed="false">
      <c r="C753" s="23" t="s">
        <v>717</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702</v>
      </c>
    </row>
    <row r="755" customFormat="false" ht="15" hidden="false" customHeight="true" outlineLevel="0" collapsed="false">
      <c r="A755" s="3" t="s">
        <v>718</v>
      </c>
      <c r="B755" s="3" t="s">
        <v>554</v>
      </c>
      <c r="C755" s="3" t="s">
        <v>719</v>
      </c>
      <c r="M755" s="21"/>
      <c r="N755" s="21"/>
      <c r="O755" s="21"/>
    </row>
    <row r="756" customFormat="false" ht="156" hidden="false" customHeight="true" outlineLevel="0" collapsed="false">
      <c r="C756" s="22" t="s">
        <v>720</v>
      </c>
      <c r="M756" s="21"/>
      <c r="N756" s="21"/>
      <c r="O756" s="21"/>
    </row>
    <row r="757" customFormat="false" ht="15" hidden="false" customHeight="true" outlineLevel="0" collapsed="false">
      <c r="C757" s="23" t="s">
        <v>721</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702</v>
      </c>
    </row>
    <row r="759" customFormat="false" ht="15" hidden="false" customHeight="true" outlineLevel="0" collapsed="false">
      <c r="A759" s="3" t="s">
        <v>722</v>
      </c>
      <c r="B759" s="3" t="s">
        <v>554</v>
      </c>
      <c r="C759" s="3" t="s">
        <v>723</v>
      </c>
      <c r="M759" s="21"/>
      <c r="N759" s="21"/>
      <c r="O759" s="21"/>
    </row>
    <row r="760" customFormat="false" ht="156" hidden="false" customHeight="true" outlineLevel="0" collapsed="false">
      <c r="C760" s="22" t="s">
        <v>724</v>
      </c>
      <c r="M760" s="21"/>
      <c r="N760" s="21"/>
      <c r="O760" s="21"/>
    </row>
    <row r="761" customFormat="false" ht="15" hidden="false" customHeight="true" outlineLevel="0" collapsed="false">
      <c r="C761" s="23" t="s">
        <v>725</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702</v>
      </c>
    </row>
    <row r="763" customFormat="false" ht="15" hidden="false" customHeight="true" outlineLevel="0" collapsed="false">
      <c r="A763" s="3" t="s">
        <v>726</v>
      </c>
      <c r="B763" s="3" t="s">
        <v>546</v>
      </c>
      <c r="C763" s="3" t="s">
        <v>727</v>
      </c>
      <c r="M763" s="21"/>
      <c r="N763" s="21"/>
      <c r="O763" s="21"/>
    </row>
    <row r="764" customFormat="false" ht="96" hidden="false" customHeight="true" outlineLevel="0" collapsed="false">
      <c r="C764" s="22" t="s">
        <v>728</v>
      </c>
      <c r="M764" s="21"/>
      <c r="N764" s="21"/>
      <c r="O764" s="21"/>
    </row>
    <row r="765" customFormat="false" ht="15" hidden="false" customHeight="true" outlineLevel="0" collapsed="false">
      <c r="C765" s="23" t="s">
        <v>729</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702</v>
      </c>
    </row>
    <row r="767" customFormat="false" ht="15" hidden="false" customHeight="true" outlineLevel="0" collapsed="false">
      <c r="A767" s="3" t="s">
        <v>730</v>
      </c>
      <c r="C767" s="3" t="s">
        <v>731</v>
      </c>
      <c r="M767" s="21" t="s">
        <v>194</v>
      </c>
      <c r="N767" s="21" t="s">
        <v>41</v>
      </c>
      <c r="O767" s="21" t="s">
        <v>730</v>
      </c>
    </row>
    <row r="768" customFormat="false" ht="15" hidden="false" customHeight="true" outlineLevel="0" collapsed="false">
      <c r="A768" s="3" t="s">
        <v>732</v>
      </c>
      <c r="B768" s="3" t="s">
        <v>554</v>
      </c>
      <c r="C768" s="3" t="s">
        <v>733</v>
      </c>
      <c r="M768" s="21"/>
      <c r="N768" s="21"/>
      <c r="O768" s="21"/>
    </row>
    <row r="769" customFormat="false" ht="36" hidden="false" customHeight="true" outlineLevel="0" collapsed="false">
      <c r="C769" s="22" t="s">
        <v>734</v>
      </c>
      <c r="M769" s="21"/>
      <c r="N769" s="21"/>
      <c r="O769" s="21"/>
    </row>
    <row r="770" customFormat="false" ht="15" hidden="false" customHeight="true" outlineLevel="0" collapsed="false">
      <c r="C770" s="23" t="s">
        <v>643</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730</v>
      </c>
    </row>
    <row r="772" customFormat="false" ht="15" hidden="false" customHeight="true" outlineLevel="0" collapsed="false">
      <c r="A772" s="3" t="s">
        <v>735</v>
      </c>
      <c r="B772" s="3" t="s">
        <v>554</v>
      </c>
      <c r="C772" s="3" t="s">
        <v>736</v>
      </c>
      <c r="M772" s="21"/>
      <c r="N772" s="21"/>
      <c r="O772" s="21"/>
    </row>
    <row r="773" customFormat="false" ht="60" hidden="false" customHeight="true" outlineLevel="0" collapsed="false">
      <c r="C773" s="22" t="s">
        <v>737</v>
      </c>
      <c r="M773" s="21"/>
      <c r="N773" s="21"/>
      <c r="O773" s="21"/>
    </row>
    <row r="774" customFormat="false" ht="15" hidden="false" customHeight="true" outlineLevel="0" collapsed="false">
      <c r="C774" s="23" t="s">
        <v>643</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730</v>
      </c>
    </row>
    <row r="776" customFormat="false" ht="15" hidden="false" customHeight="true" outlineLevel="0" collapsed="false">
      <c r="A776" s="3" t="s">
        <v>738</v>
      </c>
      <c r="B776" s="3" t="s">
        <v>546</v>
      </c>
      <c r="C776" s="3" t="s">
        <v>739</v>
      </c>
      <c r="M776" s="21"/>
      <c r="N776" s="21"/>
      <c r="O776" s="21"/>
    </row>
    <row r="777" customFormat="false" ht="48" hidden="false" customHeight="true" outlineLevel="0" collapsed="false">
      <c r="C777" s="22" t="s">
        <v>740</v>
      </c>
      <c r="M777" s="21"/>
      <c r="N777" s="21"/>
      <c r="O777" s="21"/>
    </row>
    <row r="778" customFormat="false" ht="15" hidden="false" customHeight="true" outlineLevel="0" collapsed="false">
      <c r="C778" s="23" t="s">
        <v>643</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730</v>
      </c>
    </row>
    <row r="780" customFormat="false" ht="15" hidden="false" customHeight="true" outlineLevel="0" collapsed="false">
      <c r="A780" s="3" t="s">
        <v>741</v>
      </c>
      <c r="B780" s="3" t="s">
        <v>546</v>
      </c>
      <c r="C780" s="3" t="s">
        <v>742</v>
      </c>
      <c r="M780" s="21"/>
      <c r="N780" s="21"/>
      <c r="O780" s="21"/>
    </row>
    <row r="781" customFormat="false" ht="48" hidden="false" customHeight="true" outlineLevel="0" collapsed="false">
      <c r="C781" s="22" t="s">
        <v>743</v>
      </c>
      <c r="M781" s="21"/>
      <c r="N781" s="21"/>
      <c r="O781" s="21"/>
    </row>
    <row r="782" customFormat="false" ht="15" hidden="false" customHeight="true" outlineLevel="0" collapsed="false">
      <c r="C782" s="23" t="s">
        <v>643</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730</v>
      </c>
    </row>
    <row r="784" customFormat="false" ht="15" hidden="false" customHeight="true" outlineLevel="0" collapsed="false">
      <c r="A784" s="3" t="s">
        <v>744</v>
      </c>
      <c r="B784" s="3" t="s">
        <v>546</v>
      </c>
      <c r="C784" s="3" t="s">
        <v>745</v>
      </c>
      <c r="M784" s="21"/>
      <c r="N784" s="21"/>
      <c r="O784" s="21"/>
    </row>
    <row r="785" customFormat="false" ht="36" hidden="false" customHeight="true" outlineLevel="0" collapsed="false">
      <c r="C785" s="22" t="s">
        <v>746</v>
      </c>
      <c r="M785" s="21"/>
      <c r="N785" s="21"/>
      <c r="O785" s="21"/>
    </row>
    <row r="786" customFormat="false" ht="15" hidden="false" customHeight="true" outlineLevel="0" collapsed="false">
      <c r="C786" s="23" t="s">
        <v>643</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730</v>
      </c>
    </row>
    <row r="788" customFormat="false" ht="15" hidden="false" customHeight="true" outlineLevel="0" collapsed="false">
      <c r="A788" s="3" t="s">
        <v>747</v>
      </c>
      <c r="B788" s="3" t="s">
        <v>546</v>
      </c>
      <c r="C788" s="3" t="s">
        <v>748</v>
      </c>
      <c r="M788" s="21"/>
      <c r="N788" s="21"/>
      <c r="O788" s="21"/>
    </row>
    <row r="789" customFormat="false" ht="216" hidden="false" customHeight="true" outlineLevel="0" collapsed="false">
      <c r="C789" s="22" t="s">
        <v>749</v>
      </c>
      <c r="M789" s="21"/>
      <c r="N789" s="21"/>
      <c r="O789" s="21"/>
    </row>
    <row r="790" customFormat="false" ht="15" hidden="false" customHeight="true" outlineLevel="0" collapsed="false">
      <c r="C790" s="23" t="s">
        <v>643</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730</v>
      </c>
    </row>
    <row r="792" customFormat="false" ht="15" hidden="false" customHeight="true" outlineLevel="0" collapsed="false">
      <c r="A792" s="3" t="s">
        <v>750</v>
      </c>
      <c r="B792" s="3" t="s">
        <v>554</v>
      </c>
      <c r="C792" s="3" t="s">
        <v>751</v>
      </c>
      <c r="M792" s="21"/>
      <c r="N792" s="21"/>
      <c r="O792" s="21"/>
    </row>
    <row r="793" customFormat="false" ht="48" hidden="false" customHeight="true" outlineLevel="0" collapsed="false">
      <c r="C793" s="22" t="s">
        <v>752</v>
      </c>
      <c r="M793" s="21"/>
      <c r="N793" s="21"/>
      <c r="O793" s="21"/>
    </row>
    <row r="794" customFormat="false" ht="15" hidden="false" customHeight="true" outlineLevel="0" collapsed="false">
      <c r="C794" s="23" t="s">
        <v>643</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730</v>
      </c>
    </row>
    <row r="796" customFormat="false" ht="15" hidden="false" customHeight="true" outlineLevel="0" collapsed="false">
      <c r="A796" s="3" t="s">
        <v>753</v>
      </c>
      <c r="B796" s="3" t="s">
        <v>105</v>
      </c>
      <c r="C796" s="3" t="s">
        <v>754</v>
      </c>
      <c r="M796" s="21"/>
      <c r="N796" s="21"/>
      <c r="O796" s="21"/>
    </row>
    <row r="797" customFormat="false" ht="36" hidden="false" customHeight="true" outlineLevel="0" collapsed="false">
      <c r="C797" s="22" t="s">
        <v>755</v>
      </c>
      <c r="M797" s="21"/>
      <c r="N797" s="21"/>
      <c r="O797" s="21"/>
    </row>
    <row r="798" customFormat="false" ht="15" hidden="false" customHeight="true" outlineLevel="0" collapsed="false">
      <c r="C798" s="23" t="s">
        <v>756</v>
      </c>
      <c r="D798" s="24" t="n">
        <v>1</v>
      </c>
      <c r="H798" s="25" t="n">
        <f aca="false">IF(COUNT(D798:G798)=0,0,D798*IF(E798="",1,E798)*IF(F798="",1,F798)*IF(G798="",1,G798))</f>
        <v>1</v>
      </c>
      <c r="M798" s="21"/>
      <c r="N798" s="21"/>
      <c r="O798" s="21"/>
    </row>
    <row r="799" customFormat="false" ht="15" hidden="false" customHeight="true" outlineLevel="0" collapsed="false">
      <c r="C799" s="23" t="s">
        <v>757</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730</v>
      </c>
    </row>
    <row r="801" customFormat="false" ht="15" hidden="false" customHeight="true" outlineLevel="0" collapsed="false">
      <c r="A801" s="3" t="s">
        <v>758</v>
      </c>
      <c r="B801" s="3" t="s">
        <v>554</v>
      </c>
      <c r="C801" s="3" t="s">
        <v>759</v>
      </c>
      <c r="M801" s="21"/>
      <c r="N801" s="21"/>
      <c r="O801" s="21"/>
    </row>
    <row r="802" customFormat="false" ht="48" hidden="false" customHeight="true" outlineLevel="0" collapsed="false">
      <c r="C802" s="22" t="s">
        <v>760</v>
      </c>
      <c r="M802" s="21"/>
      <c r="N802" s="21"/>
      <c r="O802" s="21"/>
    </row>
    <row r="803" customFormat="false" ht="15" hidden="false" customHeight="true" outlineLevel="0" collapsed="false">
      <c r="C803" s="23" t="s">
        <v>643</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730</v>
      </c>
    </row>
    <row r="805" customFormat="false" ht="15" hidden="false" customHeight="true" outlineLevel="0" collapsed="false">
      <c r="A805" s="3" t="s">
        <v>761</v>
      </c>
      <c r="B805" s="3" t="s">
        <v>105</v>
      </c>
      <c r="C805" s="3" t="s">
        <v>762</v>
      </c>
      <c r="M805" s="21"/>
      <c r="N805" s="21"/>
      <c r="O805" s="21"/>
    </row>
    <row r="806" customFormat="false" ht="48" hidden="false" customHeight="true" outlineLevel="0" collapsed="false">
      <c r="C806" s="22" t="s">
        <v>763</v>
      </c>
      <c r="M806" s="21"/>
      <c r="N806" s="21"/>
      <c r="O806" s="21"/>
    </row>
    <row r="807" customFormat="false" ht="15" hidden="false" customHeight="true" outlineLevel="0" collapsed="false">
      <c r="C807" s="23" t="s">
        <v>643</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730</v>
      </c>
    </row>
    <row r="809" customFormat="false" ht="15" hidden="false" customHeight="true" outlineLevel="0" collapsed="false">
      <c r="A809" s="3" t="s">
        <v>764</v>
      </c>
      <c r="B809" s="3" t="s">
        <v>554</v>
      </c>
      <c r="C809" s="3" t="s">
        <v>765</v>
      </c>
      <c r="M809" s="21"/>
      <c r="N809" s="21"/>
      <c r="O809" s="21"/>
    </row>
    <row r="810" customFormat="false" ht="48" hidden="false" customHeight="true" outlineLevel="0" collapsed="false">
      <c r="C810" s="22" t="s">
        <v>766</v>
      </c>
      <c r="M810" s="21"/>
      <c r="N810" s="21"/>
      <c r="O810" s="21"/>
    </row>
    <row r="811" customFormat="false" ht="15" hidden="false" customHeight="true" outlineLevel="0" collapsed="false">
      <c r="C811" s="23" t="s">
        <v>643</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730</v>
      </c>
    </row>
    <row r="813" customFormat="false" ht="15" hidden="false" customHeight="true" outlineLevel="0" collapsed="false">
      <c r="A813" s="3" t="s">
        <v>767</v>
      </c>
      <c r="B813" s="3" t="s">
        <v>554</v>
      </c>
      <c r="C813" s="3" t="s">
        <v>768</v>
      </c>
      <c r="M813" s="21"/>
      <c r="N813" s="21"/>
      <c r="O813" s="21"/>
    </row>
    <row r="814" customFormat="false" ht="48" hidden="false" customHeight="true" outlineLevel="0" collapsed="false">
      <c r="C814" s="22" t="s">
        <v>769</v>
      </c>
      <c r="M814" s="21"/>
      <c r="N814" s="21"/>
      <c r="O814" s="21"/>
    </row>
    <row r="815" customFormat="false" ht="15" hidden="false" customHeight="true" outlineLevel="0" collapsed="false">
      <c r="C815" s="23" t="s">
        <v>643</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730</v>
      </c>
    </row>
    <row r="817" customFormat="false" ht="15" hidden="false" customHeight="true" outlineLevel="0" collapsed="false">
      <c r="A817" s="3" t="s">
        <v>770</v>
      </c>
      <c r="B817" s="3" t="s">
        <v>554</v>
      </c>
      <c r="C817" s="3" t="s">
        <v>771</v>
      </c>
      <c r="M817" s="21"/>
      <c r="N817" s="21"/>
      <c r="O817" s="21"/>
    </row>
    <row r="818" customFormat="false" ht="36" hidden="false" customHeight="true" outlineLevel="0" collapsed="false">
      <c r="C818" s="22" t="s">
        <v>772</v>
      </c>
      <c r="M818" s="21"/>
      <c r="N818" s="21"/>
      <c r="O818" s="21"/>
    </row>
    <row r="819" customFormat="false" ht="15" hidden="false" customHeight="true" outlineLevel="0" collapsed="false">
      <c r="C819" s="23" t="s">
        <v>643</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730</v>
      </c>
    </row>
    <row r="821" customFormat="false" ht="15" hidden="false" customHeight="true" outlineLevel="0" collapsed="false">
      <c r="A821" s="3" t="s">
        <v>773</v>
      </c>
      <c r="B821" s="3" t="s">
        <v>554</v>
      </c>
      <c r="C821" s="3" t="s">
        <v>774</v>
      </c>
      <c r="M821" s="21"/>
      <c r="N821" s="21"/>
      <c r="O821" s="21"/>
    </row>
    <row r="822" customFormat="false" ht="36" hidden="false" customHeight="true" outlineLevel="0" collapsed="false">
      <c r="C822" s="22" t="s">
        <v>775</v>
      </c>
      <c r="M822" s="21"/>
      <c r="N822" s="21"/>
      <c r="O822" s="21"/>
    </row>
    <row r="823" customFormat="false" ht="15" hidden="false" customHeight="true" outlineLevel="0" collapsed="false">
      <c r="C823" s="23" t="s">
        <v>643</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730</v>
      </c>
    </row>
    <row r="825" customFormat="false" ht="15" hidden="false" customHeight="true" outlineLevel="0" collapsed="false">
      <c r="A825" s="3" t="s">
        <v>776</v>
      </c>
      <c r="B825" s="3" t="s">
        <v>554</v>
      </c>
      <c r="C825" s="3" t="s">
        <v>777</v>
      </c>
      <c r="M825" s="21"/>
      <c r="N825" s="21"/>
      <c r="O825" s="21"/>
    </row>
    <row r="826" customFormat="false" ht="36" hidden="false" customHeight="true" outlineLevel="0" collapsed="false">
      <c r="C826" s="22" t="s">
        <v>778</v>
      </c>
      <c r="M826" s="21"/>
      <c r="N826" s="21"/>
      <c r="O826" s="21"/>
    </row>
    <row r="827" customFormat="false" ht="15" hidden="false" customHeight="true" outlineLevel="0" collapsed="false">
      <c r="C827" s="23" t="s">
        <v>643</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730</v>
      </c>
    </row>
    <row r="829" customFormat="false" ht="15" hidden="false" customHeight="true" outlineLevel="0" collapsed="false">
      <c r="A829" s="3" t="s">
        <v>779</v>
      </c>
      <c r="B829" s="3" t="s">
        <v>554</v>
      </c>
      <c r="C829" s="3" t="s">
        <v>780</v>
      </c>
      <c r="M829" s="21"/>
      <c r="N829" s="21"/>
      <c r="O829" s="21"/>
    </row>
    <row r="830" customFormat="false" ht="36" hidden="false" customHeight="true" outlineLevel="0" collapsed="false">
      <c r="C830" s="22" t="s">
        <v>781</v>
      </c>
      <c r="M830" s="21"/>
      <c r="N830" s="21"/>
      <c r="O830" s="21"/>
    </row>
    <row r="831" customFormat="false" ht="15" hidden="false" customHeight="true" outlineLevel="0" collapsed="false">
      <c r="C831" s="23" t="s">
        <v>643</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730</v>
      </c>
    </row>
    <row r="833" customFormat="false" ht="15" hidden="false" customHeight="true" outlineLevel="0" collapsed="false">
      <c r="A833" s="3" t="s">
        <v>782</v>
      </c>
      <c r="B833" s="3" t="s">
        <v>554</v>
      </c>
      <c r="C833" s="3" t="s">
        <v>783</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643</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730</v>
      </c>
    </row>
    <row r="837" customFormat="false" ht="15" hidden="false" customHeight="true" outlineLevel="0" collapsed="false">
      <c r="A837" s="3" t="s">
        <v>784</v>
      </c>
      <c r="B837" s="3" t="s">
        <v>546</v>
      </c>
      <c r="C837" s="3" t="s">
        <v>785</v>
      </c>
      <c r="M837" s="21"/>
      <c r="N837" s="21"/>
      <c r="O837" s="21"/>
    </row>
    <row r="838" customFormat="false" ht="72" hidden="false" customHeight="true" outlineLevel="0" collapsed="false">
      <c r="C838" s="22" t="s">
        <v>786</v>
      </c>
      <c r="M838" s="21"/>
      <c r="N838" s="21"/>
      <c r="O838" s="21"/>
    </row>
    <row r="839" customFormat="false" ht="15" hidden="false" customHeight="true" outlineLevel="0" collapsed="false">
      <c r="C839" s="23" t="s">
        <v>787</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730</v>
      </c>
    </row>
    <row r="841" customFormat="false" ht="15" hidden="false" customHeight="true" outlineLevel="0" collapsed="false">
      <c r="A841" s="3" t="s">
        <v>788</v>
      </c>
      <c r="B841" s="3" t="s">
        <v>546</v>
      </c>
      <c r="C841" s="3" t="s">
        <v>789</v>
      </c>
      <c r="M841" s="21"/>
      <c r="N841" s="21"/>
      <c r="O841" s="21"/>
    </row>
    <row r="842" customFormat="false" ht="72" hidden="false" customHeight="true" outlineLevel="0" collapsed="false">
      <c r="C842" s="22" t="s">
        <v>790</v>
      </c>
      <c r="M842" s="21"/>
      <c r="N842" s="21"/>
      <c r="O842" s="21"/>
    </row>
    <row r="843" customFormat="false" ht="15" hidden="false" customHeight="true" outlineLevel="0" collapsed="false">
      <c r="C843" s="23" t="s">
        <v>791</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730</v>
      </c>
    </row>
    <row r="845" customFormat="false" ht="15" hidden="false" customHeight="true" outlineLevel="0" collapsed="false">
      <c r="A845" s="3" t="s">
        <v>792</v>
      </c>
      <c r="B845" s="3" t="s">
        <v>546</v>
      </c>
      <c r="C845" s="3" t="s">
        <v>793</v>
      </c>
      <c r="M845" s="21"/>
      <c r="N845" s="21"/>
      <c r="O845" s="21"/>
    </row>
    <row r="846" customFormat="false" ht="72" hidden="false" customHeight="true" outlineLevel="0" collapsed="false">
      <c r="C846" s="22" t="s">
        <v>794</v>
      </c>
      <c r="M846" s="21"/>
      <c r="N846" s="21"/>
      <c r="O846" s="21"/>
    </row>
    <row r="847" customFormat="false" ht="15" hidden="false" customHeight="true" outlineLevel="0" collapsed="false">
      <c r="C847" s="23" t="s">
        <v>795</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730</v>
      </c>
    </row>
    <row r="849" customFormat="false" ht="15" hidden="false" customHeight="true" outlineLevel="0" collapsed="false">
      <c r="A849" s="3" t="s">
        <v>796</v>
      </c>
      <c r="B849" s="3" t="s">
        <v>546</v>
      </c>
      <c r="C849" s="3" t="s">
        <v>797</v>
      </c>
      <c r="M849" s="21"/>
      <c r="N849" s="21"/>
      <c r="O849" s="21"/>
    </row>
    <row r="850" customFormat="false" ht="60" hidden="false" customHeight="true" outlineLevel="0" collapsed="false">
      <c r="C850" s="22" t="s">
        <v>798</v>
      </c>
      <c r="M850" s="21"/>
      <c r="N850" s="21"/>
      <c r="O850" s="21"/>
    </row>
    <row r="851" customFormat="false" ht="15" hidden="false" customHeight="true" outlineLevel="0" collapsed="false">
      <c r="C851" s="23" t="s">
        <v>799</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730</v>
      </c>
    </row>
    <row r="853" customFormat="false" ht="15" hidden="false" customHeight="true" outlineLevel="0" collapsed="false">
      <c r="A853" s="3" t="s">
        <v>800</v>
      </c>
      <c r="B853" s="3" t="s">
        <v>546</v>
      </c>
      <c r="C853" s="3" t="s">
        <v>801</v>
      </c>
      <c r="M853" s="21"/>
      <c r="N853" s="21"/>
      <c r="O853" s="21"/>
    </row>
    <row r="854" customFormat="false" ht="60" hidden="false" customHeight="true" outlineLevel="0" collapsed="false">
      <c r="C854" s="22" t="s">
        <v>802</v>
      </c>
      <c r="M854" s="21"/>
      <c r="N854" s="21"/>
      <c r="O854" s="21"/>
    </row>
    <row r="855" customFormat="false" ht="15" hidden="false" customHeight="true" outlineLevel="0" collapsed="false">
      <c r="C855" s="23" t="s">
        <v>803</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730</v>
      </c>
    </row>
    <row r="857" customFormat="false" ht="15" hidden="false" customHeight="true" outlineLevel="0" collapsed="false">
      <c r="A857" s="3" t="s">
        <v>804</v>
      </c>
      <c r="B857" s="3" t="s">
        <v>546</v>
      </c>
      <c r="C857" s="3" t="s">
        <v>805</v>
      </c>
      <c r="M857" s="21"/>
      <c r="N857" s="21"/>
      <c r="O857" s="21"/>
    </row>
    <row r="858" customFormat="false" ht="36" hidden="false" customHeight="true" outlineLevel="0" collapsed="false">
      <c r="C858" s="22" t="s">
        <v>806</v>
      </c>
      <c r="M858" s="21"/>
      <c r="N858" s="21"/>
      <c r="O858" s="21"/>
    </row>
    <row r="859" customFormat="false" ht="15" hidden="false" customHeight="true" outlineLevel="0" collapsed="false">
      <c r="C859" s="23" t="s">
        <v>807</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730</v>
      </c>
    </row>
    <row r="861" customFormat="false" ht="15" hidden="false" customHeight="true" outlineLevel="0" collapsed="false">
      <c r="A861" s="3" t="s">
        <v>808</v>
      </c>
      <c r="B861" s="3" t="s">
        <v>546</v>
      </c>
      <c r="C861" s="3" t="s">
        <v>809</v>
      </c>
      <c r="M861" s="21"/>
      <c r="N861" s="21"/>
      <c r="O861" s="21"/>
    </row>
    <row r="862" customFormat="false" ht="60" hidden="false" customHeight="true" outlineLevel="0" collapsed="false">
      <c r="C862" s="22" t="s">
        <v>810</v>
      </c>
      <c r="M862" s="21"/>
      <c r="N862" s="21"/>
      <c r="O862" s="21"/>
    </row>
    <row r="863" customFormat="false" ht="15" hidden="false" customHeight="true" outlineLevel="0" collapsed="false">
      <c r="C863" s="23" t="s">
        <v>811</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730</v>
      </c>
    </row>
    <row r="865" customFormat="false" ht="15" hidden="false" customHeight="true" outlineLevel="0" collapsed="false">
      <c r="A865" s="3" t="s">
        <v>812</v>
      </c>
      <c r="B865" s="3" t="s">
        <v>546</v>
      </c>
      <c r="C865" s="3" t="s">
        <v>813</v>
      </c>
      <c r="M865" s="21"/>
      <c r="N865" s="21"/>
      <c r="O865" s="21"/>
    </row>
    <row r="866" customFormat="false" ht="48" hidden="false" customHeight="true" outlineLevel="0" collapsed="false">
      <c r="C866" s="22" t="s">
        <v>814</v>
      </c>
      <c r="M866" s="21"/>
      <c r="N866" s="21"/>
      <c r="O866" s="21"/>
    </row>
    <row r="867" customFormat="false" ht="15" hidden="false" customHeight="true" outlineLevel="0" collapsed="false">
      <c r="C867" s="23" t="s">
        <v>815</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730</v>
      </c>
    </row>
    <row r="869" customFormat="false" ht="15" hidden="false" customHeight="true" outlineLevel="0" collapsed="false">
      <c r="A869" s="3" t="s">
        <v>816</v>
      </c>
      <c r="B869" s="3" t="s">
        <v>546</v>
      </c>
      <c r="C869" s="3" t="s">
        <v>817</v>
      </c>
      <c r="M869" s="21"/>
      <c r="N869" s="21"/>
      <c r="O869" s="21"/>
    </row>
    <row r="870" customFormat="false" ht="48" hidden="false" customHeight="true" outlineLevel="0" collapsed="false">
      <c r="C870" s="22" t="s">
        <v>818</v>
      </c>
      <c r="M870" s="21"/>
      <c r="N870" s="21"/>
      <c r="O870" s="21"/>
    </row>
    <row r="871" customFormat="false" ht="15" hidden="false" customHeight="true" outlineLevel="0" collapsed="false">
      <c r="C871" s="23" t="s">
        <v>819</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730</v>
      </c>
    </row>
    <row r="873" customFormat="false" ht="15" hidden="false" customHeight="true" outlineLevel="0" collapsed="false">
      <c r="A873" s="3" t="s">
        <v>820</v>
      </c>
      <c r="B873" s="3" t="s">
        <v>546</v>
      </c>
      <c r="C873" s="3" t="s">
        <v>821</v>
      </c>
      <c r="M873" s="21"/>
      <c r="N873" s="21"/>
      <c r="O873" s="21"/>
    </row>
    <row r="874" customFormat="false" ht="48" hidden="false" customHeight="true" outlineLevel="0" collapsed="false">
      <c r="C874" s="22" t="s">
        <v>822</v>
      </c>
      <c r="M874" s="21"/>
      <c r="N874" s="21"/>
      <c r="O874" s="21"/>
    </row>
    <row r="875" customFormat="false" ht="15" hidden="false" customHeight="true" outlineLevel="0" collapsed="false">
      <c r="C875" s="23" t="s">
        <v>608</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730</v>
      </c>
    </row>
    <row r="877" customFormat="false" ht="15" hidden="false" customHeight="true" outlineLevel="0" collapsed="false">
      <c r="A877" s="3" t="s">
        <v>823</v>
      </c>
      <c r="B877" s="3" t="s">
        <v>546</v>
      </c>
      <c r="C877" s="3" t="s">
        <v>824</v>
      </c>
      <c r="M877" s="21"/>
      <c r="N877" s="21"/>
      <c r="O877" s="21"/>
    </row>
    <row r="878" customFormat="false" ht="36" hidden="false" customHeight="true" outlineLevel="0" collapsed="false">
      <c r="C878" s="22" t="s">
        <v>825</v>
      </c>
      <c r="M878" s="21"/>
      <c r="N878" s="21"/>
      <c r="O878" s="21"/>
    </row>
    <row r="879" customFormat="false" ht="15" hidden="false" customHeight="true" outlineLevel="0" collapsed="false">
      <c r="C879" s="23" t="s">
        <v>826</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730</v>
      </c>
    </row>
    <row r="881" customFormat="false" ht="15" hidden="false" customHeight="true" outlineLevel="0" collapsed="false">
      <c r="A881" s="3" t="s">
        <v>827</v>
      </c>
      <c r="B881" s="3" t="s">
        <v>546</v>
      </c>
      <c r="C881" s="3" t="s">
        <v>828</v>
      </c>
      <c r="M881" s="21"/>
      <c r="N881" s="21"/>
      <c r="O881" s="21"/>
    </row>
    <row r="882" customFormat="false" ht="24" hidden="false" customHeight="true" outlineLevel="0" collapsed="false">
      <c r="C882" s="22" t="s">
        <v>829</v>
      </c>
      <c r="M882" s="21"/>
      <c r="N882" s="21"/>
      <c r="O882" s="21"/>
    </row>
    <row r="883" customFormat="false" ht="15" hidden="false" customHeight="true" outlineLevel="0" collapsed="false">
      <c r="C883" s="23" t="s">
        <v>830</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730</v>
      </c>
    </row>
    <row r="885" customFormat="false" ht="15" hidden="false" customHeight="true" outlineLevel="0" collapsed="false">
      <c r="A885" s="3" t="s">
        <v>831</v>
      </c>
      <c r="B885" s="3" t="s">
        <v>546</v>
      </c>
      <c r="C885" s="3" t="s">
        <v>832</v>
      </c>
      <c r="M885" s="21"/>
      <c r="N885" s="21"/>
      <c r="O885" s="21"/>
    </row>
    <row r="886" customFormat="false" ht="12" hidden="false" customHeight="true" outlineLevel="0" collapsed="false">
      <c r="C886" s="22" t="s">
        <v>833</v>
      </c>
      <c r="M886" s="21"/>
      <c r="N886" s="21"/>
      <c r="O886" s="21"/>
    </row>
    <row r="887" customFormat="false" ht="15" hidden="false" customHeight="true" outlineLevel="0" collapsed="false">
      <c r="C887" s="23" t="s">
        <v>834</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730</v>
      </c>
    </row>
    <row r="889" customFormat="false" ht="15" hidden="false" customHeight="true" outlineLevel="0" collapsed="false">
      <c r="A889" s="3" t="s">
        <v>835</v>
      </c>
      <c r="B889" s="3" t="s">
        <v>546</v>
      </c>
      <c r="C889" s="3" t="s">
        <v>836</v>
      </c>
      <c r="M889" s="21"/>
      <c r="N889" s="21"/>
      <c r="O889" s="21"/>
    </row>
    <row r="890" customFormat="false" ht="60" hidden="false" customHeight="true" outlineLevel="0" collapsed="false">
      <c r="C890" s="22" t="s">
        <v>837</v>
      </c>
      <c r="M890" s="21"/>
      <c r="N890" s="21"/>
      <c r="O890" s="21"/>
    </row>
    <row r="891" customFormat="false" ht="15" hidden="false" customHeight="true" outlineLevel="0" collapsed="false">
      <c r="C891" s="23" t="s">
        <v>791</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730</v>
      </c>
    </row>
    <row r="893" customFormat="false" ht="15" hidden="false" customHeight="true" outlineLevel="0" collapsed="false">
      <c r="A893" s="3" t="s">
        <v>838</v>
      </c>
      <c r="B893" s="3" t="s">
        <v>546</v>
      </c>
      <c r="C893" s="3" t="s">
        <v>839</v>
      </c>
      <c r="M893" s="21"/>
      <c r="N893" s="21"/>
      <c r="O893" s="21"/>
    </row>
    <row r="894" customFormat="false" ht="36" hidden="false" customHeight="true" outlineLevel="0" collapsed="false">
      <c r="C894" s="22" t="s">
        <v>840</v>
      </c>
      <c r="M894" s="21"/>
      <c r="N894" s="21"/>
      <c r="O894" s="21"/>
    </row>
    <row r="895" customFormat="false" ht="15" hidden="false" customHeight="true" outlineLevel="0" collapsed="false">
      <c r="C895" s="23" t="s">
        <v>815</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730</v>
      </c>
    </row>
    <row r="897" customFormat="false" ht="15" hidden="false" customHeight="true" outlineLevel="0" collapsed="false">
      <c r="A897" s="3" t="s">
        <v>841</v>
      </c>
      <c r="B897" s="3" t="s">
        <v>546</v>
      </c>
      <c r="C897" s="3" t="s">
        <v>842</v>
      </c>
      <c r="M897" s="21"/>
      <c r="N897" s="21"/>
      <c r="O897" s="21"/>
    </row>
    <row r="898" customFormat="false" ht="36" hidden="false" customHeight="true" outlineLevel="0" collapsed="false">
      <c r="C898" s="22" t="s">
        <v>843</v>
      </c>
      <c r="M898" s="21"/>
      <c r="N898" s="21"/>
      <c r="O898" s="21"/>
    </row>
    <row r="899" customFormat="false" ht="15" hidden="false" customHeight="true" outlineLevel="0" collapsed="false">
      <c r="C899" s="23" t="s">
        <v>844</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730</v>
      </c>
    </row>
    <row r="901" customFormat="false" ht="15" hidden="false" customHeight="true" outlineLevel="0" collapsed="false">
      <c r="A901" s="3" t="s">
        <v>845</v>
      </c>
      <c r="B901" s="3" t="s">
        <v>546</v>
      </c>
      <c r="C901" s="3" t="s">
        <v>846</v>
      </c>
      <c r="M901" s="21"/>
      <c r="N901" s="21"/>
      <c r="O901" s="21"/>
    </row>
    <row r="902" customFormat="false" ht="36" hidden="false" customHeight="true" outlineLevel="0" collapsed="false">
      <c r="C902" s="22" t="s">
        <v>847</v>
      </c>
      <c r="M902" s="21"/>
      <c r="N902" s="21"/>
      <c r="O902" s="21"/>
    </row>
    <row r="903" customFormat="false" ht="15" hidden="false" customHeight="true" outlineLevel="0" collapsed="false">
      <c r="C903" s="23" t="s">
        <v>803</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730</v>
      </c>
    </row>
    <row r="905" customFormat="false" ht="15" hidden="false" customHeight="true" outlineLevel="0" collapsed="false">
      <c r="A905" s="3" t="s">
        <v>848</v>
      </c>
      <c r="B905" s="3" t="s">
        <v>546</v>
      </c>
      <c r="C905" s="3" t="s">
        <v>849</v>
      </c>
      <c r="M905" s="21"/>
      <c r="N905" s="21"/>
      <c r="O905" s="21"/>
    </row>
    <row r="906" customFormat="false" ht="36" hidden="false" customHeight="true" outlineLevel="0" collapsed="false">
      <c r="C906" s="22" t="s">
        <v>850</v>
      </c>
      <c r="M906" s="21"/>
      <c r="N906" s="21"/>
      <c r="O906" s="21"/>
    </row>
    <row r="907" customFormat="false" ht="15" hidden="false" customHeight="true" outlineLevel="0" collapsed="false">
      <c r="C907" s="23" t="s">
        <v>795</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730</v>
      </c>
    </row>
    <row r="909" customFormat="false" ht="15" hidden="false" customHeight="true" outlineLevel="0" collapsed="false">
      <c r="A909" s="3" t="s">
        <v>851</v>
      </c>
      <c r="B909" s="3" t="s">
        <v>546</v>
      </c>
      <c r="C909" s="3" t="s">
        <v>852</v>
      </c>
      <c r="M909" s="21"/>
      <c r="N909" s="21"/>
      <c r="O909" s="21"/>
    </row>
    <row r="910" customFormat="false" ht="24" hidden="false" customHeight="true" outlineLevel="0" collapsed="false">
      <c r="C910" s="22" t="s">
        <v>853</v>
      </c>
      <c r="M910" s="21"/>
      <c r="N910" s="21"/>
      <c r="O910" s="21"/>
    </row>
    <row r="911" customFormat="false" ht="15" hidden="false" customHeight="true" outlineLevel="0" collapsed="false">
      <c r="C911" s="23" t="s">
        <v>854</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730</v>
      </c>
    </row>
    <row r="913" customFormat="false" ht="15" hidden="false" customHeight="true" outlineLevel="0" collapsed="false">
      <c r="A913" s="3" t="s">
        <v>855</v>
      </c>
      <c r="B913" s="3" t="s">
        <v>105</v>
      </c>
      <c r="C913" s="3" t="s">
        <v>856</v>
      </c>
      <c r="M913" s="21"/>
      <c r="N913" s="21"/>
      <c r="O913" s="21"/>
    </row>
    <row r="914" customFormat="false" ht="36" hidden="false" customHeight="true" outlineLevel="0" collapsed="false">
      <c r="C914" s="22" t="s">
        <v>857</v>
      </c>
      <c r="M914" s="21"/>
      <c r="N914" s="21"/>
      <c r="O914" s="21"/>
    </row>
    <row r="915" customFormat="false" ht="15" hidden="false" customHeight="true" outlineLevel="0" collapsed="false">
      <c r="C915" s="23" t="s">
        <v>858</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730</v>
      </c>
    </row>
    <row r="917" customFormat="false" ht="15" hidden="false" customHeight="true" outlineLevel="0" collapsed="false">
      <c r="A917" s="3" t="s">
        <v>859</v>
      </c>
      <c r="B917" s="3" t="s">
        <v>105</v>
      </c>
      <c r="C917" s="3" t="s">
        <v>860</v>
      </c>
      <c r="M917" s="21"/>
      <c r="N917" s="21"/>
      <c r="O917" s="21"/>
    </row>
    <row r="918" customFormat="false" ht="24" hidden="false" customHeight="true" outlineLevel="0" collapsed="false">
      <c r="C918" s="22" t="s">
        <v>861</v>
      </c>
      <c r="M918" s="21"/>
      <c r="N918" s="21"/>
      <c r="O918" s="21"/>
    </row>
    <row r="919" customFormat="false" ht="15" hidden="false" customHeight="true" outlineLevel="0" collapsed="false">
      <c r="C919" s="23" t="s">
        <v>625</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862</v>
      </c>
      <c r="M920" s="21" t="s">
        <v>110</v>
      </c>
      <c r="N920" s="21" t="s">
        <v>41</v>
      </c>
      <c r="O920" s="21" t="s">
        <v>730</v>
      </c>
    </row>
    <row r="921" customFormat="false" ht="15" hidden="false" customHeight="true" outlineLevel="0" collapsed="false">
      <c r="A921" s="3" t="s">
        <v>863</v>
      </c>
      <c r="C921" s="3" t="s">
        <v>864</v>
      </c>
      <c r="M921" s="21" t="s">
        <v>194</v>
      </c>
      <c r="N921" s="21" t="s">
        <v>41</v>
      </c>
      <c r="O921" s="21" t="s">
        <v>863</v>
      </c>
    </row>
    <row r="922" customFormat="false" ht="15" hidden="false" customHeight="true" outlineLevel="0" collapsed="false">
      <c r="A922" s="3" t="s">
        <v>865</v>
      </c>
      <c r="B922" s="3" t="s">
        <v>546</v>
      </c>
      <c r="C922" s="3" t="s">
        <v>866</v>
      </c>
      <c r="M922" s="21"/>
      <c r="N922" s="21"/>
      <c r="O922" s="21"/>
    </row>
    <row r="923" customFormat="false" ht="36" hidden="false" customHeight="true" outlineLevel="0" collapsed="false">
      <c r="C923" s="22" t="s">
        <v>867</v>
      </c>
      <c r="M923" s="21"/>
      <c r="N923" s="21"/>
      <c r="O923" s="21"/>
    </row>
    <row r="924" customFormat="false" ht="15" hidden="false" customHeight="true" outlineLevel="0" collapsed="false">
      <c r="C924" s="23" t="s">
        <v>643</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863</v>
      </c>
    </row>
    <row r="926" customFormat="false" ht="15" hidden="false" customHeight="true" outlineLevel="0" collapsed="false">
      <c r="A926" s="3" t="s">
        <v>868</v>
      </c>
      <c r="B926" s="3" t="s">
        <v>546</v>
      </c>
      <c r="C926" s="3" t="s">
        <v>869</v>
      </c>
      <c r="M926" s="21"/>
      <c r="N926" s="21"/>
      <c r="O926" s="21"/>
    </row>
    <row r="927" customFormat="false" ht="24" hidden="false" customHeight="true" outlineLevel="0" collapsed="false">
      <c r="C927" s="22" t="s">
        <v>870</v>
      </c>
      <c r="M927" s="21"/>
      <c r="N927" s="21"/>
      <c r="O927" s="21"/>
    </row>
    <row r="928" customFormat="false" ht="15" hidden="false" customHeight="true" outlineLevel="0" collapsed="false">
      <c r="C928" s="23" t="s">
        <v>643</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863</v>
      </c>
    </row>
    <row r="930" customFormat="false" ht="15" hidden="false" customHeight="true" outlineLevel="0" collapsed="false">
      <c r="A930" s="3" t="s">
        <v>871</v>
      </c>
      <c r="B930" s="3" t="s">
        <v>546</v>
      </c>
      <c r="C930" s="3" t="s">
        <v>872</v>
      </c>
      <c r="M930" s="21"/>
      <c r="N930" s="21"/>
      <c r="O930" s="21"/>
    </row>
    <row r="931" customFormat="false" ht="72" hidden="false" customHeight="true" outlineLevel="0" collapsed="false">
      <c r="C931" s="22" t="s">
        <v>873</v>
      </c>
      <c r="M931" s="21"/>
      <c r="N931" s="21"/>
      <c r="O931" s="21"/>
    </row>
    <row r="932" customFormat="false" ht="15" hidden="false" customHeight="true" outlineLevel="0" collapsed="false">
      <c r="C932" s="23" t="s">
        <v>643</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863</v>
      </c>
    </row>
    <row r="934" customFormat="false" ht="15" hidden="false" customHeight="true" outlineLevel="0" collapsed="false">
      <c r="A934" s="3" t="s">
        <v>874</v>
      </c>
      <c r="B934" s="3" t="s">
        <v>554</v>
      </c>
      <c r="C934" s="3" t="s">
        <v>875</v>
      </c>
      <c r="M934" s="21"/>
      <c r="N934" s="21"/>
      <c r="O934" s="21"/>
    </row>
    <row r="935" customFormat="false" ht="12" hidden="false" customHeight="true" outlineLevel="0" collapsed="false">
      <c r="C935" s="22" t="s">
        <v>876</v>
      </c>
      <c r="M935" s="21"/>
      <c r="N935" s="21"/>
      <c r="O935" s="21"/>
    </row>
    <row r="936" customFormat="false" ht="15" hidden="false" customHeight="true" outlineLevel="0" collapsed="false">
      <c r="C936" s="23" t="s">
        <v>643</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863</v>
      </c>
    </row>
    <row r="938" customFormat="false" ht="15" hidden="false" customHeight="true" outlineLevel="0" collapsed="false">
      <c r="A938" s="3" t="s">
        <v>877</v>
      </c>
      <c r="B938" s="3" t="s">
        <v>546</v>
      </c>
      <c r="C938" s="3" t="s">
        <v>878</v>
      </c>
      <c r="M938" s="21"/>
      <c r="N938" s="21"/>
      <c r="O938" s="21"/>
    </row>
    <row r="939" customFormat="false" ht="12" hidden="false" customHeight="true" outlineLevel="0" collapsed="false">
      <c r="C939" s="22" t="s">
        <v>879</v>
      </c>
      <c r="M939" s="21"/>
      <c r="N939" s="21"/>
      <c r="O939" s="21"/>
    </row>
    <row r="940" customFormat="false" ht="15" hidden="false" customHeight="true" outlineLevel="0" collapsed="false">
      <c r="C940" s="23" t="s">
        <v>643</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863</v>
      </c>
    </row>
    <row r="942" customFormat="false" ht="15" hidden="false" customHeight="true" outlineLevel="0" collapsed="false">
      <c r="A942" s="3" t="s">
        <v>880</v>
      </c>
      <c r="B942" s="3" t="s">
        <v>546</v>
      </c>
      <c r="C942" s="3" t="s">
        <v>881</v>
      </c>
      <c r="M942" s="21"/>
      <c r="N942" s="21"/>
      <c r="O942" s="21"/>
    </row>
    <row r="943" customFormat="false" ht="48" hidden="false" customHeight="true" outlineLevel="0" collapsed="false">
      <c r="C943" s="22" t="s">
        <v>882</v>
      </c>
      <c r="M943" s="21"/>
      <c r="N943" s="21"/>
      <c r="O943" s="21"/>
    </row>
    <row r="944" customFormat="false" ht="15" hidden="false" customHeight="true" outlineLevel="0" collapsed="false">
      <c r="C944" s="23" t="s">
        <v>643</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863</v>
      </c>
    </row>
    <row r="946" customFormat="false" ht="15" hidden="false" customHeight="true" outlineLevel="0" collapsed="false">
      <c r="A946" s="3" t="s">
        <v>883</v>
      </c>
      <c r="B946" s="3" t="s">
        <v>546</v>
      </c>
      <c r="C946" s="3" t="s">
        <v>884</v>
      </c>
      <c r="M946" s="21"/>
      <c r="N946" s="21"/>
      <c r="O946" s="21"/>
    </row>
    <row r="947" customFormat="false" ht="120" hidden="false" customHeight="true" outlineLevel="0" collapsed="false">
      <c r="C947" s="22" t="s">
        <v>885</v>
      </c>
      <c r="M947" s="21"/>
      <c r="N947" s="21"/>
      <c r="O947" s="21"/>
    </row>
    <row r="948" customFormat="false" ht="15" hidden="false" customHeight="true" outlineLevel="0" collapsed="false">
      <c r="C948" s="23" t="s">
        <v>643</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863</v>
      </c>
    </row>
    <row r="950" customFormat="false" ht="15" hidden="false" customHeight="true" outlineLevel="0" collapsed="false">
      <c r="A950" s="3" t="s">
        <v>886</v>
      </c>
      <c r="B950" s="3" t="s">
        <v>554</v>
      </c>
      <c r="C950" s="3" t="s">
        <v>887</v>
      </c>
      <c r="M950" s="21"/>
      <c r="N950" s="21"/>
      <c r="O950" s="21"/>
    </row>
    <row r="951" customFormat="false" ht="48" hidden="false" customHeight="true" outlineLevel="0" collapsed="false">
      <c r="C951" s="22" t="s">
        <v>888</v>
      </c>
      <c r="M951" s="21"/>
      <c r="N951" s="21"/>
      <c r="O951" s="21"/>
    </row>
    <row r="952" customFormat="false" ht="15" hidden="false" customHeight="true" outlineLevel="0" collapsed="false">
      <c r="C952" s="23" t="s">
        <v>643</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863</v>
      </c>
    </row>
    <row r="954" customFormat="false" ht="15" hidden="false" customHeight="true" outlineLevel="0" collapsed="false">
      <c r="A954" s="3" t="s">
        <v>889</v>
      </c>
      <c r="B954" s="3" t="s">
        <v>546</v>
      </c>
      <c r="C954" s="3" t="s">
        <v>890</v>
      </c>
      <c r="M954" s="21"/>
      <c r="N954" s="21"/>
      <c r="O954" s="21"/>
    </row>
    <row r="955" customFormat="false" ht="84" hidden="false" customHeight="true" outlineLevel="0" collapsed="false">
      <c r="C955" s="22" t="s">
        <v>891</v>
      </c>
      <c r="M955" s="21"/>
      <c r="N955" s="21"/>
      <c r="O955" s="21"/>
    </row>
    <row r="956" customFormat="false" ht="15" hidden="false" customHeight="true" outlineLevel="0" collapsed="false">
      <c r="C956" s="23" t="s">
        <v>643</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863</v>
      </c>
    </row>
    <row r="958" customFormat="false" ht="15" hidden="false" customHeight="true" outlineLevel="0" collapsed="false">
      <c r="A958" s="3" t="s">
        <v>892</v>
      </c>
      <c r="B958" s="3" t="s">
        <v>546</v>
      </c>
      <c r="C958" s="3" t="s">
        <v>893</v>
      </c>
      <c r="M958" s="21"/>
      <c r="N958" s="21"/>
      <c r="O958" s="21"/>
    </row>
    <row r="959" customFormat="false" ht="36" hidden="false" customHeight="true" outlineLevel="0" collapsed="false">
      <c r="C959" s="22" t="s">
        <v>894</v>
      </c>
      <c r="M959" s="21"/>
      <c r="N959" s="21"/>
      <c r="O959" s="21"/>
    </row>
    <row r="960" customFormat="false" ht="15" hidden="false" customHeight="true" outlineLevel="0" collapsed="false">
      <c r="C960" s="23" t="s">
        <v>895</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863</v>
      </c>
    </row>
    <row r="962" customFormat="false" ht="15" hidden="false" customHeight="true" outlineLevel="0" collapsed="false">
      <c r="C962" s="30" t="s">
        <v>896</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897</v>
      </c>
      <c r="C965" s="3" t="s">
        <v>898</v>
      </c>
      <c r="M965" s="21" t="s">
        <v>194</v>
      </c>
      <c r="N965" s="21" t="s">
        <v>55</v>
      </c>
      <c r="O965" s="21" t="s">
        <v>897</v>
      </c>
    </row>
    <row r="966" customFormat="false" ht="15" hidden="false" customHeight="true" outlineLevel="0" collapsed="false">
      <c r="A966" s="3" t="s">
        <v>899</v>
      </c>
      <c r="B966" s="3" t="s">
        <v>546</v>
      </c>
      <c r="C966" s="3" t="s">
        <v>900</v>
      </c>
      <c r="M966" s="21"/>
      <c r="N966" s="21"/>
      <c r="O966" s="21"/>
    </row>
    <row r="967" customFormat="false" ht="96" hidden="false" customHeight="true" outlineLevel="0" collapsed="false">
      <c r="C967" s="22" t="s">
        <v>901</v>
      </c>
      <c r="M967" s="21"/>
      <c r="N967" s="21"/>
      <c r="O967" s="21"/>
    </row>
    <row r="968" customFormat="false" ht="15" hidden="false" customHeight="true" outlineLevel="0" collapsed="false">
      <c r="C968" s="23" t="s">
        <v>902</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897</v>
      </c>
    </row>
    <row r="970" customFormat="false" ht="15" hidden="false" customHeight="true" outlineLevel="0" collapsed="false">
      <c r="A970" s="3" t="s">
        <v>903</v>
      </c>
      <c r="B970" s="3" t="s">
        <v>546</v>
      </c>
      <c r="C970" s="3" t="s">
        <v>904</v>
      </c>
      <c r="M970" s="21"/>
      <c r="N970" s="21"/>
      <c r="O970" s="21"/>
    </row>
    <row r="971" customFormat="false" ht="120" hidden="false" customHeight="true" outlineLevel="0" collapsed="false">
      <c r="C971" s="22" t="s">
        <v>905</v>
      </c>
      <c r="M971" s="21"/>
      <c r="N971" s="21"/>
      <c r="O971" s="21"/>
    </row>
    <row r="972" customFormat="false" ht="15" hidden="false" customHeight="true" outlineLevel="0" collapsed="false">
      <c r="C972" s="23" t="s">
        <v>902</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897</v>
      </c>
    </row>
    <row r="974" customFormat="false" ht="15" hidden="false" customHeight="true" outlineLevel="0" collapsed="false">
      <c r="A974" s="3" t="s">
        <v>906</v>
      </c>
      <c r="C974" s="3" t="s">
        <v>907</v>
      </c>
      <c r="M974" s="21" t="s">
        <v>194</v>
      </c>
      <c r="N974" s="21" t="s">
        <v>55</v>
      </c>
      <c r="O974" s="21" t="s">
        <v>906</v>
      </c>
    </row>
    <row r="975" customFormat="false" ht="15" hidden="false" customHeight="true" outlineLevel="0" collapsed="false">
      <c r="A975" s="3" t="s">
        <v>908</v>
      </c>
      <c r="B975" s="3" t="s">
        <v>546</v>
      </c>
      <c r="C975" s="3" t="s">
        <v>907</v>
      </c>
      <c r="M975" s="21"/>
      <c r="N975" s="21"/>
      <c r="O975" s="21"/>
    </row>
    <row r="976" customFormat="false" ht="204" hidden="false" customHeight="true" outlineLevel="0" collapsed="false">
      <c r="C976" s="22" t="s">
        <v>909</v>
      </c>
      <c r="M976" s="21"/>
      <c r="N976" s="21"/>
      <c r="O976" s="21"/>
    </row>
    <row r="977" customFormat="false" ht="15" hidden="false" customHeight="true" outlineLevel="0" collapsed="false">
      <c r="C977" s="23" t="s">
        <v>902</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906</v>
      </c>
    </row>
    <row r="979" customFormat="false" ht="15" hidden="false" customHeight="true" outlineLevel="0" collapsed="false">
      <c r="C979" s="30" t="s">
        <v>910</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911</v>
      </c>
      <c r="B982" s="3" t="s">
        <v>91</v>
      </c>
      <c r="C982" s="3" t="s">
        <v>912</v>
      </c>
      <c r="M982" s="21"/>
      <c r="N982" s="21"/>
      <c r="O982" s="21"/>
    </row>
    <row r="983" customFormat="false" ht="132" hidden="false" customHeight="true" outlineLevel="0" collapsed="false">
      <c r="C983" s="22" t="s">
        <v>913</v>
      </c>
      <c r="M983" s="21"/>
      <c r="N983" s="21"/>
      <c r="O983" s="21"/>
    </row>
    <row r="984" customFormat="false" ht="15" hidden="false" customHeight="true" outlineLevel="0" collapsed="false">
      <c r="C984" s="23" t="s">
        <v>902</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914</v>
      </c>
      <c r="B986" s="3" t="s">
        <v>91</v>
      </c>
      <c r="C986" s="3" t="s">
        <v>915</v>
      </c>
      <c r="M986" s="21"/>
      <c r="N986" s="21"/>
      <c r="O986" s="21"/>
    </row>
    <row r="987" customFormat="false" ht="132" hidden="false" customHeight="true" outlineLevel="0" collapsed="false">
      <c r="C987" s="22" t="s">
        <v>916</v>
      </c>
      <c r="M987" s="21"/>
      <c r="N987" s="21"/>
      <c r="O987" s="21"/>
    </row>
    <row r="988" customFormat="false" ht="15" hidden="false" customHeight="true" outlineLevel="0" collapsed="false">
      <c r="C988" s="23" t="s">
        <v>902</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917</v>
      </c>
      <c r="B990" s="3" t="s">
        <v>91</v>
      </c>
      <c r="C990" s="3" t="s">
        <v>918</v>
      </c>
      <c r="M990" s="21"/>
      <c r="N990" s="21"/>
      <c r="O990" s="21"/>
    </row>
    <row r="991" customFormat="false" ht="120" hidden="false" customHeight="true" outlineLevel="0" collapsed="false">
      <c r="C991" s="22" t="s">
        <v>919</v>
      </c>
      <c r="M991" s="21"/>
      <c r="N991" s="21"/>
      <c r="O991" s="21"/>
    </row>
    <row r="992" customFormat="false" ht="15" hidden="false" customHeight="true" outlineLevel="0" collapsed="false">
      <c r="C992" s="23" t="s">
        <v>902</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920</v>
      </c>
      <c r="B994" s="3" t="s">
        <v>91</v>
      </c>
      <c r="C994" s="3" t="s">
        <v>921</v>
      </c>
      <c r="M994" s="21"/>
      <c r="N994" s="21"/>
      <c r="O994" s="21"/>
    </row>
    <row r="995" customFormat="false" ht="120" hidden="false" customHeight="true" outlineLevel="0" collapsed="false">
      <c r="C995" s="22" t="s">
        <v>922</v>
      </c>
      <c r="M995" s="21"/>
      <c r="N995" s="21"/>
      <c r="O995" s="21"/>
    </row>
    <row r="996" customFormat="false" ht="15" hidden="false" customHeight="true" outlineLevel="0" collapsed="false">
      <c r="C996" s="23" t="s">
        <v>902</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923</v>
      </c>
      <c r="B998" s="3" t="s">
        <v>91</v>
      </c>
      <c r="C998" s="3" t="s">
        <v>924</v>
      </c>
      <c r="M998" s="21"/>
      <c r="N998" s="21"/>
      <c r="O998" s="21"/>
    </row>
    <row r="999" customFormat="false" ht="120" hidden="false" customHeight="true" outlineLevel="0" collapsed="false">
      <c r="C999" s="22" t="s">
        <v>925</v>
      </c>
      <c r="M999" s="21"/>
      <c r="N999" s="21"/>
      <c r="O999" s="21"/>
    </row>
    <row r="1000" customFormat="false" ht="15" hidden="false" customHeight="true" outlineLevel="0" collapsed="false">
      <c r="C1000" s="23" t="s">
        <v>902</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926</v>
      </c>
      <c r="B1002" s="3" t="s">
        <v>91</v>
      </c>
      <c r="C1002" s="3" t="s">
        <v>927</v>
      </c>
      <c r="M1002" s="21"/>
      <c r="N1002" s="21"/>
      <c r="O1002" s="21"/>
    </row>
    <row r="1003" customFormat="false" ht="120" hidden="false" customHeight="true" outlineLevel="0" collapsed="false">
      <c r="C1003" s="22" t="s">
        <v>928</v>
      </c>
      <c r="M1003" s="21"/>
      <c r="N1003" s="21"/>
      <c r="O1003" s="21"/>
    </row>
    <row r="1004" customFormat="false" ht="15" hidden="false" customHeight="true" outlineLevel="0" collapsed="false">
      <c r="C1004" s="23" t="s">
        <v>902</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929</v>
      </c>
      <c r="B1006" s="3" t="s">
        <v>91</v>
      </c>
      <c r="C1006" s="3" t="s">
        <v>930</v>
      </c>
      <c r="M1006" s="21"/>
      <c r="N1006" s="21"/>
      <c r="O1006" s="21"/>
    </row>
    <row r="1007" customFormat="false" ht="120" hidden="false" customHeight="true" outlineLevel="0" collapsed="false">
      <c r="C1007" s="22" t="s">
        <v>931</v>
      </c>
      <c r="M1007" s="21"/>
      <c r="N1007" s="21"/>
      <c r="O1007" s="21"/>
    </row>
    <row r="1008" customFormat="false" ht="15" hidden="false" customHeight="true" outlineLevel="0" collapsed="false">
      <c r="C1008" s="23" t="s">
        <v>902</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932</v>
      </c>
      <c r="B1010" s="3" t="s">
        <v>91</v>
      </c>
      <c r="C1010" s="3" t="s">
        <v>933</v>
      </c>
      <c r="M1010" s="21"/>
      <c r="N1010" s="21"/>
      <c r="O1010" s="21"/>
    </row>
    <row r="1011" customFormat="false" ht="108" hidden="false" customHeight="true" outlineLevel="0" collapsed="false">
      <c r="C1011" s="22" t="s">
        <v>934</v>
      </c>
      <c r="M1011" s="21"/>
      <c r="N1011" s="21"/>
      <c r="O1011" s="21"/>
    </row>
    <row r="1012" customFormat="false" ht="15" hidden="false" customHeight="true" outlineLevel="0" collapsed="false">
      <c r="C1012" s="23" t="s">
        <v>902</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935</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936</v>
      </c>
      <c r="C1017" s="3" t="s">
        <v>937</v>
      </c>
      <c r="M1017" s="21" t="s">
        <v>194</v>
      </c>
      <c r="N1017" s="21" t="s">
        <v>63</v>
      </c>
      <c r="O1017" s="21" t="s">
        <v>936</v>
      </c>
    </row>
    <row r="1018" customFormat="false" ht="15" hidden="false" customHeight="true" outlineLevel="0" collapsed="false">
      <c r="A1018" s="3" t="s">
        <v>938</v>
      </c>
      <c r="B1018" s="3" t="s">
        <v>939</v>
      </c>
      <c r="C1018" s="3" t="s">
        <v>940</v>
      </c>
      <c r="M1018" s="21"/>
      <c r="N1018" s="21"/>
      <c r="O1018" s="21"/>
    </row>
    <row r="1019" customFormat="false" ht="48" hidden="false" customHeight="true" outlineLevel="0" collapsed="false">
      <c r="C1019" s="22" t="s">
        <v>941</v>
      </c>
      <c r="M1019" s="21"/>
      <c r="N1019" s="21"/>
      <c r="O1019" s="21"/>
    </row>
    <row r="1020" customFormat="false" ht="15" hidden="false" customHeight="true" outlineLevel="0" collapsed="false">
      <c r="C1020" s="23" t="s">
        <v>902</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936</v>
      </c>
    </row>
    <row r="1022" customFormat="false" ht="15" hidden="false" customHeight="true" outlineLevel="0" collapsed="false">
      <c r="A1022" s="3" t="s">
        <v>942</v>
      </c>
      <c r="B1022" s="3" t="s">
        <v>554</v>
      </c>
      <c r="C1022" s="3" t="s">
        <v>943</v>
      </c>
      <c r="M1022" s="21"/>
      <c r="N1022" s="21"/>
      <c r="O1022" s="21"/>
    </row>
    <row r="1023" customFormat="false" ht="84" hidden="false" customHeight="true" outlineLevel="0" collapsed="false">
      <c r="C1023" s="22" t="s">
        <v>944</v>
      </c>
      <c r="M1023" s="21"/>
      <c r="N1023" s="21"/>
      <c r="O1023" s="21"/>
    </row>
    <row r="1024" customFormat="false" ht="15" hidden="false" customHeight="true" outlineLevel="0" collapsed="false">
      <c r="C1024" s="23" t="s">
        <v>902</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936</v>
      </c>
    </row>
    <row r="1026" customFormat="false" ht="15" hidden="false" customHeight="true" outlineLevel="0" collapsed="false">
      <c r="A1026" s="3" t="s">
        <v>945</v>
      </c>
      <c r="B1026" s="3" t="s">
        <v>554</v>
      </c>
      <c r="C1026" s="3" t="s">
        <v>946</v>
      </c>
      <c r="M1026" s="21"/>
      <c r="N1026" s="21"/>
      <c r="O1026" s="21"/>
    </row>
    <row r="1027" customFormat="false" ht="84" hidden="false" customHeight="true" outlineLevel="0" collapsed="false">
      <c r="C1027" s="22" t="s">
        <v>947</v>
      </c>
      <c r="M1027" s="21"/>
      <c r="N1027" s="21"/>
      <c r="O1027" s="21"/>
    </row>
    <row r="1028" customFormat="false" ht="15" hidden="false" customHeight="true" outlineLevel="0" collapsed="false">
      <c r="C1028" s="23" t="s">
        <v>902</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936</v>
      </c>
    </row>
    <row r="1030" customFormat="false" ht="15" hidden="false" customHeight="true" outlineLevel="0" collapsed="false">
      <c r="A1030" s="3" t="s">
        <v>948</v>
      </c>
      <c r="B1030" s="3" t="s">
        <v>554</v>
      </c>
      <c r="C1030" s="3" t="s">
        <v>949</v>
      </c>
      <c r="M1030" s="21"/>
      <c r="N1030" s="21"/>
      <c r="O1030" s="21"/>
    </row>
    <row r="1031" customFormat="false" ht="72" hidden="false" customHeight="true" outlineLevel="0" collapsed="false">
      <c r="C1031" s="22" t="s">
        <v>950</v>
      </c>
      <c r="M1031" s="21"/>
      <c r="N1031" s="21"/>
      <c r="O1031" s="21"/>
    </row>
    <row r="1032" customFormat="false" ht="15" hidden="false" customHeight="true" outlineLevel="0" collapsed="false">
      <c r="C1032" s="23" t="s">
        <v>902</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936</v>
      </c>
    </row>
    <row r="1034" customFormat="false" ht="15" hidden="false" customHeight="true" outlineLevel="0" collapsed="false">
      <c r="A1034" s="3" t="s">
        <v>951</v>
      </c>
      <c r="B1034" s="3" t="s">
        <v>546</v>
      </c>
      <c r="C1034" s="3" t="s">
        <v>952</v>
      </c>
      <c r="M1034" s="21"/>
      <c r="N1034" s="21"/>
      <c r="O1034" s="21"/>
    </row>
    <row r="1035" customFormat="false" ht="108" hidden="false" customHeight="true" outlineLevel="0" collapsed="false">
      <c r="C1035" s="22" t="s">
        <v>953</v>
      </c>
      <c r="M1035" s="21"/>
      <c r="N1035" s="21"/>
      <c r="O1035" s="21"/>
    </row>
    <row r="1036" customFormat="false" ht="15" hidden="false" customHeight="true" outlineLevel="0" collapsed="false">
      <c r="C1036" s="23" t="s">
        <v>902</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936</v>
      </c>
    </row>
    <row r="1038" customFormat="false" ht="15" hidden="false" customHeight="true" outlineLevel="0" collapsed="false">
      <c r="A1038" s="3" t="s">
        <v>954</v>
      </c>
      <c r="B1038" s="3" t="s">
        <v>554</v>
      </c>
      <c r="C1038" s="3" t="s">
        <v>955</v>
      </c>
      <c r="M1038" s="21"/>
      <c r="N1038" s="21"/>
      <c r="O1038" s="21"/>
    </row>
    <row r="1039" customFormat="false" ht="144" hidden="false" customHeight="true" outlineLevel="0" collapsed="false">
      <c r="C1039" s="22" t="s">
        <v>956</v>
      </c>
      <c r="M1039" s="21"/>
      <c r="N1039" s="21"/>
      <c r="O1039" s="21"/>
    </row>
    <row r="1040" customFormat="false" ht="15" hidden="false" customHeight="true" outlineLevel="0" collapsed="false">
      <c r="C1040" s="23" t="s">
        <v>902</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936</v>
      </c>
    </row>
    <row r="1042" customFormat="false" ht="15" hidden="false" customHeight="true" outlineLevel="0" collapsed="false">
      <c r="A1042" s="3" t="s">
        <v>957</v>
      </c>
      <c r="B1042" s="3" t="s">
        <v>939</v>
      </c>
      <c r="C1042" s="3" t="s">
        <v>958</v>
      </c>
      <c r="M1042" s="21"/>
      <c r="N1042" s="21"/>
      <c r="O1042" s="21"/>
    </row>
    <row r="1043" customFormat="false" ht="84" hidden="false" customHeight="true" outlineLevel="0" collapsed="false">
      <c r="C1043" s="22" t="s">
        <v>959</v>
      </c>
      <c r="M1043" s="21"/>
      <c r="N1043" s="21"/>
      <c r="O1043" s="21"/>
    </row>
    <row r="1044" customFormat="false" ht="15" hidden="false" customHeight="true" outlineLevel="0" collapsed="false">
      <c r="C1044" s="23" t="s">
        <v>902</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936</v>
      </c>
    </row>
    <row r="1046" customFormat="false" ht="15" hidden="false" customHeight="true" outlineLevel="0" collapsed="false">
      <c r="A1046" s="3" t="s">
        <v>960</v>
      </c>
      <c r="B1046" s="3" t="s">
        <v>546</v>
      </c>
      <c r="C1046" s="3" t="s">
        <v>961</v>
      </c>
      <c r="M1046" s="21"/>
      <c r="N1046" s="21"/>
      <c r="O1046" s="21"/>
    </row>
    <row r="1047" customFormat="false" ht="48" hidden="false" customHeight="true" outlineLevel="0" collapsed="false">
      <c r="C1047" s="22" t="s">
        <v>962</v>
      </c>
      <c r="M1047" s="21"/>
      <c r="N1047" s="21"/>
      <c r="O1047" s="21"/>
    </row>
    <row r="1048" customFormat="false" ht="15" hidden="false" customHeight="true" outlineLevel="0" collapsed="false">
      <c r="C1048" s="23" t="s">
        <v>902</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936</v>
      </c>
    </row>
    <row r="1050" customFormat="false" ht="15" hidden="false" customHeight="true" outlineLevel="0" collapsed="false">
      <c r="A1050" s="3" t="s">
        <v>963</v>
      </c>
      <c r="B1050" s="3" t="s">
        <v>546</v>
      </c>
      <c r="C1050" s="3" t="s">
        <v>964</v>
      </c>
      <c r="M1050" s="21"/>
      <c r="N1050" s="21"/>
      <c r="O1050" s="21"/>
    </row>
    <row r="1051" customFormat="false" ht="84" hidden="false" customHeight="true" outlineLevel="0" collapsed="false">
      <c r="C1051" s="22" t="s">
        <v>965</v>
      </c>
      <c r="M1051" s="21"/>
      <c r="N1051" s="21"/>
      <c r="O1051" s="21"/>
    </row>
    <row r="1052" customFormat="false" ht="15" hidden="false" customHeight="true" outlineLevel="0" collapsed="false">
      <c r="C1052" s="23" t="s">
        <v>902</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936</v>
      </c>
    </row>
    <row r="1054" customFormat="false" ht="15" hidden="false" customHeight="true" outlineLevel="0" collapsed="false">
      <c r="A1054" s="3" t="s">
        <v>966</v>
      </c>
      <c r="B1054" s="3" t="s">
        <v>546</v>
      </c>
      <c r="C1054" s="3" t="s">
        <v>967</v>
      </c>
      <c r="M1054" s="21"/>
      <c r="N1054" s="21"/>
      <c r="O1054" s="21"/>
    </row>
    <row r="1055" customFormat="false" ht="48" hidden="false" customHeight="true" outlineLevel="0" collapsed="false">
      <c r="C1055" s="22" t="s">
        <v>968</v>
      </c>
      <c r="M1055" s="21"/>
      <c r="N1055" s="21"/>
      <c r="O1055" s="21"/>
    </row>
    <row r="1056" customFormat="false" ht="15" hidden="false" customHeight="true" outlineLevel="0" collapsed="false">
      <c r="C1056" s="23" t="s">
        <v>902</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936</v>
      </c>
    </row>
    <row r="1058" customFormat="false" ht="15" hidden="false" customHeight="true" outlineLevel="0" collapsed="false">
      <c r="A1058" s="3" t="s">
        <v>969</v>
      </c>
      <c r="B1058" s="3" t="s">
        <v>546</v>
      </c>
      <c r="C1058" s="3" t="s">
        <v>970</v>
      </c>
      <c r="M1058" s="21"/>
      <c r="N1058" s="21"/>
      <c r="O1058" s="21"/>
    </row>
    <row r="1059" customFormat="false" ht="72" hidden="false" customHeight="true" outlineLevel="0" collapsed="false">
      <c r="C1059" s="22" t="s">
        <v>971</v>
      </c>
      <c r="M1059" s="21"/>
      <c r="N1059" s="21"/>
      <c r="O1059" s="21"/>
    </row>
    <row r="1060" customFormat="false" ht="15" hidden="false" customHeight="true" outlineLevel="0" collapsed="false">
      <c r="C1060" s="23" t="s">
        <v>902</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936</v>
      </c>
    </row>
    <row r="1062" customFormat="false" ht="15" hidden="false" customHeight="true" outlineLevel="0" collapsed="false">
      <c r="A1062" s="3" t="s">
        <v>972</v>
      </c>
      <c r="B1062" s="3" t="s">
        <v>546</v>
      </c>
      <c r="C1062" s="3" t="s">
        <v>973</v>
      </c>
      <c r="M1062" s="21"/>
      <c r="N1062" s="21"/>
      <c r="O1062" s="21"/>
    </row>
    <row r="1063" customFormat="false" ht="120" hidden="false" customHeight="true" outlineLevel="0" collapsed="false">
      <c r="C1063" s="22" t="s">
        <v>974</v>
      </c>
      <c r="M1063" s="21"/>
      <c r="N1063" s="21"/>
      <c r="O1063" s="21"/>
    </row>
    <row r="1064" customFormat="false" ht="15" hidden="false" customHeight="true" outlineLevel="0" collapsed="false">
      <c r="C1064" s="23" t="s">
        <v>902</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936</v>
      </c>
    </row>
    <row r="1066" customFormat="false" ht="15" hidden="false" customHeight="true" outlineLevel="0" collapsed="false">
      <c r="A1066" s="3" t="s">
        <v>975</v>
      </c>
      <c r="B1066" s="3" t="s">
        <v>546</v>
      </c>
      <c r="C1066" s="3" t="s">
        <v>976</v>
      </c>
      <c r="M1066" s="21"/>
      <c r="N1066" s="21"/>
      <c r="O1066" s="21"/>
    </row>
    <row r="1067" customFormat="false" ht="72" hidden="false" customHeight="true" outlineLevel="0" collapsed="false">
      <c r="C1067" s="22" t="s">
        <v>977</v>
      </c>
      <c r="M1067" s="21"/>
      <c r="N1067" s="21"/>
      <c r="O1067" s="21"/>
    </row>
    <row r="1068" customFormat="false" ht="15" hidden="false" customHeight="true" outlineLevel="0" collapsed="false">
      <c r="C1068" s="23" t="s">
        <v>902</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936</v>
      </c>
    </row>
    <row r="1070" customFormat="false" ht="15" hidden="false" customHeight="true" outlineLevel="0" collapsed="false">
      <c r="A1070" s="3" t="s">
        <v>978</v>
      </c>
      <c r="B1070" s="3" t="s">
        <v>546</v>
      </c>
      <c r="C1070" s="3" t="s">
        <v>979</v>
      </c>
      <c r="M1070" s="21"/>
      <c r="N1070" s="21"/>
      <c r="O1070" s="21"/>
    </row>
    <row r="1071" customFormat="false" ht="60" hidden="false" customHeight="true" outlineLevel="0" collapsed="false">
      <c r="C1071" s="22" t="s">
        <v>980</v>
      </c>
      <c r="M1071" s="21"/>
      <c r="N1071" s="21"/>
      <c r="O1071" s="21"/>
    </row>
    <row r="1072" customFormat="false" ht="15" hidden="false" customHeight="true" outlineLevel="0" collapsed="false">
      <c r="C1072" s="23" t="s">
        <v>902</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936</v>
      </c>
    </row>
    <row r="1074" customFormat="false" ht="15" hidden="false" customHeight="true" outlineLevel="0" collapsed="false">
      <c r="A1074" s="3" t="s">
        <v>981</v>
      </c>
      <c r="B1074" s="3" t="s">
        <v>554</v>
      </c>
      <c r="C1074" s="3" t="s">
        <v>982</v>
      </c>
      <c r="M1074" s="21"/>
      <c r="N1074" s="21"/>
      <c r="O1074" s="21"/>
    </row>
    <row r="1075" customFormat="false" ht="72" hidden="false" customHeight="true" outlineLevel="0" collapsed="false">
      <c r="C1075" s="22" t="s">
        <v>983</v>
      </c>
      <c r="M1075" s="21"/>
      <c r="N1075" s="21"/>
      <c r="O1075" s="21"/>
    </row>
    <row r="1076" customFormat="false" ht="15" hidden="false" customHeight="true" outlineLevel="0" collapsed="false">
      <c r="C1076" s="23" t="s">
        <v>902</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936</v>
      </c>
    </row>
    <row r="1078" customFormat="false" ht="15" hidden="false" customHeight="true" outlineLevel="0" collapsed="false">
      <c r="A1078" s="3" t="s">
        <v>984</v>
      </c>
      <c r="B1078" s="3" t="s">
        <v>546</v>
      </c>
      <c r="C1078" s="3" t="s">
        <v>985</v>
      </c>
      <c r="M1078" s="21"/>
      <c r="N1078" s="21"/>
      <c r="O1078" s="21"/>
    </row>
    <row r="1079" customFormat="false" ht="72" hidden="false" customHeight="true" outlineLevel="0" collapsed="false">
      <c r="C1079" s="22" t="s">
        <v>986</v>
      </c>
      <c r="M1079" s="21"/>
      <c r="N1079" s="21"/>
      <c r="O1079" s="21"/>
    </row>
    <row r="1080" customFormat="false" ht="15" hidden="false" customHeight="true" outlineLevel="0" collapsed="false">
      <c r="C1080" s="23" t="s">
        <v>902</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936</v>
      </c>
    </row>
    <row r="1082" customFormat="false" ht="15" hidden="false" customHeight="true" outlineLevel="0" collapsed="false">
      <c r="A1082" s="3" t="s">
        <v>987</v>
      </c>
      <c r="C1082" s="3" t="s">
        <v>988</v>
      </c>
      <c r="M1082" s="21" t="s">
        <v>194</v>
      </c>
      <c r="N1082" s="21" t="s">
        <v>63</v>
      </c>
      <c r="O1082" s="21" t="s">
        <v>987</v>
      </c>
    </row>
    <row r="1083" customFormat="false" ht="15" hidden="false" customHeight="true" outlineLevel="0" collapsed="false">
      <c r="A1083" s="3" t="s">
        <v>989</v>
      </c>
      <c r="B1083" s="3" t="s">
        <v>546</v>
      </c>
      <c r="C1083" s="3" t="s">
        <v>990</v>
      </c>
      <c r="M1083" s="21"/>
      <c r="N1083" s="21"/>
      <c r="O1083" s="21"/>
    </row>
    <row r="1084" customFormat="false" ht="60" hidden="false" customHeight="true" outlineLevel="0" collapsed="false">
      <c r="C1084" s="22" t="s">
        <v>991</v>
      </c>
      <c r="M1084" s="21"/>
      <c r="N1084" s="21"/>
      <c r="O1084" s="21"/>
    </row>
    <row r="1085" customFormat="false" ht="15" hidden="false" customHeight="true" outlineLevel="0" collapsed="false">
      <c r="C1085" s="23" t="s">
        <v>902</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987</v>
      </c>
    </row>
    <row r="1087" customFormat="false" ht="15" hidden="false" customHeight="true" outlineLevel="0" collapsed="false">
      <c r="A1087" s="3" t="s">
        <v>992</v>
      </c>
      <c r="B1087" s="3" t="s">
        <v>546</v>
      </c>
      <c r="C1087" s="3" t="s">
        <v>993</v>
      </c>
      <c r="M1087" s="21"/>
      <c r="N1087" s="21"/>
      <c r="O1087" s="21"/>
    </row>
    <row r="1088" customFormat="false" ht="60" hidden="false" customHeight="true" outlineLevel="0" collapsed="false">
      <c r="C1088" s="22" t="s">
        <v>994</v>
      </c>
      <c r="M1088" s="21"/>
      <c r="N1088" s="21"/>
      <c r="O1088" s="21"/>
    </row>
    <row r="1089" customFormat="false" ht="15" hidden="false" customHeight="true" outlineLevel="0" collapsed="false">
      <c r="C1089" s="23" t="s">
        <v>902</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987</v>
      </c>
    </row>
    <row r="1091" customFormat="false" ht="15" hidden="false" customHeight="true" outlineLevel="0" collapsed="false">
      <c r="A1091" s="3" t="s">
        <v>995</v>
      </c>
      <c r="C1091" s="3" t="s">
        <v>996</v>
      </c>
      <c r="M1091" s="21" t="s">
        <v>194</v>
      </c>
      <c r="N1091" s="21" t="s">
        <v>63</v>
      </c>
      <c r="O1091" s="21" t="s">
        <v>995</v>
      </c>
    </row>
    <row r="1092" customFormat="false" ht="15" hidden="false" customHeight="true" outlineLevel="0" collapsed="false">
      <c r="A1092" s="3" t="s">
        <v>997</v>
      </c>
      <c r="B1092" s="3" t="s">
        <v>91</v>
      </c>
      <c r="C1092" s="3" t="s">
        <v>998</v>
      </c>
      <c r="M1092" s="21"/>
      <c r="N1092" s="21"/>
      <c r="O1092" s="21"/>
    </row>
    <row r="1093" customFormat="false" ht="36" hidden="false" customHeight="true" outlineLevel="0" collapsed="false">
      <c r="C1093" s="22" t="s">
        <v>999</v>
      </c>
      <c r="M1093" s="21"/>
      <c r="N1093" s="21"/>
      <c r="O1093" s="21"/>
    </row>
    <row r="1094" customFormat="false" ht="15" hidden="false" customHeight="true" outlineLevel="0" collapsed="false">
      <c r="C1094" s="23" t="s">
        <v>902</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995</v>
      </c>
    </row>
    <row r="1096" customFormat="false" ht="15" hidden="false" customHeight="true" outlineLevel="0" collapsed="false">
      <c r="A1096" s="3" t="s">
        <v>1000</v>
      </c>
      <c r="B1096" s="3" t="s">
        <v>91</v>
      </c>
      <c r="C1096" s="3" t="s">
        <v>1001</v>
      </c>
      <c r="M1096" s="21"/>
      <c r="N1096" s="21"/>
      <c r="O1096" s="21"/>
    </row>
    <row r="1097" customFormat="false" ht="48" hidden="false" customHeight="true" outlineLevel="0" collapsed="false">
      <c r="C1097" s="22" t="s">
        <v>1002</v>
      </c>
      <c r="M1097" s="21"/>
      <c r="N1097" s="21"/>
      <c r="O1097" s="21"/>
    </row>
    <row r="1098" customFormat="false" ht="15" hidden="false" customHeight="true" outlineLevel="0" collapsed="false">
      <c r="C1098" s="23" t="s">
        <v>902</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995</v>
      </c>
    </row>
    <row r="1100" customFormat="false" ht="15" hidden="false" customHeight="true" outlineLevel="0" collapsed="false">
      <c r="A1100" s="3" t="s">
        <v>1003</v>
      </c>
      <c r="B1100" s="3" t="s">
        <v>91</v>
      </c>
      <c r="C1100" s="3" t="s">
        <v>1004</v>
      </c>
      <c r="M1100" s="21"/>
      <c r="N1100" s="21"/>
      <c r="O1100" s="21"/>
    </row>
    <row r="1101" customFormat="false" ht="36" hidden="false" customHeight="true" outlineLevel="0" collapsed="false">
      <c r="C1101" s="22" t="s">
        <v>1005</v>
      </c>
      <c r="M1101" s="21"/>
      <c r="N1101" s="21"/>
      <c r="O1101" s="21"/>
    </row>
    <row r="1102" customFormat="false" ht="15" hidden="false" customHeight="true" outlineLevel="0" collapsed="false">
      <c r="C1102" s="23" t="s">
        <v>902</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995</v>
      </c>
    </row>
    <row r="1104" customFormat="false" ht="15" hidden="false" customHeight="true" outlineLevel="0" collapsed="false">
      <c r="A1104" s="3" t="s">
        <v>1006</v>
      </c>
      <c r="B1104" s="3" t="s">
        <v>91</v>
      </c>
      <c r="C1104" s="3" t="s">
        <v>1007</v>
      </c>
      <c r="M1104" s="21"/>
      <c r="N1104" s="21"/>
      <c r="O1104" s="21"/>
    </row>
    <row r="1105" customFormat="false" ht="60" hidden="false" customHeight="true" outlineLevel="0" collapsed="false">
      <c r="C1105" s="22" t="s">
        <v>1008</v>
      </c>
      <c r="M1105" s="21"/>
      <c r="N1105" s="21"/>
      <c r="O1105" s="21"/>
    </row>
    <row r="1106" customFormat="false" ht="15" hidden="false" customHeight="true" outlineLevel="0" collapsed="false">
      <c r="C1106" s="23" t="s">
        <v>902</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995</v>
      </c>
    </row>
    <row r="1108" customFormat="false" ht="15" hidden="false" customHeight="true" outlineLevel="0" collapsed="false">
      <c r="A1108" s="3" t="s">
        <v>1009</v>
      </c>
      <c r="B1108" s="3" t="s">
        <v>158</v>
      </c>
      <c r="C1108" s="3" t="s">
        <v>1010</v>
      </c>
      <c r="M1108" s="21"/>
      <c r="N1108" s="21"/>
      <c r="O1108" s="21"/>
    </row>
    <row r="1109" customFormat="false" ht="48" hidden="false" customHeight="true" outlineLevel="0" collapsed="false">
      <c r="C1109" s="22" t="s">
        <v>1011</v>
      </c>
      <c r="M1109" s="21"/>
      <c r="N1109" s="21"/>
      <c r="O1109" s="21"/>
    </row>
    <row r="1110" customFormat="false" ht="15" hidden="false" customHeight="true" outlineLevel="0" collapsed="false">
      <c r="C1110" s="23" t="s">
        <v>902</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995</v>
      </c>
    </row>
    <row r="1112" customFormat="false" ht="15" hidden="false" customHeight="true" outlineLevel="0" collapsed="false">
      <c r="A1112" s="3" t="s">
        <v>1012</v>
      </c>
      <c r="B1112" s="3" t="s">
        <v>91</v>
      </c>
      <c r="C1112" s="3" t="s">
        <v>1013</v>
      </c>
      <c r="M1112" s="21"/>
      <c r="N1112" s="21"/>
      <c r="O1112" s="21"/>
    </row>
    <row r="1113" customFormat="false" ht="36" hidden="false" customHeight="true" outlineLevel="0" collapsed="false">
      <c r="C1113" s="22" t="s">
        <v>1014</v>
      </c>
      <c r="M1113" s="21"/>
      <c r="N1113" s="21"/>
      <c r="O1113" s="21"/>
    </row>
    <row r="1114" customFormat="false" ht="15" hidden="false" customHeight="true" outlineLevel="0" collapsed="false">
      <c r="C1114" s="23" t="s">
        <v>902</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995</v>
      </c>
    </row>
    <row r="1116" customFormat="false" ht="15" hidden="false" customHeight="true" outlineLevel="0" collapsed="false">
      <c r="A1116" s="3" t="s">
        <v>1015</v>
      </c>
      <c r="B1116" s="3" t="s">
        <v>91</v>
      </c>
      <c r="C1116" s="3" t="s">
        <v>1016</v>
      </c>
      <c r="M1116" s="21"/>
      <c r="N1116" s="21"/>
      <c r="O1116" s="21"/>
    </row>
    <row r="1117" customFormat="false" ht="36" hidden="false" customHeight="true" outlineLevel="0" collapsed="false">
      <c r="C1117" s="22" t="s">
        <v>1017</v>
      </c>
      <c r="M1117" s="21"/>
      <c r="N1117" s="21"/>
      <c r="O1117" s="21"/>
    </row>
    <row r="1118" customFormat="false" ht="15" hidden="false" customHeight="true" outlineLevel="0" collapsed="false">
      <c r="C1118" s="23" t="s">
        <v>902</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995</v>
      </c>
    </row>
    <row r="1120" customFormat="false" ht="15" hidden="false" customHeight="true" outlineLevel="0" collapsed="false">
      <c r="A1120" s="3" t="s">
        <v>1018</v>
      </c>
      <c r="B1120" s="3" t="s">
        <v>91</v>
      </c>
      <c r="C1120" s="3" t="s">
        <v>1019</v>
      </c>
      <c r="M1120" s="21"/>
      <c r="N1120" s="21"/>
      <c r="O1120" s="21"/>
    </row>
    <row r="1121" customFormat="false" ht="36" hidden="false" customHeight="true" outlineLevel="0" collapsed="false">
      <c r="C1121" s="22" t="s">
        <v>1020</v>
      </c>
      <c r="M1121" s="21"/>
      <c r="N1121" s="21"/>
      <c r="O1121" s="21"/>
    </row>
    <row r="1122" customFormat="false" ht="15" hidden="false" customHeight="true" outlineLevel="0" collapsed="false">
      <c r="C1122" s="23" t="s">
        <v>902</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995</v>
      </c>
    </row>
    <row r="1124" customFormat="false" ht="15" hidden="false" customHeight="true" outlineLevel="0" collapsed="false">
      <c r="A1124" s="3" t="s">
        <v>1021</v>
      </c>
      <c r="B1124" s="3" t="s">
        <v>91</v>
      </c>
      <c r="C1124" s="3" t="s">
        <v>1022</v>
      </c>
      <c r="M1124" s="21"/>
      <c r="N1124" s="21"/>
      <c r="O1124" s="21"/>
    </row>
    <row r="1125" customFormat="false" ht="48" hidden="false" customHeight="true" outlineLevel="0" collapsed="false">
      <c r="C1125" s="22" t="s">
        <v>1023</v>
      </c>
      <c r="M1125" s="21"/>
      <c r="N1125" s="21"/>
      <c r="O1125" s="21"/>
    </row>
    <row r="1126" customFormat="false" ht="15" hidden="false" customHeight="true" outlineLevel="0" collapsed="false">
      <c r="C1126" s="23" t="s">
        <v>902</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995</v>
      </c>
    </row>
    <row r="1128" customFormat="false" ht="15" hidden="false" customHeight="true" outlineLevel="0" collapsed="false">
      <c r="A1128" s="3" t="s">
        <v>1024</v>
      </c>
      <c r="B1128" s="3" t="s">
        <v>91</v>
      </c>
      <c r="C1128" s="3" t="s">
        <v>1025</v>
      </c>
      <c r="M1128" s="21"/>
      <c r="N1128" s="21"/>
      <c r="O1128" s="21"/>
    </row>
    <row r="1129" customFormat="false" ht="48" hidden="false" customHeight="true" outlineLevel="0" collapsed="false">
      <c r="C1129" s="22" t="s">
        <v>1026</v>
      </c>
      <c r="M1129" s="21"/>
      <c r="N1129" s="21"/>
      <c r="O1129" s="21"/>
    </row>
    <row r="1130" customFormat="false" ht="15" hidden="false" customHeight="true" outlineLevel="0" collapsed="false">
      <c r="C1130" s="23" t="s">
        <v>902</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995</v>
      </c>
    </row>
    <row r="1132" customFormat="false" ht="15" hidden="false" customHeight="true" outlineLevel="0" collapsed="false">
      <c r="A1132" s="3" t="s">
        <v>1027</v>
      </c>
      <c r="B1132" s="3" t="s">
        <v>91</v>
      </c>
      <c r="C1132" s="3" t="s">
        <v>1028</v>
      </c>
      <c r="M1132" s="21"/>
      <c r="N1132" s="21"/>
      <c r="O1132" s="21"/>
    </row>
    <row r="1133" customFormat="false" ht="36" hidden="false" customHeight="true" outlineLevel="0" collapsed="false">
      <c r="C1133" s="22" t="s">
        <v>1029</v>
      </c>
      <c r="M1133" s="21"/>
      <c r="N1133" s="21"/>
      <c r="O1133" s="21"/>
    </row>
    <row r="1134" customFormat="false" ht="15" hidden="false" customHeight="true" outlineLevel="0" collapsed="false">
      <c r="C1134" s="23" t="s">
        <v>902</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995</v>
      </c>
    </row>
    <row r="1136" customFormat="false" ht="15" hidden="false" customHeight="true" outlineLevel="0" collapsed="false">
      <c r="A1136" s="3" t="s">
        <v>1030</v>
      </c>
      <c r="B1136" s="3" t="s">
        <v>91</v>
      </c>
      <c r="C1136" s="3" t="s">
        <v>1031</v>
      </c>
      <c r="M1136" s="21"/>
      <c r="N1136" s="21"/>
      <c r="O1136" s="21"/>
    </row>
    <row r="1137" customFormat="false" ht="36" hidden="false" customHeight="true" outlineLevel="0" collapsed="false">
      <c r="C1137" s="22" t="s">
        <v>1032</v>
      </c>
      <c r="M1137" s="21"/>
      <c r="N1137" s="21"/>
      <c r="O1137" s="21"/>
    </row>
    <row r="1138" customFormat="false" ht="15" hidden="false" customHeight="true" outlineLevel="0" collapsed="false">
      <c r="C1138" s="23" t="s">
        <v>902</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995</v>
      </c>
    </row>
    <row r="1140" customFormat="false" ht="15" hidden="false" customHeight="true" outlineLevel="0" collapsed="false">
      <c r="A1140" s="3" t="s">
        <v>1033</v>
      </c>
      <c r="B1140" s="3" t="s">
        <v>91</v>
      </c>
      <c r="C1140" s="3" t="s">
        <v>1034</v>
      </c>
      <c r="M1140" s="21"/>
      <c r="N1140" s="21"/>
      <c r="O1140" s="21"/>
    </row>
    <row r="1141" customFormat="false" ht="36" hidden="false" customHeight="true" outlineLevel="0" collapsed="false">
      <c r="C1141" s="22" t="s">
        <v>1035</v>
      </c>
      <c r="M1141" s="21"/>
      <c r="N1141" s="21"/>
      <c r="O1141" s="21"/>
    </row>
    <row r="1142" customFormat="false" ht="15" hidden="false" customHeight="true" outlineLevel="0" collapsed="false">
      <c r="C1142" s="23" t="s">
        <v>902</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995</v>
      </c>
    </row>
    <row r="1144" customFormat="false" ht="15" hidden="false" customHeight="true" outlineLevel="0" collapsed="false">
      <c r="A1144" s="3" t="s">
        <v>1036</v>
      </c>
      <c r="B1144" s="3" t="s">
        <v>91</v>
      </c>
      <c r="C1144" s="3" t="s">
        <v>1037</v>
      </c>
      <c r="M1144" s="21"/>
      <c r="N1144" s="21"/>
      <c r="O1144" s="21"/>
    </row>
    <row r="1145" customFormat="false" ht="48" hidden="false" customHeight="true" outlineLevel="0" collapsed="false">
      <c r="C1145" s="22" t="s">
        <v>1038</v>
      </c>
      <c r="M1145" s="21"/>
      <c r="N1145" s="21"/>
      <c r="O1145" s="21"/>
    </row>
    <row r="1146" customFormat="false" ht="15" hidden="false" customHeight="true" outlineLevel="0" collapsed="false">
      <c r="C1146" s="23" t="s">
        <v>902</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995</v>
      </c>
    </row>
    <row r="1148" customFormat="false" ht="15" hidden="false" customHeight="true" outlineLevel="0" collapsed="false">
      <c r="A1148" s="3" t="s">
        <v>1039</v>
      </c>
      <c r="B1148" s="3" t="s">
        <v>91</v>
      </c>
      <c r="C1148" s="3" t="s">
        <v>1040</v>
      </c>
      <c r="M1148" s="21"/>
      <c r="N1148" s="21"/>
      <c r="O1148" s="21"/>
    </row>
    <row r="1149" customFormat="false" ht="36" hidden="false" customHeight="true" outlineLevel="0" collapsed="false">
      <c r="C1149" s="22" t="s">
        <v>1041</v>
      </c>
      <c r="M1149" s="21"/>
      <c r="N1149" s="21"/>
      <c r="O1149" s="21"/>
    </row>
    <row r="1150" customFormat="false" ht="15" hidden="false" customHeight="true" outlineLevel="0" collapsed="false">
      <c r="C1150" s="23" t="s">
        <v>902</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995</v>
      </c>
    </row>
    <row r="1152" customFormat="false" ht="15" hidden="false" customHeight="true" outlineLevel="0" collapsed="false">
      <c r="A1152" s="3" t="s">
        <v>1042</v>
      </c>
      <c r="B1152" s="3" t="s">
        <v>91</v>
      </c>
      <c r="C1152" s="3" t="s">
        <v>1043</v>
      </c>
      <c r="M1152" s="21"/>
      <c r="N1152" s="21"/>
      <c r="O1152" s="21"/>
    </row>
    <row r="1153" customFormat="false" ht="36" hidden="false" customHeight="true" outlineLevel="0" collapsed="false">
      <c r="C1153" s="22" t="s">
        <v>1044</v>
      </c>
      <c r="M1153" s="21"/>
      <c r="N1153" s="21"/>
      <c r="O1153" s="21"/>
    </row>
    <row r="1154" customFormat="false" ht="15" hidden="false" customHeight="true" outlineLevel="0" collapsed="false">
      <c r="C1154" s="23" t="s">
        <v>902</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995</v>
      </c>
    </row>
    <row r="1156" customFormat="false" ht="15" hidden="false" customHeight="true" outlineLevel="0" collapsed="false">
      <c r="A1156" s="3" t="s">
        <v>1045</v>
      </c>
      <c r="B1156" s="3" t="s">
        <v>91</v>
      </c>
      <c r="C1156" s="3" t="s">
        <v>1046</v>
      </c>
      <c r="M1156" s="21"/>
      <c r="N1156" s="21"/>
      <c r="O1156" s="21"/>
    </row>
    <row r="1157" customFormat="false" ht="36" hidden="false" customHeight="true" outlineLevel="0" collapsed="false">
      <c r="C1157" s="22" t="s">
        <v>1047</v>
      </c>
      <c r="M1157" s="21"/>
      <c r="N1157" s="21"/>
      <c r="O1157" s="21"/>
    </row>
    <row r="1158" customFormat="false" ht="15" hidden="false" customHeight="true" outlineLevel="0" collapsed="false">
      <c r="C1158" s="23" t="s">
        <v>902</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995</v>
      </c>
    </row>
    <row r="1160" customFormat="false" ht="15" hidden="false" customHeight="true" outlineLevel="0" collapsed="false">
      <c r="A1160" s="3" t="s">
        <v>1048</v>
      </c>
      <c r="B1160" s="3" t="s">
        <v>91</v>
      </c>
      <c r="C1160" s="3" t="s">
        <v>1049</v>
      </c>
      <c r="M1160" s="21"/>
      <c r="N1160" s="21"/>
      <c r="O1160" s="21"/>
    </row>
    <row r="1161" customFormat="false" ht="36" hidden="false" customHeight="true" outlineLevel="0" collapsed="false">
      <c r="C1161" s="22" t="s">
        <v>1050</v>
      </c>
      <c r="M1161" s="21"/>
      <c r="N1161" s="21"/>
      <c r="O1161" s="21"/>
    </row>
    <row r="1162" customFormat="false" ht="15" hidden="false" customHeight="true" outlineLevel="0" collapsed="false">
      <c r="C1162" s="23" t="s">
        <v>902</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995</v>
      </c>
    </row>
    <row r="1164" customFormat="false" ht="15" hidden="false" customHeight="true" outlineLevel="0" collapsed="false">
      <c r="A1164" s="3" t="s">
        <v>1051</v>
      </c>
      <c r="B1164" s="3" t="s">
        <v>91</v>
      </c>
      <c r="C1164" s="3" t="s">
        <v>1052</v>
      </c>
      <c r="M1164" s="21"/>
      <c r="N1164" s="21"/>
      <c r="O1164" s="21"/>
    </row>
    <row r="1165" customFormat="false" ht="36" hidden="false" customHeight="true" outlineLevel="0" collapsed="false">
      <c r="C1165" s="22" t="s">
        <v>1053</v>
      </c>
      <c r="M1165" s="21"/>
      <c r="N1165" s="21"/>
      <c r="O1165" s="21"/>
    </row>
    <row r="1166" customFormat="false" ht="15" hidden="false" customHeight="true" outlineLevel="0" collapsed="false">
      <c r="C1166" s="23" t="s">
        <v>902</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995</v>
      </c>
    </row>
    <row r="1168" customFormat="false" ht="15" hidden="false" customHeight="true" outlineLevel="0" collapsed="false">
      <c r="A1168" s="3" t="s">
        <v>1054</v>
      </c>
      <c r="B1168" s="3" t="s">
        <v>91</v>
      </c>
      <c r="C1168" s="3" t="s">
        <v>1055</v>
      </c>
      <c r="M1168" s="21"/>
      <c r="N1168" s="21"/>
      <c r="O1168" s="21"/>
    </row>
    <row r="1169" customFormat="false" ht="36" hidden="false" customHeight="true" outlineLevel="0" collapsed="false">
      <c r="C1169" s="22" t="s">
        <v>1056</v>
      </c>
      <c r="M1169" s="21"/>
      <c r="N1169" s="21"/>
      <c r="O1169" s="21"/>
    </row>
    <row r="1170" customFormat="false" ht="15" hidden="false" customHeight="true" outlineLevel="0" collapsed="false">
      <c r="C1170" s="23" t="s">
        <v>902</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995</v>
      </c>
    </row>
    <row r="1172" customFormat="false" ht="15" hidden="false" customHeight="true" outlineLevel="0" collapsed="false">
      <c r="A1172" s="3" t="s">
        <v>1057</v>
      </c>
      <c r="B1172" s="3" t="s">
        <v>91</v>
      </c>
      <c r="C1172" s="3" t="s">
        <v>1058</v>
      </c>
      <c r="M1172" s="21"/>
      <c r="N1172" s="21"/>
      <c r="O1172" s="21"/>
    </row>
    <row r="1173" customFormat="false" ht="36" hidden="false" customHeight="true" outlineLevel="0" collapsed="false">
      <c r="C1173" s="22" t="s">
        <v>1059</v>
      </c>
      <c r="M1173" s="21"/>
      <c r="N1173" s="21"/>
      <c r="O1173" s="21"/>
    </row>
    <row r="1174" customFormat="false" ht="15" hidden="false" customHeight="true" outlineLevel="0" collapsed="false">
      <c r="C1174" s="23" t="s">
        <v>902</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995</v>
      </c>
    </row>
    <row r="1176" customFormat="false" ht="15" hidden="false" customHeight="true" outlineLevel="0" collapsed="false">
      <c r="A1176" s="3" t="s">
        <v>1060</v>
      </c>
      <c r="B1176" s="3" t="s">
        <v>91</v>
      </c>
      <c r="C1176" s="3" t="s">
        <v>1061</v>
      </c>
      <c r="M1176" s="21"/>
      <c r="N1176" s="21"/>
      <c r="O1176" s="21"/>
    </row>
    <row r="1177" customFormat="false" ht="48" hidden="false" customHeight="true" outlineLevel="0" collapsed="false">
      <c r="C1177" s="22" t="s">
        <v>1062</v>
      </c>
      <c r="M1177" s="21"/>
      <c r="N1177" s="21"/>
      <c r="O1177" s="21"/>
    </row>
    <row r="1178" customFormat="false" ht="15" hidden="false" customHeight="true" outlineLevel="0" collapsed="false">
      <c r="C1178" s="23" t="s">
        <v>902</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995</v>
      </c>
    </row>
    <row r="1180" customFormat="false" ht="15" hidden="false" customHeight="true" outlineLevel="0" collapsed="false">
      <c r="A1180" s="3" t="s">
        <v>1063</v>
      </c>
      <c r="B1180" s="3" t="s">
        <v>91</v>
      </c>
      <c r="C1180" s="3" t="s">
        <v>1064</v>
      </c>
      <c r="M1180" s="21"/>
      <c r="N1180" s="21"/>
      <c r="O1180" s="21"/>
    </row>
    <row r="1181" customFormat="false" ht="36" hidden="false" customHeight="true" outlineLevel="0" collapsed="false">
      <c r="C1181" s="22" t="s">
        <v>1065</v>
      </c>
      <c r="M1181" s="21"/>
      <c r="N1181" s="21"/>
      <c r="O1181" s="21"/>
    </row>
    <row r="1182" customFormat="false" ht="15" hidden="false" customHeight="true" outlineLevel="0" collapsed="false">
      <c r="C1182" s="23" t="s">
        <v>902</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995</v>
      </c>
    </row>
    <row r="1184" customFormat="false" ht="15" hidden="false" customHeight="true" outlineLevel="0" collapsed="false">
      <c r="A1184" s="3" t="s">
        <v>1066</v>
      </c>
      <c r="B1184" s="3" t="s">
        <v>91</v>
      </c>
      <c r="C1184" s="3" t="s">
        <v>1067</v>
      </c>
      <c r="M1184" s="21"/>
      <c r="N1184" s="21"/>
      <c r="O1184" s="21"/>
    </row>
    <row r="1185" customFormat="false" ht="36" hidden="false" customHeight="true" outlineLevel="0" collapsed="false">
      <c r="C1185" s="22" t="s">
        <v>1068</v>
      </c>
      <c r="M1185" s="21"/>
      <c r="N1185" s="21"/>
      <c r="O1185" s="21"/>
    </row>
    <row r="1186" customFormat="false" ht="15" hidden="false" customHeight="true" outlineLevel="0" collapsed="false">
      <c r="C1186" s="23" t="s">
        <v>902</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995</v>
      </c>
    </row>
    <row r="1188" customFormat="false" ht="15" hidden="false" customHeight="true" outlineLevel="0" collapsed="false">
      <c r="A1188" s="3" t="s">
        <v>1069</v>
      </c>
      <c r="B1188" s="3" t="s">
        <v>91</v>
      </c>
      <c r="C1188" s="3" t="s">
        <v>1070</v>
      </c>
      <c r="M1188" s="21"/>
      <c r="N1188" s="21"/>
      <c r="O1188" s="21"/>
    </row>
    <row r="1189" customFormat="false" ht="36" hidden="false" customHeight="true" outlineLevel="0" collapsed="false">
      <c r="C1189" s="22" t="s">
        <v>1071</v>
      </c>
      <c r="M1189" s="21"/>
      <c r="N1189" s="21"/>
      <c r="O1189" s="21"/>
    </row>
    <row r="1190" customFormat="false" ht="15" hidden="false" customHeight="true" outlineLevel="0" collapsed="false">
      <c r="C1190" s="23" t="s">
        <v>902</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995</v>
      </c>
    </row>
    <row r="1192" customFormat="false" ht="15" hidden="false" customHeight="true" outlineLevel="0" collapsed="false">
      <c r="A1192" s="3" t="s">
        <v>1072</v>
      </c>
      <c r="B1192" s="3" t="s">
        <v>91</v>
      </c>
      <c r="C1192" s="3" t="s">
        <v>1073</v>
      </c>
      <c r="M1192" s="21"/>
      <c r="N1192" s="21"/>
      <c r="O1192" s="21"/>
    </row>
    <row r="1193" customFormat="false" ht="36" hidden="false" customHeight="true" outlineLevel="0" collapsed="false">
      <c r="C1193" s="22" t="s">
        <v>1074</v>
      </c>
      <c r="M1193" s="21"/>
      <c r="N1193" s="21"/>
      <c r="O1193" s="21"/>
    </row>
    <row r="1194" customFormat="false" ht="15" hidden="false" customHeight="true" outlineLevel="0" collapsed="false">
      <c r="C1194" s="23" t="s">
        <v>902</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995</v>
      </c>
    </row>
    <row r="1196" customFormat="false" ht="15" hidden="false" customHeight="true" outlineLevel="0" collapsed="false">
      <c r="A1196" s="3" t="s">
        <v>1075</v>
      </c>
      <c r="B1196" s="3" t="s">
        <v>91</v>
      </c>
      <c r="C1196" s="3" t="s">
        <v>1076</v>
      </c>
      <c r="M1196" s="21"/>
      <c r="N1196" s="21"/>
      <c r="O1196" s="21"/>
    </row>
    <row r="1197" customFormat="false" ht="36" hidden="false" customHeight="true" outlineLevel="0" collapsed="false">
      <c r="C1197" s="22" t="s">
        <v>1077</v>
      </c>
      <c r="M1197" s="21"/>
      <c r="N1197" s="21"/>
      <c r="O1197" s="21"/>
    </row>
    <row r="1198" customFormat="false" ht="15" hidden="false" customHeight="true" outlineLevel="0" collapsed="false">
      <c r="C1198" s="23" t="s">
        <v>902</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995</v>
      </c>
    </row>
    <row r="1200" customFormat="false" ht="15" hidden="false" customHeight="true" outlineLevel="0" collapsed="false">
      <c r="A1200" s="3" t="s">
        <v>1078</v>
      </c>
      <c r="B1200" s="3" t="s">
        <v>91</v>
      </c>
      <c r="C1200" s="3" t="s">
        <v>1079</v>
      </c>
      <c r="M1200" s="21"/>
      <c r="N1200" s="21"/>
      <c r="O1200" s="21"/>
    </row>
    <row r="1201" customFormat="false" ht="36" hidden="false" customHeight="true" outlineLevel="0" collapsed="false">
      <c r="C1201" s="22" t="s">
        <v>1080</v>
      </c>
      <c r="M1201" s="21"/>
      <c r="N1201" s="21"/>
      <c r="O1201" s="21"/>
    </row>
    <row r="1202" customFormat="false" ht="15" hidden="false" customHeight="true" outlineLevel="0" collapsed="false">
      <c r="C1202" s="23" t="s">
        <v>902</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995</v>
      </c>
    </row>
    <row r="1204" customFormat="false" ht="15" hidden="false" customHeight="true" outlineLevel="0" collapsed="false">
      <c r="A1204" s="3" t="s">
        <v>1081</v>
      </c>
      <c r="B1204" s="3" t="s">
        <v>91</v>
      </c>
      <c r="C1204" s="3" t="s">
        <v>1082</v>
      </c>
      <c r="M1204" s="21"/>
      <c r="N1204" s="21"/>
      <c r="O1204" s="21"/>
    </row>
    <row r="1205" customFormat="false" ht="36" hidden="false" customHeight="true" outlineLevel="0" collapsed="false">
      <c r="C1205" s="22" t="s">
        <v>1083</v>
      </c>
      <c r="M1205" s="21"/>
      <c r="N1205" s="21"/>
      <c r="O1205" s="21"/>
    </row>
    <row r="1206" customFormat="false" ht="15" hidden="false" customHeight="true" outlineLevel="0" collapsed="false">
      <c r="C1206" s="23" t="s">
        <v>902</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995</v>
      </c>
    </row>
    <row r="1208" customFormat="false" ht="15" hidden="false" customHeight="true" outlineLevel="0" collapsed="false">
      <c r="A1208" s="3" t="s">
        <v>1084</v>
      </c>
      <c r="B1208" s="3" t="s">
        <v>91</v>
      </c>
      <c r="C1208" s="3" t="s">
        <v>1085</v>
      </c>
      <c r="M1208" s="21"/>
      <c r="N1208" s="21"/>
      <c r="O1208" s="21"/>
    </row>
    <row r="1209" customFormat="false" ht="36" hidden="false" customHeight="true" outlineLevel="0" collapsed="false">
      <c r="C1209" s="22" t="s">
        <v>1086</v>
      </c>
      <c r="M1209" s="21"/>
      <c r="N1209" s="21"/>
      <c r="O1209" s="21"/>
    </row>
    <row r="1210" customFormat="false" ht="15" hidden="false" customHeight="true" outlineLevel="0" collapsed="false">
      <c r="C1210" s="23" t="s">
        <v>902</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995</v>
      </c>
    </row>
    <row r="1212" customFormat="false" ht="15" hidden="false" customHeight="true" outlineLevel="0" collapsed="false">
      <c r="A1212" s="3" t="s">
        <v>1087</v>
      </c>
      <c r="B1212" s="3" t="s">
        <v>91</v>
      </c>
      <c r="C1212" s="3" t="s">
        <v>1088</v>
      </c>
      <c r="M1212" s="21"/>
      <c r="N1212" s="21"/>
      <c r="O1212" s="21"/>
    </row>
    <row r="1213" customFormat="false" ht="36" hidden="false" customHeight="true" outlineLevel="0" collapsed="false">
      <c r="C1213" s="22" t="s">
        <v>1089</v>
      </c>
      <c r="M1213" s="21"/>
      <c r="N1213" s="21"/>
      <c r="O1213" s="21"/>
    </row>
    <row r="1214" customFormat="false" ht="15" hidden="false" customHeight="true" outlineLevel="0" collapsed="false">
      <c r="C1214" s="23" t="s">
        <v>902</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995</v>
      </c>
    </row>
    <row r="1216" customFormat="false" ht="15" hidden="false" customHeight="true" outlineLevel="0" collapsed="false">
      <c r="A1216" s="3" t="s">
        <v>1090</v>
      </c>
      <c r="B1216" s="3" t="s">
        <v>91</v>
      </c>
      <c r="C1216" s="3" t="s">
        <v>1091</v>
      </c>
      <c r="M1216" s="21"/>
      <c r="N1216" s="21"/>
      <c r="O1216" s="21"/>
    </row>
    <row r="1217" customFormat="false" ht="36" hidden="false" customHeight="true" outlineLevel="0" collapsed="false">
      <c r="C1217" s="22" t="s">
        <v>1092</v>
      </c>
      <c r="M1217" s="21"/>
      <c r="N1217" s="21"/>
      <c r="O1217" s="21"/>
    </row>
    <row r="1218" customFormat="false" ht="15" hidden="false" customHeight="true" outlineLevel="0" collapsed="false">
      <c r="C1218" s="23" t="s">
        <v>902</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995</v>
      </c>
    </row>
    <row r="1220" customFormat="false" ht="15" hidden="false" customHeight="true" outlineLevel="0" collapsed="false">
      <c r="A1220" s="3" t="s">
        <v>1093</v>
      </c>
      <c r="B1220" s="3" t="s">
        <v>91</v>
      </c>
      <c r="C1220" s="3" t="s">
        <v>1094</v>
      </c>
      <c r="M1220" s="21"/>
      <c r="N1220" s="21"/>
      <c r="O1220" s="21"/>
    </row>
    <row r="1221" customFormat="false" ht="36" hidden="false" customHeight="true" outlineLevel="0" collapsed="false">
      <c r="C1221" s="22" t="s">
        <v>1095</v>
      </c>
      <c r="M1221" s="21"/>
      <c r="N1221" s="21"/>
      <c r="O1221" s="21"/>
    </row>
    <row r="1222" customFormat="false" ht="15" hidden="false" customHeight="true" outlineLevel="0" collapsed="false">
      <c r="C1222" s="23" t="s">
        <v>902</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995</v>
      </c>
    </row>
    <row r="1224" customFormat="false" ht="15" hidden="false" customHeight="true" outlineLevel="0" collapsed="false">
      <c r="A1224" s="3" t="s">
        <v>1096</v>
      </c>
      <c r="B1224" s="3" t="s">
        <v>91</v>
      </c>
      <c r="C1224" s="3" t="s">
        <v>1097</v>
      </c>
      <c r="M1224" s="21"/>
      <c r="N1224" s="21"/>
      <c r="O1224" s="21"/>
    </row>
    <row r="1225" customFormat="false" ht="36" hidden="false" customHeight="true" outlineLevel="0" collapsed="false">
      <c r="C1225" s="22" t="s">
        <v>1098</v>
      </c>
      <c r="M1225" s="21"/>
      <c r="N1225" s="21"/>
      <c r="O1225" s="21"/>
    </row>
    <row r="1226" customFormat="false" ht="15" hidden="false" customHeight="true" outlineLevel="0" collapsed="false">
      <c r="C1226" s="23" t="s">
        <v>902</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995</v>
      </c>
    </row>
    <row r="1228" customFormat="false" ht="15" hidden="false" customHeight="true" outlineLevel="0" collapsed="false">
      <c r="A1228" s="3" t="s">
        <v>1099</v>
      </c>
      <c r="B1228" s="3" t="s">
        <v>91</v>
      </c>
      <c r="C1228" s="3" t="s">
        <v>1100</v>
      </c>
      <c r="M1228" s="21"/>
      <c r="N1228" s="21"/>
      <c r="O1228" s="21"/>
    </row>
    <row r="1229" customFormat="false" ht="36" hidden="false" customHeight="true" outlineLevel="0" collapsed="false">
      <c r="C1229" s="22" t="s">
        <v>1101</v>
      </c>
      <c r="M1229" s="21"/>
      <c r="N1229" s="21"/>
      <c r="O1229" s="21"/>
    </row>
    <row r="1230" customFormat="false" ht="15" hidden="false" customHeight="true" outlineLevel="0" collapsed="false">
      <c r="C1230" s="23" t="s">
        <v>902</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995</v>
      </c>
    </row>
    <row r="1232" customFormat="false" ht="15" hidden="false" customHeight="true" outlineLevel="0" collapsed="false">
      <c r="A1232" s="3" t="s">
        <v>1102</v>
      </c>
      <c r="B1232" s="3" t="s">
        <v>91</v>
      </c>
      <c r="C1232" s="3" t="s">
        <v>1103</v>
      </c>
      <c r="M1232" s="21"/>
      <c r="N1232" s="21"/>
      <c r="O1232" s="21"/>
    </row>
    <row r="1233" customFormat="false" ht="36" hidden="false" customHeight="true" outlineLevel="0" collapsed="false">
      <c r="C1233" s="22" t="s">
        <v>1104</v>
      </c>
      <c r="M1233" s="21"/>
      <c r="N1233" s="21"/>
      <c r="O1233" s="21"/>
    </row>
    <row r="1234" customFormat="false" ht="15" hidden="false" customHeight="true" outlineLevel="0" collapsed="false">
      <c r="C1234" s="23" t="s">
        <v>902</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995</v>
      </c>
    </row>
    <row r="1236" customFormat="false" ht="15" hidden="false" customHeight="true" outlineLevel="0" collapsed="false">
      <c r="A1236" s="3" t="s">
        <v>1105</v>
      </c>
      <c r="B1236" s="3" t="s">
        <v>91</v>
      </c>
      <c r="C1236" s="3" t="s">
        <v>1106</v>
      </c>
      <c r="M1236" s="21"/>
      <c r="N1236" s="21"/>
      <c r="O1236" s="21"/>
    </row>
    <row r="1237" customFormat="false" ht="36" hidden="false" customHeight="true" outlineLevel="0" collapsed="false">
      <c r="C1237" s="22" t="s">
        <v>1107</v>
      </c>
      <c r="M1237" s="21"/>
      <c r="N1237" s="21"/>
      <c r="O1237" s="21"/>
    </row>
    <row r="1238" customFormat="false" ht="15" hidden="false" customHeight="true" outlineLevel="0" collapsed="false">
      <c r="C1238" s="23" t="s">
        <v>902</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995</v>
      </c>
    </row>
    <row r="1240" customFormat="false" ht="15" hidden="false" customHeight="true" outlineLevel="0" collapsed="false">
      <c r="A1240" s="3" t="s">
        <v>1108</v>
      </c>
      <c r="B1240" s="3" t="s">
        <v>91</v>
      </c>
      <c r="C1240" s="3" t="s">
        <v>1109</v>
      </c>
      <c r="M1240" s="21"/>
      <c r="N1240" s="21"/>
      <c r="O1240" s="21"/>
    </row>
    <row r="1241" customFormat="false" ht="36" hidden="false" customHeight="true" outlineLevel="0" collapsed="false">
      <c r="C1241" s="22" t="s">
        <v>1110</v>
      </c>
      <c r="M1241" s="21"/>
      <c r="N1241" s="21"/>
      <c r="O1241" s="21"/>
    </row>
    <row r="1242" customFormat="false" ht="15" hidden="false" customHeight="true" outlineLevel="0" collapsed="false">
      <c r="C1242" s="23" t="s">
        <v>902</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995</v>
      </c>
    </row>
    <row r="1244" customFormat="false" ht="15" hidden="false" customHeight="true" outlineLevel="0" collapsed="false">
      <c r="A1244" s="3" t="s">
        <v>1111</v>
      </c>
      <c r="B1244" s="3" t="s">
        <v>91</v>
      </c>
      <c r="C1244" s="3" t="s">
        <v>1112</v>
      </c>
      <c r="M1244" s="21"/>
      <c r="N1244" s="21"/>
      <c r="O1244" s="21"/>
    </row>
    <row r="1245" customFormat="false" ht="36" hidden="false" customHeight="true" outlineLevel="0" collapsed="false">
      <c r="C1245" s="22" t="s">
        <v>1113</v>
      </c>
      <c r="M1245" s="21"/>
      <c r="N1245" s="21"/>
      <c r="O1245" s="21"/>
    </row>
    <row r="1246" customFormat="false" ht="15" hidden="false" customHeight="true" outlineLevel="0" collapsed="false">
      <c r="C1246" s="23" t="s">
        <v>902</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995</v>
      </c>
    </row>
    <row r="1248" customFormat="false" ht="15" hidden="false" customHeight="true" outlineLevel="0" collapsed="false">
      <c r="A1248" s="3" t="s">
        <v>1114</v>
      </c>
      <c r="B1248" s="3" t="s">
        <v>91</v>
      </c>
      <c r="C1248" s="3" t="s">
        <v>1115</v>
      </c>
      <c r="M1248" s="21"/>
      <c r="N1248" s="21"/>
      <c r="O1248" s="21"/>
    </row>
    <row r="1249" customFormat="false" ht="36" hidden="false" customHeight="true" outlineLevel="0" collapsed="false">
      <c r="C1249" s="22" t="s">
        <v>1116</v>
      </c>
      <c r="M1249" s="21"/>
      <c r="N1249" s="21"/>
      <c r="O1249" s="21"/>
    </row>
    <row r="1250" customFormat="false" ht="15" hidden="false" customHeight="true" outlineLevel="0" collapsed="false">
      <c r="C1250" s="23" t="s">
        <v>902</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995</v>
      </c>
    </row>
    <row r="1252" customFormat="false" ht="15" hidden="false" customHeight="true" outlineLevel="0" collapsed="false">
      <c r="A1252" s="3" t="s">
        <v>1117</v>
      </c>
      <c r="B1252" s="3" t="s">
        <v>91</v>
      </c>
      <c r="C1252" s="3" t="s">
        <v>1118</v>
      </c>
      <c r="M1252" s="21"/>
      <c r="N1252" s="21"/>
      <c r="O1252" s="21"/>
    </row>
    <row r="1253" customFormat="false" ht="36" hidden="false" customHeight="true" outlineLevel="0" collapsed="false">
      <c r="C1253" s="22" t="s">
        <v>1119</v>
      </c>
      <c r="M1253" s="21"/>
      <c r="N1253" s="21"/>
      <c r="O1253" s="21"/>
    </row>
    <row r="1254" customFormat="false" ht="15" hidden="false" customHeight="true" outlineLevel="0" collapsed="false">
      <c r="C1254" s="23" t="s">
        <v>902</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995</v>
      </c>
    </row>
    <row r="1256" customFormat="false" ht="15" hidden="false" customHeight="true" outlineLevel="0" collapsed="false">
      <c r="A1256" s="3" t="s">
        <v>1120</v>
      </c>
      <c r="B1256" s="3" t="s">
        <v>91</v>
      </c>
      <c r="C1256" s="3" t="s">
        <v>1121</v>
      </c>
      <c r="M1256" s="21"/>
      <c r="N1256" s="21"/>
      <c r="O1256" s="21"/>
    </row>
    <row r="1257" customFormat="false" ht="36" hidden="false" customHeight="true" outlineLevel="0" collapsed="false">
      <c r="C1257" s="22" t="s">
        <v>1122</v>
      </c>
      <c r="M1257" s="21"/>
      <c r="N1257" s="21"/>
      <c r="O1257" s="21"/>
    </row>
    <row r="1258" customFormat="false" ht="15" hidden="false" customHeight="true" outlineLevel="0" collapsed="false">
      <c r="C1258" s="23" t="s">
        <v>902</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995</v>
      </c>
    </row>
    <row r="1260" customFormat="false" ht="15" hidden="false" customHeight="true" outlineLevel="0" collapsed="false">
      <c r="A1260" s="3" t="s">
        <v>1123</v>
      </c>
      <c r="B1260" s="3" t="s">
        <v>91</v>
      </c>
      <c r="C1260" s="3" t="s">
        <v>1124</v>
      </c>
      <c r="M1260" s="21"/>
      <c r="N1260" s="21"/>
      <c r="O1260" s="21"/>
    </row>
    <row r="1261" customFormat="false" ht="36" hidden="false" customHeight="true" outlineLevel="0" collapsed="false">
      <c r="C1261" s="22" t="s">
        <v>1125</v>
      </c>
      <c r="M1261" s="21"/>
      <c r="N1261" s="21"/>
      <c r="O1261" s="21"/>
    </row>
    <row r="1262" customFormat="false" ht="15" hidden="false" customHeight="true" outlineLevel="0" collapsed="false">
      <c r="C1262" s="23" t="s">
        <v>902</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995</v>
      </c>
    </row>
    <row r="1264" customFormat="false" ht="15" hidden="false" customHeight="true" outlineLevel="0" collapsed="false">
      <c r="A1264" s="3" t="s">
        <v>1126</v>
      </c>
      <c r="C1264" s="3" t="s">
        <v>1127</v>
      </c>
      <c r="M1264" s="21" t="s">
        <v>194</v>
      </c>
      <c r="N1264" s="21" t="s">
        <v>63</v>
      </c>
      <c r="O1264" s="21" t="s">
        <v>1126</v>
      </c>
    </row>
    <row r="1265" customFormat="false" ht="15" hidden="false" customHeight="true" outlineLevel="0" collapsed="false">
      <c r="A1265" s="3" t="s">
        <v>1128</v>
      </c>
      <c r="B1265" s="3" t="s">
        <v>91</v>
      </c>
      <c r="C1265" s="3" t="s">
        <v>1129</v>
      </c>
      <c r="M1265" s="21"/>
      <c r="N1265" s="21"/>
      <c r="O1265" s="21"/>
    </row>
    <row r="1266" customFormat="false" ht="72" hidden="false" customHeight="true" outlineLevel="0" collapsed="false">
      <c r="C1266" s="22" t="s">
        <v>1130</v>
      </c>
      <c r="M1266" s="21"/>
      <c r="N1266" s="21"/>
      <c r="O1266" s="21"/>
    </row>
    <row r="1267" customFormat="false" ht="15" hidden="false" customHeight="true" outlineLevel="0" collapsed="false">
      <c r="C1267" s="23" t="s">
        <v>902</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1126</v>
      </c>
    </row>
    <row r="1269" customFormat="false" ht="15" hidden="false" customHeight="true" outlineLevel="0" collapsed="false">
      <c r="A1269" s="3" t="s">
        <v>1131</v>
      </c>
      <c r="B1269" s="3" t="s">
        <v>91</v>
      </c>
      <c r="C1269" s="3" t="s">
        <v>1132</v>
      </c>
      <c r="M1269" s="21"/>
      <c r="N1269" s="21"/>
      <c r="O1269" s="21"/>
    </row>
    <row r="1270" customFormat="false" ht="60" hidden="false" customHeight="true" outlineLevel="0" collapsed="false">
      <c r="C1270" s="22" t="s">
        <v>1133</v>
      </c>
      <c r="M1270" s="21"/>
      <c r="N1270" s="21"/>
      <c r="O1270" s="21"/>
    </row>
    <row r="1271" customFormat="false" ht="15" hidden="false" customHeight="true" outlineLevel="0" collapsed="false">
      <c r="C1271" s="23" t="s">
        <v>902</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1126</v>
      </c>
    </row>
    <row r="1273" customFormat="false" ht="15" hidden="false" customHeight="true" outlineLevel="0" collapsed="false">
      <c r="A1273" s="3" t="s">
        <v>1134</v>
      </c>
      <c r="C1273" s="3" t="s">
        <v>1135</v>
      </c>
      <c r="M1273" s="21" t="s">
        <v>194</v>
      </c>
      <c r="N1273" s="21" t="s">
        <v>63</v>
      </c>
      <c r="O1273" s="21" t="s">
        <v>1134</v>
      </c>
    </row>
    <row r="1274" customFormat="false" ht="15" hidden="false" customHeight="true" outlineLevel="0" collapsed="false">
      <c r="A1274" s="3" t="s">
        <v>1136</v>
      </c>
      <c r="B1274" s="3" t="s">
        <v>158</v>
      </c>
      <c r="C1274" s="3" t="s">
        <v>1137</v>
      </c>
      <c r="M1274" s="21"/>
      <c r="N1274" s="21"/>
      <c r="O1274" s="21"/>
    </row>
    <row r="1275" customFormat="false" ht="48" hidden="false" customHeight="true" outlineLevel="0" collapsed="false">
      <c r="C1275" s="22" t="s">
        <v>1138</v>
      </c>
      <c r="M1275" s="21"/>
      <c r="N1275" s="21"/>
      <c r="O1275" s="21"/>
    </row>
    <row r="1276" customFormat="false" ht="15" hidden="false" customHeight="true" outlineLevel="0" collapsed="false">
      <c r="C1276" s="23" t="s">
        <v>902</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1134</v>
      </c>
    </row>
    <row r="1278" customFormat="false" ht="15" hidden="false" customHeight="true" outlineLevel="0" collapsed="false">
      <c r="A1278" s="3" t="s">
        <v>1139</v>
      </c>
      <c r="B1278" s="3" t="s">
        <v>158</v>
      </c>
      <c r="C1278" s="3" t="s">
        <v>1140</v>
      </c>
      <c r="M1278" s="21"/>
      <c r="N1278" s="21"/>
      <c r="O1278" s="21"/>
    </row>
    <row r="1279" customFormat="false" ht="108" hidden="false" customHeight="true" outlineLevel="0" collapsed="false">
      <c r="C1279" s="22" t="s">
        <v>1141</v>
      </c>
      <c r="M1279" s="21"/>
      <c r="N1279" s="21"/>
      <c r="O1279" s="21"/>
    </row>
    <row r="1280" customFormat="false" ht="15" hidden="false" customHeight="true" outlineLevel="0" collapsed="false">
      <c r="C1280" s="23" t="s">
        <v>902</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1134</v>
      </c>
    </row>
    <row r="1282" customFormat="false" ht="15" hidden="false" customHeight="true" outlineLevel="0" collapsed="false">
      <c r="A1282" s="3" t="s">
        <v>1142</v>
      </c>
      <c r="B1282" s="3" t="s">
        <v>91</v>
      </c>
      <c r="C1282" s="3" t="s">
        <v>1143</v>
      </c>
      <c r="M1282" s="21"/>
      <c r="N1282" s="21"/>
      <c r="O1282" s="21"/>
    </row>
    <row r="1283" customFormat="false" ht="60" hidden="false" customHeight="true" outlineLevel="0" collapsed="false">
      <c r="C1283" s="22" t="s">
        <v>1144</v>
      </c>
      <c r="M1283" s="21"/>
      <c r="N1283" s="21"/>
      <c r="O1283" s="21"/>
    </row>
    <row r="1284" customFormat="false" ht="15" hidden="false" customHeight="true" outlineLevel="0" collapsed="false">
      <c r="C1284" s="23" t="s">
        <v>902</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1134</v>
      </c>
    </row>
    <row r="1286" customFormat="false" ht="15" hidden="false" customHeight="true" outlineLevel="0" collapsed="false">
      <c r="C1286" s="30" t="s">
        <v>1145</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1146</v>
      </c>
    </row>
    <row r="3" customFormat="false" ht="42" hidden="false" customHeight="true" outlineLevel="0" collapsed="false">
      <c r="A3" s="34" t="s">
        <v>1147</v>
      </c>
      <c r="B3" s="22" t="s">
        <v>1148</v>
      </c>
    </row>
    <row r="4" customFormat="false" ht="27.75" hidden="false" customHeight="true" outlineLevel="0" collapsed="false">
      <c r="A4" s="34" t="s">
        <v>1149</v>
      </c>
      <c r="B4" s="22" t="s">
        <v>1150</v>
      </c>
    </row>
    <row r="5" customFormat="false" ht="42" hidden="false" customHeight="true" outlineLevel="0" collapsed="false">
      <c r="A5" s="34" t="s">
        <v>1151</v>
      </c>
      <c r="B5" s="22" t="s">
        <v>1152</v>
      </c>
    </row>
    <row r="6" customFormat="false" ht="42" hidden="false" customHeight="true" outlineLevel="0" collapsed="false">
      <c r="A6" s="34" t="s">
        <v>1153</v>
      </c>
      <c r="B6" s="22" t="s">
        <v>1154</v>
      </c>
    </row>
    <row r="7" customFormat="false" ht="27.75" hidden="false" customHeight="true" outlineLevel="0" collapsed="false">
      <c r="A7" s="34" t="s">
        <v>1155</v>
      </c>
      <c r="B7" s="22" t="s">
        <v>1156</v>
      </c>
    </row>
    <row r="8" customFormat="false" ht="27.75" hidden="false" customHeight="true" outlineLevel="0" collapsed="false">
      <c r="A8" s="34" t="s">
        <v>1157</v>
      </c>
      <c r="B8" s="22" t="s">
        <v>1158</v>
      </c>
    </row>
    <row r="9" customFormat="false" ht="27.75" hidden="false" customHeight="true" outlineLevel="0" collapsed="false">
      <c r="A9" s="34" t="s">
        <v>1159</v>
      </c>
      <c r="B9" s="22" t="s">
        <v>1160</v>
      </c>
    </row>
    <row r="10" customFormat="false" ht="27.75" hidden="false" customHeight="true" outlineLevel="0" collapsed="false">
      <c r="A10" s="34" t="s">
        <v>1161</v>
      </c>
      <c r="B10" s="22" t="s">
        <v>1162</v>
      </c>
    </row>
    <row r="11" customFormat="false" ht="27.75" hidden="false" customHeight="true" outlineLevel="0" collapsed="false">
      <c r="A11" s="34" t="s">
        <v>1163</v>
      </c>
      <c r="B11" s="22" t="s">
        <v>1164</v>
      </c>
    </row>
    <row r="12" customFormat="false" ht="27.75" hidden="false" customHeight="true" outlineLevel="0" collapsed="false">
      <c r="A12" s="34" t="s">
        <v>1165</v>
      </c>
      <c r="B12" s="22" t="s">
        <v>1166</v>
      </c>
    </row>
    <row r="13" customFormat="false" ht="63.75" hidden="false" customHeight="true" outlineLevel="0" collapsed="false">
      <c r="A13" s="34" t="s">
        <v>1167</v>
      </c>
      <c r="B13" s="22" t="s">
        <v>1168</v>
      </c>
    </row>
    <row r="14" customFormat="false" ht="63.75" hidden="false" customHeight="true" outlineLevel="0" collapsed="false">
      <c r="A14" s="34" t="s">
        <v>1169</v>
      </c>
      <c r="B14" s="22" t="s">
        <v>1170</v>
      </c>
    </row>
    <row r="15" customFormat="false" ht="102" hidden="false" customHeight="true" outlineLevel="0" collapsed="false">
      <c r="A15" s="34" t="s">
        <v>1171</v>
      </c>
      <c r="B15" s="22"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1173</v>
      </c>
    </row>
    <row r="2" customFormat="false" ht="15" hidden="false" customHeight="true" outlineLevel="0" collapsed="false">
      <c r="A2" s="8" t="s">
        <v>1174</v>
      </c>
    </row>
    <row r="3" customFormat="false" ht="15" hidden="false" customHeight="true" outlineLevel="0" collapsed="false">
      <c r="A3" s="8" t="s">
        <v>1175</v>
      </c>
    </row>
    <row r="5" customFormat="false" ht="21.75" hidden="false" customHeight="true" outlineLevel="0" collapsed="false">
      <c r="A5" s="36" t="s">
        <v>90</v>
      </c>
      <c r="B5" s="36" t="s">
        <v>91</v>
      </c>
      <c r="C5" s="36" t="s">
        <v>4</v>
      </c>
      <c r="D5" s="36" t="s">
        <v>1176</v>
      </c>
      <c r="E5" s="36" t="s">
        <v>1177</v>
      </c>
      <c r="F5" s="36" t="s">
        <v>1178</v>
      </c>
      <c r="G5" s="36" t="s">
        <v>1179</v>
      </c>
      <c r="H5" s="36" t="s">
        <v>98</v>
      </c>
      <c r="I5" s="36" t="s">
        <v>1180</v>
      </c>
      <c r="J5" s="36" t="s">
        <v>1181</v>
      </c>
      <c r="K5" s="36" t="s">
        <v>1182</v>
      </c>
      <c r="L5" s="36" t="s">
        <v>1183</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27.71</v>
      </c>
      <c r="F6" s="25" t="n">
        <f aca="false">E6-D6</f>
        <v>7.64</v>
      </c>
      <c r="G6" s="39" t="n">
        <f aca="false">IF(D6=0,"-",F6/D6)</f>
        <v>0.380667663178874</v>
      </c>
      <c r="H6" s="40" t="n">
        <f aca="false">Presupuesto!J116</f>
        <v>365.9</v>
      </c>
      <c r="I6" s="25" t="n">
        <f aca="false">ROUND(D6*H6,2)</f>
        <v>7343.61</v>
      </c>
      <c r="J6" s="40" t="n">
        <f aca="false">Presupuesto!K116</f>
        <v>10139.09</v>
      </c>
      <c r="K6" s="25" t="n">
        <f aca="false">J6-I6</f>
        <v>2795.48</v>
      </c>
      <c r="L6" s="22" t="s">
        <v>1184</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1185</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1186</v>
      </c>
    </row>
    <row r="9" customFormat="false" ht="21.75" hidden="false" customHeight="true" outlineLevel="0" collapsed="false">
      <c r="A9" s="37" t="str">
        <f aca="false">Presupuesto!A132</f>
        <v>05.02.02</v>
      </c>
      <c r="B9" s="37" t="str">
        <f aca="false">Presupuesto!B132</f>
        <v>m3</v>
      </c>
      <c r="C9" s="37" t="str">
        <f aca="false">Presupuesto!C132</f>
        <v>VIGAS DE HORMIGÓN ARMADO HA-25 (PLANAS Y DESCOLGADAS)</v>
      </c>
      <c r="D9" s="38" t="n">
        <v>0</v>
      </c>
      <c r="E9" s="38" t="n">
        <v>0</v>
      </c>
      <c r="F9" s="25" t="n">
        <f aca="false">E9-D9</f>
        <v>0</v>
      </c>
      <c r="G9" s="39" t="str">
        <f aca="false">IF(D9=0,"-",F9/D9)</f>
        <v>-</v>
      </c>
      <c r="H9" s="40" t="n">
        <f aca="false">Presupuesto!J135</f>
        <v>420</v>
      </c>
      <c r="I9" s="25" t="n">
        <f aca="false">ROUND(D9*H9,2)</f>
        <v>0</v>
      </c>
      <c r="J9" s="40" t="n">
        <f aca="false">Presupuesto!K135</f>
        <v>8051.4</v>
      </c>
      <c r="K9" s="25" t="n">
        <f aca="false">J9-I9</f>
        <v>8051.4</v>
      </c>
      <c r="L9" s="22" t="s">
        <v>1187</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1188</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1189</v>
      </c>
    </row>
    <row r="12" customFormat="false" ht="21.75" hidden="false" customHeight="true" outlineLevel="0" collapsed="false">
      <c r="A12" s="37" t="str">
        <f aca="false">Presupuesto!A167</f>
        <v>05.02.10</v>
      </c>
      <c r="B12" s="37" t="str">
        <f aca="false">Presupuesto!B167</f>
        <v>kg</v>
      </c>
      <c r="C12" s="37" t="str">
        <f aca="false">Presupuesto!C167</f>
        <v>ZANCAS DE PLETINA 200×12 S275 DE LA ESCALERA</v>
      </c>
      <c r="D12" s="38" t="n">
        <v>0</v>
      </c>
      <c r="E12" s="38" t="n">
        <v>0</v>
      </c>
      <c r="F12" s="25" t="n">
        <f aca="false">E12-D12</f>
        <v>0</v>
      </c>
      <c r="G12" s="39" t="str">
        <f aca="false">IF(D12=0,"-",F12/D12)</f>
        <v>-</v>
      </c>
      <c r="H12" s="40" t="n">
        <f aca="false">Presupuesto!J170</f>
        <v>3.2</v>
      </c>
      <c r="I12" s="25" t="n">
        <f aca="false">ROUND(D12*H12,2)</f>
        <v>0</v>
      </c>
      <c r="J12" s="40" t="n">
        <f aca="false">Presupuesto!K170</f>
        <v>1513.6</v>
      </c>
      <c r="K12" s="25" t="n">
        <f aca="false">J12-I12</f>
        <v>1513.6</v>
      </c>
      <c r="L12" s="22" t="s">
        <v>1190</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1191</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1192</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1193</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1194</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1195</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1196</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1197</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1198</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1199</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1200</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1201</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1202</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1203</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1204</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1205</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1206</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1207</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1208</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1209</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1210</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1211</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1212</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608</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858</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1213</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316.1</v>
      </c>
      <c r="F38" s="25" t="n">
        <f aca="false">E38-D38</f>
        <v>119.8</v>
      </c>
      <c r="G38" s="39" t="n">
        <f aca="false">IF(D38=0,"-",F38/D38)</f>
        <v>0.610290371879776</v>
      </c>
      <c r="H38" s="40" t="n">
        <f aca="false">Presupuesto!J411</f>
        <v>29.56</v>
      </c>
      <c r="I38" s="25" t="n">
        <f aca="false">ROUND(D38*H38,2)</f>
        <v>5802.63</v>
      </c>
      <c r="J38" s="40" t="n">
        <f aca="false">Presupuesto!K411</f>
        <v>9343.92</v>
      </c>
      <c r="K38" s="25" t="n">
        <f aca="false">J38-I38</f>
        <v>3541.29</v>
      </c>
      <c r="L38" s="22" t="s">
        <v>1214</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1215</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1216</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1217</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1218</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1219</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285</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1220</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1221</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1222</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1223</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1224</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1225</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517</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1226</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1227</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1228</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1229</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1230</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1231</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316.1</v>
      </c>
      <c r="F58" s="25" t="n">
        <f aca="false">E58-D58</f>
        <v>119.8</v>
      </c>
      <c r="G58" s="39" t="n">
        <f aca="false">IF(D58=0,"-",F58/D58)</f>
        <v>0.610290371879776</v>
      </c>
      <c r="H58" s="40" t="n">
        <f aca="false">Presupuesto!J564</f>
        <v>7.55</v>
      </c>
      <c r="I58" s="25" t="n">
        <f aca="false">ROUND(D58*H58,2)</f>
        <v>1482.07</v>
      </c>
      <c r="J58" s="40" t="n">
        <f aca="false">Presupuesto!K564</f>
        <v>2386.56</v>
      </c>
      <c r="K58" s="25" t="n">
        <f aca="false">J58-I58</f>
        <v>904.49</v>
      </c>
      <c r="L58" s="22" t="s">
        <v>1232</v>
      </c>
    </row>
    <row r="60" customFormat="false" ht="15" hidden="false" customHeight="true" outlineLevel="0" collapsed="false">
      <c r="C60" s="3" t="s">
        <v>1233</v>
      </c>
      <c r="I60" s="41" t="n">
        <f aca="false">SUM(I6:I58)</f>
        <v>200559.85</v>
      </c>
      <c r="J60" s="41" t="n">
        <f aca="false">SUM(J6:J58)</f>
        <v>231044.88</v>
      </c>
      <c r="K60" s="41" t="n">
        <f aca="false">SUM(K6:K58)</f>
        <v>30485.03</v>
      </c>
    </row>
    <row r="62" customFormat="false" ht="15" hidden="false" customHeight="true" outlineLevel="0" collapsed="false">
      <c r="C62" s="8" t="s">
        <v>1234</v>
      </c>
      <c r="J62" s="38" t="n">
        <v>359203.02</v>
      </c>
    </row>
    <row r="63" customFormat="false" ht="15" hidden="false" customHeight="true" outlineLevel="0" collapsed="false">
      <c r="C63" s="8" t="s">
        <v>1235</v>
      </c>
      <c r="J63" s="40" t="n">
        <f aca="false">Resumen!C41</f>
        <v>378523</v>
      </c>
    </row>
    <row r="64" customFormat="false" ht="15" hidden="false" customHeight="true" outlineLevel="0" collapsed="false">
      <c r="C64" s="3" t="s">
        <v>1178</v>
      </c>
      <c r="J64" s="41" t="n">
        <f aca="false">J63-J62</f>
        <v>19319.9799999999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2026-10-24T09:49:51Z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