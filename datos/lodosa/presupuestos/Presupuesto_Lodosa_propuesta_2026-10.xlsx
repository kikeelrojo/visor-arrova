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<sst xmlns="http://schemas.openxmlformats.org/spreadsheetml/2006/main" count="2866" uniqueCount="1230">
  <si>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</si>
  <si>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</si>
  <si>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</si>
  <si>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</si>
  <si>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</si>
  <si>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</si>
  <si>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</si>
  <si>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</si>
  <si>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</si>
  <si>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</si>
  <si>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</si>
  <si>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</si>
  <si>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</si>
  <si>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</si>
  <si>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</si>
  <si>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</si>
  <si>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</si>
  <si>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</si>
  <si>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</si>
  <si>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</si>
  <si>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</si>
  <si>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</si>
  <si>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</si>
  <si>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</si>
  <si>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</si>
  <si>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</si>
  <si>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</si>
  <si>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</si>
  <si>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</si>
  <si>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</si>
  <si>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</si>
  <si>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</si>
  <si>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</si>
  <si>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</si>
  <si>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</si>
  <si>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</si>
  <si>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</si>
  <si>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</si>
  <si>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</si>
  <si>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</si>
  <si>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</si>
  <si>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</si>
  <si>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</si>
  <si>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</si>
  <si>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</si>
  <si>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</si>
  <si>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</si>
  <si>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</si>
  <si>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</si>
  <si>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</si>
  <si>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</si>
  <si>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</si>
  <si>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</si>
  <si>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</si>
  <si>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</si>
  <si>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</si>
  <si>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</si>
  <si>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</si>
  <si>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</si>
  <si>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</si>
  <si>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</si>
  <si>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</si>
  <si>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</si>
  <si>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</si>
  <si>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</si>
  <si>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</si>
  <si>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</si>
  <si>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</si>
  <si>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</si>
  <si>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</si>
  <si>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</si>
  <si>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</si>
  <si>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</si>
  <si>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</si>
  <si>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</si>
  <si>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</si>
  <si>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</si>
  <si>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</si>
  <si>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</si>
  <si>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</si>
  <si>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</si>
  <si>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</si>
  <si>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</si>
  <si>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</si>
  <si>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</si>
  <si>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</si>
  <si>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</si>
  <si>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</si>
  <si>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</si>
  <si>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</si>
  <si>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</si>
  <si>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</si>
  <si>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</si>
  <si>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</si>
  <si>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</si>
  <si>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</si>
  <si>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</si>
  <si>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</si>
  <si>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</si>
  <si>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</si>
  <si>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</si>
  <si>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</si>
  <si>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</si>
  <si>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</si>
  <si>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</si>
  <si>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</si>
  <si>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</si>
  <si>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</si>
  <si>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</si>
  <si>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</si>
  <si>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</si>
  <si>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</si>
  <si>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</si>
  <si>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</si>
  <si>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</si>
  <si>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</si>
  <si>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</si>
  <si>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</si>
  <si>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</si>
  <si>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</si>
  <si>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</si>
  <si>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</si>
  <si>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</si>
  <si>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</si>
  <si>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</si>
  <si>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</si>
  <si>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</si>
  <si>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</si>
  <si>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</si>
  <si>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</si>
  <si>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</si>
  <si>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</si>
  <si>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</si>
  <si>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</si>
  <si>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</si>
  <si>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</si>
  <si>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</si>
  <si>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</si>
  <si>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</si>
  <si>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</si>
  <si>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</si>
  <si>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</si>
  <si>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</si>
  <si>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</si>
  <si>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</si>
  <si>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</si>
  <si>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</si>
  <si>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</si>
  <si>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</si>
  <si>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</si>
  <si>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</si>
  <si>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</si>
  <si>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</si>
  <si>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</si>
  <si>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</si>
  <si>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</si>
  <si>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</si>
  <si>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</si>
  <si>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</si>
  <si>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</si>
  <si>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</si>
  <si>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</si>
  <si>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</si>
  <si>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</si>
  <si>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</si>
  <si>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</si>
  <si>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</si>
  <si>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</si>
  <si>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</si>
  <si>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</si>
  <si>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</si>
  <si>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</si>
  <si>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</si>
  <si>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</si>
  <si>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</si>
  <si>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</si>
  <si>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</si>
  <si>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</si>
  <si>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</si>
  <si>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</si>
  <si>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</si>
  <si>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</si>
  <si>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</si>
  <si>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</si>
  <si>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</si>
  <si>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</si>
  <si>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</si>
  <si>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</si>
  <si>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</si>
  <si>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</si>
  <si>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</si>
  <si>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</si>
  <si>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</si>
  <si>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</si>
  <si>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</si>
  <si>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</si>
  <si>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</si>
  <si>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</si>
  <si>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</si>
  <si>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</si>
  <si>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</si>
  <si>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</si>
  <si>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</si>
  <si>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</si>
  <si>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</si>
  <si>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</si>
  <si>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</si>
  <si>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</si>
  <si>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</si>
  <si>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</si>
  <si>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</si>
  <si>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</si>
  <si>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</si>
  <si>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</si>
  <si>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</si>
  <si>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</si>
  <si>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</si>
  <si>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</si>
  <si>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</si>
  <si>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</si>
  <si>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</si>
  <si>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</si>
  <si>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</si>
  <si>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</si>
  <si>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</si>
  <si>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</si>
  <si>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</si>
  <si>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</si>
  <si>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</si>
  <si>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</si>
  <si>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</si>
  <si>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</si>
  <si>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</si>
  <si>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</si>
  <si>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</si>
  <si>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</si>
  <si>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</si>
  <si>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</si>
  <si>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</si>
  <si>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</si>
  <si>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</si>
  <si>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</si>
  <si>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</si>
  <si>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</si>
  <si>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</si>
  <si>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</si>
  <si>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</si>
  <si>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</si>
  <si>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</si>
  <si>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</si>
  <si>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</si>
  <si>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</si>
  <si>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</si>
  <si>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</si>
  <si>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</si>
  <si>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</si>
  <si>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</si>
  <si>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</si>
  <si>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</si>
  <si>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</si>
  <si>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</si>
  <si>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</si>
  <si>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</si>
  <si>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</si>
  <si>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</si>
  <si>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</si>
  <si>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</si>
  <si>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</si>
  <si>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</si>
  <si>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</si>
  <si>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</si>
  <si>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</si>
  <si>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</si>
  <si>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</si>
  <si>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</si>
  <si>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</si>
  <si>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</si>
  <si>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</si>
  <si>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</si>
  <si>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</si>
  <si>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</si>
  <si>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</si>
  <si>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</si>
  <si>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</si>
  <si>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</si>
  <si>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</si>
  <si>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</si>
  <si>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</si>
  <si>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</si>
  <si>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</si>
  <si>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</si>
  <si>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</si>
  <si>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</si>
  <si>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</si>
  <si>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</si>
  <si>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</si>
  <si>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</si>
  <si>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</si>
  <si>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</si>
  <si>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</si>
  <si>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</si>
  <si>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</si>
  <si>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</si>
  <si>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</si>
  <si>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</si>
  <si>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</si>
  <si>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</si>
  <si>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</si>
  <si>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</si>
  <si>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</si>
  <si>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</si>
  <si>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</si>
  <si>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</si>
  <si>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</si>
  <si>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</si>
  <si>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</si>
  <si>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</si>
  <si>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</si>
  <si>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</si>
  <si>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</si>
  <si>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</si>
  <si>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</si>
  <si>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</si>
  <si>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</si>
  <si>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</si>
  <si>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</si>
  <si>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</si>
  <si>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</si>
  <si>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</si>
  <si>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</si>
  <si>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</si>
  <si>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</si>
  <si>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</si>
  <si>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</si>
  <si>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</si>
  <si>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</si>
  <si>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</si>
  <si>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</si>
  <si>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</si>
  <si>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</si>
  <si>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</si>
  <si>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</si>
  <si>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</si>
  <si>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</si>
  <si>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</si>
  <si>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</si>
  <si>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</si>
  <si>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</si>
  <si>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</si>
  <si>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</si>
  <si>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</si>
  <si>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</si>
  <si>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</si>
  <si>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</si>
  <si>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</si>
  <si>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</si>
  <si>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</si>
  <si>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</si>
  <si>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</si>
  <si>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</si>
  <si>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</si>
  <si>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</si>
  <si>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</si>
  <si>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</si>
  <si>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</si>
  <si>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</si>
  <si>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</si>
  <si>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</si>
  <si>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</si>
  <si>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</si>
  <si>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</si>
  <si>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</si>
  <si>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</si>
  <si>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</si>
  <si>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</si>
  <si>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</si>
  <si>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</si>
  <si>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</si>
  <si>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</si>
  <si>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</si>
  <si>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</si>
  <si>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</si>
  <si>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</si>
  <si>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</si>
  <si>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</si>
  <si>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</si>
  <si>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</si>
  <si>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</si>
  <si>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</si>
  <si>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</si>
  <si>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</si>
  <si>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</si>
  <si>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</si>
  <si>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</si>
  <si>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</si>
  <si>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</si>
  <si>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</si>
  <si>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</si>
  <si>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</si>
  <si>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</si>
  <si>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</si>
  <si>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</si>
  <si>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</si>
  <si>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</si>
  <si>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</si>
  <si>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</si>
  <si>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</si>
  <si>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</si>
  <si>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</si>
  <si>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</si>
  <si>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</si>
  <si>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</si>
  <si>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</si>
  <si>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</si>
  <si>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</si>
  <si>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</si>
  <si>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</si>
  <si>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</si>
  <si>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</si>
  <si>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</si>
  <si>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</si>
  <si>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</si>
  <si>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</si>
  <si>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</si>
  <si>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</si>
  <si>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</si>
  <si>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</si>
  <si>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</si>
  <si>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</si>
  <si>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</si>
  <si>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</si>
  <si>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</si>
  <si>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</si>
  <si>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</si>
  <si>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</si>
  <si>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</si>
  <si>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</si>
  <si>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</si>
  <si>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</si>
  <si>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</si>
  <si>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</si>
  <si>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</si>
  <si>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</si>
  <si>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</si>
  <si>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</si>
  <si>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</si>
  <si>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</si>
  <si>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</si>
  <si>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</si>
  <si>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</si>
  <si>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</si>
  <si>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</si>
  <si>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</si>
  <si>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</si>
  <si>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</si>
  <si>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</si>
  <si>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</si>
  <si>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</si>
  <si>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</si>
  <si>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</si>
  <si>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</si>
  <si>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</si>
  <si>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</si>
  <si>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</si>
  <si>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</si>
  <si>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</si>
  <si>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</si>
  <si>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</si>
  <si>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</si>
  <si>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</si>
  <si>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</si>
  <si>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</si>
  <si>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</si>
  <si>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</si>
  <si>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</si>
  <si>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</si>
  <si>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</si>
  <si>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</si>
  <si>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</si>
  <si>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</si>
  <si>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</si>
  <si>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</si>
  <si>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</si>
  <si>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</si>
  <si>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</si>
  <si>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</si>
  <si>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</si>
  <si>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</si>
  <si>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</si>
  <si>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</si>
  <si>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</si>
  <si>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</si>
  <si>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</si>
  <si>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</si>
  <si>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</si>
  <si>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</si>
  <si>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</si>
  <si>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</si>
  <si>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</si>
  <si>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</si>
  <si>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</si>
  <si>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</si>
  <si>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</si>
  <si>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</si>
  <si>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</si>
  <si>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</si>
  <si>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</si>
  <si>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</si>
  <si>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</si>
  <si>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</si>
  <si>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</si>
  <si>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</si>
  <si>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</si>
  <si>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</si>
  <si>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</si>
  <si>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</si>
  <si>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</si>
  <si>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</si>
  <si>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</si>
  <si>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</si>
  <si>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</si>
  <si>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</si>
  <si>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</si>
  <si>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</si>
  <si>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</si>
  <si>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</si>
  <si>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</si>
  <si>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</si>
  <si>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</si>
  <si>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</si>
  <si>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</si>
  <si>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</si>
  <si>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</si>
  <si>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</si>
  <si>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</si>
  <si>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</si>
  <si>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</si>
  <si>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</si>
  <si>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</si>
  <si>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</si>
  <si>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</si>
  <si>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</si>
  <si>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</si>
  <si>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</si>
  <si>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</si>
  <si>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</si>
  <si>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</si>
  <si>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</si>
  <si>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</si>
  <si>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</si>
  <si>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</si>
  <si>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</si>
  <si>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</si>
  <si>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</si>
  <si>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</si>
  <si>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</si>
  <si>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</si>
  <si>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</si>
  <si>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</si>
  <si>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</si>
  <si>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</si>
  <si>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</si>
  <si>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</si>
  <si>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</si>
  <si>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</si>
  <si>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</si>
  <si>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</si>
  <si>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</si>
  <si>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</si>
  <si>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</si>
  <si>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</si>
  <si>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</si>
  <si>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</si>
  <si>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</si>
  <si>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</si>
  <si>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</si>
  <si>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</si>
  <si>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</si>
  <si>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</si>
  <si>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</si>
  <si>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</si>
  <si>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</si>
  <si>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</si>
  <si>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</si>
  <si>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</si>
  <si>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</si>
  <si>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</si>
  <si>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</si>
  <si>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</si>
  <si>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</si>
  <si>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</si>
  <si>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</si>
  <si>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</si>
  <si>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</si>
  <si>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</si>
  <si>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</si>
  <si>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</si>
  <si>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</si>
  <si>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</si>
  <si>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</si>
  <si>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</si>
  <si>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</si>
  <si>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</si>
  <si>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</si>
  <si>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</si>
  <si>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</si>
  <si>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</si>
  <si>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</si>
  <si>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</si>
  <si>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</si>
  <si>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</si>
  <si>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</si>
  <si>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</si>
  <si>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</si>
  <si>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</si>
  <si>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</si>
  <si>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</si>
  <si>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</si>
  <si>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</si>
  <si>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</si>
  <si>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</si>
  <si>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</si>
  <si>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</si>
  <si>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</si>
  <si>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</si>
  <si>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</si>
  <si>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</si>
  <si>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</si>
  <si>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</si>
  <si>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</si>
  <si>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</si>
  <si>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</si>
  <si>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</si>
  <si>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</si>
  <si>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</si>
  <si>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la cubierta plana,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</si>
  <si>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</si>
  <si>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</si>
  <si>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</si>
  <si>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</si>
  <si>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</si>
  <si>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</si>
  <si>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</si>
  <si>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</si>
  <si>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</si>
  <si>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</si>
  <si>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</si>
  <si>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</si>
  <si>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</si>
  <si>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</si>
  <si>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</si>
  <si>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</si>
  <si>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</si>
  <si>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</si>
  <si>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</si>
  <si>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</si>
  <si>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</si>
  <si>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</si>
  <si>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</si>
  <si>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</si>
  <si>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</si>
  <si>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</si>
  <si>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</si>
  <si>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</si>
  <si>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</si>
  <si>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</si>
  <si>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</si>
  <si>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</si>
  <si>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</si>
  <si>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</si>
  <si>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</si>
  <si>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</si>
  <si>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</si>
  <si>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</si>
  <si>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</si>
  <si>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</si>
  <si>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</si>
  <si>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</si>
  <si>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</si>
  <si>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</si>
  <si>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</si>
  <si>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</si>
  <si>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</si>
  <si>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</si>
  <si>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</si>
  <si>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</si>
  <si>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</si>
  <si>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</si>
  <si>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</si>
  <si>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</si>
  <si>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</si>
  <si>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</si>
  <si>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</si>
  <si>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</si>
  <si>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</si>
  <si>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</si>
  <si>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</si>
  <si>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</si>
  <si>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</si>
  <si>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</si>
  <si>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</si>
  <si>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</si>
  <si>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BOCA DE EXTRACCIÓN AUTORREGULABLE EN LOCALES HÚMEDOS</t>
  </si>
  <si>
    <t xml:space="preserve">Boca de extracción autorregulable (caudal según DB-HS 3) en baños, aseos, cocina y lavandería, con conexión al conducto.</t>
  </si>
  <si>
    <t xml:space="preserve">Baño, aseos, cocina y lavandería</t>
  </si>
  <si>
    <t xml:space="preserve">16.04.02</t>
  </si>
  <si>
    <t xml:space="preserve">EXTRACTOR DE BAJO CONSUMO PARA LA VENTILACIÓN HÍBRIDA</t>
  </si>
  <si>
    <t xml:space="preserve">Ventilador de extracción de bajo consumo (EC) en conducto, con regulación, para la ventilación híbrida de simple flujo.</t>
  </si>
  <si>
    <t xml:space="preserve">Conductos a cubierta</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</si>
  <si>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</si>
  <si>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</si>
  <si>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</si>
  <si>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</si>
  <si>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</si>
  <si>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</si>
  <si>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</si>
  <si>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</si>
  <si>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</si>
  <si>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</si>
  <si>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</si>
  <si>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</si>
  <si>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</si>
  <si>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</si>
  <si>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</si>
  <si>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</si>
  <si>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</si>
  <si>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</si>
  <si>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</si>
  <si>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</si>
  <si>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</si>
  <si>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</si>
  <si>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</si>
  <si>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</si>
  <si>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</si>
  <si>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</si>
  <si>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</si>
  <si>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</si>
  <si>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</si>
  <si>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</si>
  <si>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</si>
  <si>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</si>
  <si>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</si>
  <si>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</si>
  <si>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</si>
  <si>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</si>
  <si>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</si>
  <si>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</si>
  <si>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</si>
  <si>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</si>
  <si>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</si>
  <si>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</si>
  <si>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</si>
  <si>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</si>
  <si>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</si>
  <si>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</si>
  <si>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</si>
  <si>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</si>
  <si>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</si>
  <si>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</si>
  <si>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</si>
  <si>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</si>
  <si>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</si>
  <si>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</si>
  <si>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</si>
  <si>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</si>
  <si>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</si>
  <si>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</si>
  <si>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</si>
  <si>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</si>
  <si>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</si>
  <si>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</si>
  <si>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</si>
  <si>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</si>
  <si>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</si>
  <si>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</si>
  <si>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</si>
  <si>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</si>
  <si>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</si>
  <si>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</si>
  <si>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</si>
  <si>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</si>
  <si>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</si>
  <si>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</si>
  <si>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</si>
  <si>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</si>
  <si>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</si>
  <si>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</si>
  <si>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</si>
  <si>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</si>
  <si>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</si>
  <si>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</si>
  <si>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</si>
  <si>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</si>
  <si>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</si>
  <si>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</si>
  <si>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</si>
  <si>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</si>
  <si>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</si>
  <si>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</si>
  <si>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</si>
  <si>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</si>
  <si>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</si>
  <si>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</si>
  <si>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</si>
  <si>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</si>
  <si>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</si>
  <si>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</si>
  <si>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</si>
  <si>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</si>
  <si>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</si>
  <si>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</si>
  <si>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</si>
  <si>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</si>
  <si>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</si>
  <si>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</si>
  <si>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</si>
  <si>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</si>
  <si>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</si>
  <si>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</si>
  <si>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</si>
  <si>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</si>
  <si>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</si>
  <si>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</si>
  <si>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</si>
  <si>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</si>
  <si>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</si>
  <si>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</si>
  <si>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</si>
  <si>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</si>
  <si>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</si>
  <si>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</si>
  <si>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</si>
  <si>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</si>
  <si>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</si>
  <si>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</si>
  <si>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</si>
  <si>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</si>
  <si>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</si>
  <si>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</si>
  <si>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</si>
  <si>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</si>
  <si>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</si>
  <si>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</si>
  <si>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</si>
  <si>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</si>
  <si>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</si>
  <si>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</si>
  <si>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</si>
  <si>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</si>
  <si>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</si>
  <si>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</si>
  <si>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</si>
  <si>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</si>
  <si>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</si>
  <si>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</si>
  <si>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</si>
  <si>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</si>
  <si>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</si>
  <si>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</si>
  <si>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</si>
  <si>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</si>
  <si>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</si>
  <si>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</si>
  <si>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</si>
  <si>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</si>
  <si>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</si>
  <si>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</si>
  <si>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</si>
  <si>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</si>
  <si>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</si>
  <si>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</si>
  <si>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</si>
  <si>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</si>
  <si>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</si>
  <si>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</si>
  <si>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</si>
  <si>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</si>
  <si>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</si>
  <si>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</si>
  <si>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</si>
  <si>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</si>
  <si>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</si>
  <si>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</si>
  <si>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</si>
  <si>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</si>
  <si>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</si>
  <si>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</si>
  <si>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</si>
  <si>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</si>
  <si>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</si>
  <si>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</si>
  <si>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</si>
  <si>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</si>
  <si>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</si>
  <si>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</si>
  <si>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</si>
  <si>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</si>
  <si>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</si>
  <si>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</si>
  <si>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</si>
  <si>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</si>
  <si>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</si>
  <si>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</si>
  <si>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</si>
  <si>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</si>
  <si>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</si>
  <si>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</si>
  <si>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</si>
  <si>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</si>
  <si>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</si>
  <si>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</si>
  <si>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</si>
  <si>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</si>
  <si>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</si>
  <si>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</si>
  <si>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</si>
  <si>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</si>
  <si>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</si>
  <si>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</si>
  <si>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</si>
  <si>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</si>
  <si>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</si>
  <si>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</si>
  <si>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</si>
  <si>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</si>
  <si>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</si>
  <si>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</si>
  <si>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</si>
  <si>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</si>
  <si>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</si>
  <si>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</si>
  <si>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</si>
  <si>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</si>
  <si>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</si>
  <si>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</si>
  <si>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</si>
  <si>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</si>
  <si>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</si>
  <si>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</si>
  <si>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</si>
  <si>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</si>
  <si>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</si>
  <si>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</si>
  <si>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</si>
  <si>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</si>
  <si>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</si>
  <si>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</si>
  <si>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</si>
  <si>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</si>
  <si>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</si>
  <si>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</si>
  <si>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</si>
  <si>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</si>
  <si>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</si>
  <si>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</si>
  <si>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</si>
  <si>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</si>
  <si>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</si>
  <si>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</si>
  <si>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</si>
  <si>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</si>
  <si>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</si>
  <si>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</si>
  <si>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</si>
  <si>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</si>
  <si>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</si>
  <si>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</si>
  <si>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</si>
  <si>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</si>
  <si>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</si>
  <si>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</si>
  <si>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</si>
  <si>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</si>
  <si>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</si>
  <si>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</si>
  <si>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</si>
  <si>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</si>
  <si>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</si>
  <si>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</si>
  <si>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</si>
  <si>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</si>
  <si>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</si>
  <si>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</si>
  <si>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</si>
  <si>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</si>
  <si>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</si>
  <si>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</si>
  <si>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</si>
  <si>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</si>
  <si>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</si>
  <si>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</si>
  <si>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</si>
  <si>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</si>
  <si>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</si>
  <si>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</si>
  <si>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</si>
  <si>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</si>
  <si>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</si>
  <si>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</si>
  <si>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</si>
  <si>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</si>
  <si>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</si>
  <si>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</si>
  <si>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</si>
  <si>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</si>
  <si>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</si>
  <si>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</si>
  <si>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</si>
  <si>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</si>
  <si>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</si>
  <si>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</si>
  <si>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</si>
  <si>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</si>
  <si>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</si>
  <si>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</si>
  <si>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</si>
  <si>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</si>
  <si>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</si>
  <si>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</si>
  <si>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</si>
  <si>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</si>
  <si>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</si>
  <si>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</si>
  <si>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</si>
  <si>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</si>
  <si>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</si>
  <si>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</si>
  <si>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</si>
  <si>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</si>
  <si>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</si>
  <si>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</si>
  <si>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</si>
  <si>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</si>
  <si>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</si>
  <si>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</si>
  <si>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</si>
  <si>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</si>
  <si>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</si>
  <si>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</si>
  <si>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</si>
  <si>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</si>
  <si>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</si>
  <si>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</si>
  <si>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</si>
  <si>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</si>
  <si>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</si>
  <si>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</si>
  <si>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</si>
  <si>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</si>
  <si>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</si>
  <si>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</si>
  <si>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</si>
  <si>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</si>
  <si>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</si>
  <si>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</si>
  <si>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</si>
  <si>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</si>
  <si>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</si>
  <si>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</si>
  <si>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</si>
  <si>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</si>
  <si>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</si>
  <si>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</si>
  <si>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</si>
  <si>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</si>
  <si>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</si>
  <si>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</si>
  <si>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</si>
  <si>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</si>
  <si>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</si>
  <si>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</si>
  <si>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</si>
  <si>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</si>
  <si>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</si>
  <si>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</si>
  <si>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</si>
  <si>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</si>
  <si>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</si>
  <si>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</si>
  <si>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</si>
  <si>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</si>
  <si>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</si>
  <si>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</si>
  <si>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</si>
  <si>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</si>
  <si>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</si>
  <si>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</si>
  <si>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</si>
  <si>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</si>
  <si>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</si>
  <si>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</si>
  <si>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</si>
  <si>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</si>
  <si>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</si>
  <si>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</si>
  <si>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</si>
  <si>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</si>
  <si>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</si>
  <si>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</si>
  <si>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</si>
  <si>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</si>
  <si>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</si>
  <si>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</si>
  <si>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</si>
  <si>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</si>
  <si>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</si>
  <si>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</si>
  <si>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</si>
  <si>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</si>
  <si>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</si>
  <si>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</si>
  <si>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</si>
  <si>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</si>
  <si>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</si>
  <si>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</si>
  <si>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</si>
  <si>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</si>
  <si>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</si>
  <si>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</si>
  <si>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</si>
  <si>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</si>
  <si>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</si>
  <si>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</si>
  <si>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</si>
  <si>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</si>
  <si>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</si>
  <si>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</si>
  <si>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</si>
  <si>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</si>
  <si>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</si>
  <si>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</si>
  <si>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</si>
  <si>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</si>
  <si>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</si>
  <si>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</si>
  <si>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</si>
  <si>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</si>
  <si>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</si>
  <si>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</si>
  <si>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</si>
  <si>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</si>
  <si>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</si>
  <si>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</si>
  <si>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</si>
  <si>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</si>
  <si>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</si>
  <si>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</si>
  <si>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</si>
  <si>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</si>
  <si>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</si>
  <si>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</si>
  <si>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</si>
  <si>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</si>
  <si>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</si>
  <si>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</si>
  <si>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</si>
  <si>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</si>
  <si>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</si>
  <si>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</si>
  <si>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</si>
  <si>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</si>
  <si>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</si>
  <si>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</si>
  <si>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</si>
  <si>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</si>
  <si>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</si>
  <si>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(lodosa_bim_20261021-2238.ifc,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hasta la pared (24,39 m en total). La unidad exterior de la aerotermia vuelve a la cubierta plana.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</si>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</sst>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0.004228698535366</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0.0138827766868195</v>
      </c>
    </row>
    <row r="9" customFormat="false" ht="15" hidden="false" customHeight="true" outlineLevel="0" collapsed="false">
      <c r="A9" s="3" t="s">
        <v>13</v>
      </c>
      <c r="B9" s="3" t="s">
        <v>14</v>
      </c>
      <c r="C9" s="6" t="n">
        <f aca="false">Presupuesto!K101</f>
        <v>6481.94</v>
      </c>
      <c r="D9" s="7" t="n">
        <f aca="false">IF($C$41=0,0,C9/$C$41)</f>
        <v>0.0179046117867465</v>
      </c>
    </row>
    <row r="10" customFormat="false" ht="15" hidden="false" customHeight="true" outlineLevel="0" collapsed="false">
      <c r="A10" s="3" t="s">
        <v>15</v>
      </c>
      <c r="B10" s="3" t="s">
        <v>16</v>
      </c>
      <c r="C10" s="6" t="n">
        <f aca="false">Presupuesto!K175</f>
        <v>71882.81</v>
      </c>
      <c r="D10" s="7" t="n">
        <f aca="false">IF($C$41=0,0,C10/$C$41)</f>
        <v>0.198556883770979</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56031.31</v>
      </c>
      <c r="D13" s="7" t="n">
        <f aca="false">IF($C$41=0,0,C13/$C$41)</f>
        <v>0.154771388419647</v>
      </c>
    </row>
    <row r="14" customFormat="false" ht="15" hidden="false" customHeight="true" outlineLevel="0" collapsed="false">
      <c r="A14" s="3" t="s">
        <v>23</v>
      </c>
      <c r="B14" s="3" t="s">
        <v>24</v>
      </c>
      <c r="C14" s="6" t="n">
        <f aca="false">Presupuesto!K311</f>
        <v>14386.83</v>
      </c>
      <c r="D14" s="7" t="n">
        <f aca="false">IF($C$41=0,0,C14/$C$41)</f>
        <v>0.0397397393360504</v>
      </c>
    </row>
    <row r="15" customFormat="false" ht="15" hidden="false" customHeight="true" outlineLevel="0" collapsed="false">
      <c r="A15" s="3" t="s">
        <v>25</v>
      </c>
      <c r="B15" s="3" t="s">
        <v>26</v>
      </c>
      <c r="C15" s="6" t="n">
        <f aca="false">Presupuesto!K347</f>
        <v>7531.54</v>
      </c>
      <c r="D15" s="7" t="n">
        <f aca="false">IF($C$41=0,0,C15/$C$41)</f>
        <v>0.0208038488255604</v>
      </c>
    </row>
    <row r="16" customFormat="false" ht="15" hidden="false" customHeight="true" outlineLevel="0" collapsed="false">
      <c r="A16" s="3" t="s">
        <v>27</v>
      </c>
      <c r="B16" s="3" t="s">
        <v>28</v>
      </c>
      <c r="C16" s="6" t="n">
        <f aca="false">Presupuesto!K362</f>
        <v>3675.43</v>
      </c>
      <c r="D16" s="7" t="n">
        <f aca="false">IF($C$41=0,0,C16/$C$41)</f>
        <v>0.0101523845174997</v>
      </c>
    </row>
    <row r="17" customFormat="false" ht="15" hidden="false" customHeight="true" outlineLevel="0" collapsed="false">
      <c r="A17" s="3" t="s">
        <v>29</v>
      </c>
      <c r="B17" s="3" t="s">
        <v>30</v>
      </c>
      <c r="C17" s="6" t="n">
        <f aca="false">Presupuesto!K403</f>
        <v>21764.7</v>
      </c>
      <c r="D17" s="7" t="n">
        <f aca="false">IF($C$41=0,0,C17/$C$41)</f>
        <v>0.0601191162144361</v>
      </c>
    </row>
    <row r="18" customFormat="false" ht="15" hidden="false" customHeight="true" outlineLevel="0" collapsed="false">
      <c r="A18" s="3" t="s">
        <v>31</v>
      </c>
      <c r="B18" s="3" t="s">
        <v>32</v>
      </c>
      <c r="C18" s="6" t="n">
        <f aca="false">Presupuesto!K434</f>
        <v>28576.34</v>
      </c>
      <c r="D18" s="7" t="n">
        <f aca="false">IF($C$41=0,0,C18/$C$41)</f>
        <v>0.0789344353675098</v>
      </c>
    </row>
    <row r="19" customFormat="false" ht="15" hidden="false" customHeight="true" outlineLevel="0" collapsed="false">
      <c r="A19" s="3" t="s">
        <v>33</v>
      </c>
      <c r="B19" s="3" t="s">
        <v>34</v>
      </c>
      <c r="C19" s="6" t="n">
        <f aca="false">Presupuesto!K453</f>
        <v>10570.72</v>
      </c>
      <c r="D19" s="7" t="n">
        <f aca="false">IF($C$41=0,0,C19/$C$41)</f>
        <v>0.0291987642444079</v>
      </c>
    </row>
    <row r="20" customFormat="false" ht="15" hidden="false" customHeight="true" outlineLevel="0" collapsed="false">
      <c r="A20" s="3" t="s">
        <v>35</v>
      </c>
      <c r="B20" s="3" t="s">
        <v>36</v>
      </c>
      <c r="C20" s="6" t="n">
        <f aca="false">Presupuesto!K521</f>
        <v>52569.01</v>
      </c>
      <c r="D20" s="7" t="n">
        <f aca="false">IF($C$41=0,0,C20/$C$41)</f>
        <v>0.145207718069528</v>
      </c>
    </row>
    <row r="21" customFormat="false" ht="15" hidden="false" customHeight="true" outlineLevel="0" collapsed="false">
      <c r="A21" s="3" t="s">
        <v>37</v>
      </c>
      <c r="B21" s="3" t="s">
        <v>38</v>
      </c>
      <c r="C21" s="6" t="n">
        <f aca="false">Presupuesto!K553</f>
        <v>20576.15</v>
      </c>
      <c r="D21" s="7" t="n">
        <f aca="false">IF($C$41=0,0,C21/$C$41)</f>
        <v>0.0568360672600895</v>
      </c>
    </row>
    <row r="22" customFormat="false" ht="15" hidden="false" customHeight="true" outlineLevel="0" collapsed="false">
      <c r="A22" s="3" t="s">
        <v>39</v>
      </c>
      <c r="B22" s="3" t="s">
        <v>40</v>
      </c>
      <c r="C22" s="6" t="n">
        <f aca="false">Presupuesto!K565</f>
        <v>8961.34</v>
      </c>
      <c r="D22" s="7" t="n">
        <f aca="false">IF($C$41=0,0,C22/$C$41)</f>
        <v>0.0247532858664294</v>
      </c>
    </row>
    <row r="23" customFormat="false" ht="15" hidden="false" customHeight="true" outlineLevel="0" collapsed="false">
      <c r="A23" s="3" t="s">
        <v>41</v>
      </c>
      <c r="B23" s="3" t="s">
        <v>42</v>
      </c>
      <c r="C23" s="6" t="n">
        <f aca="false">Presupuesto!K962</f>
        <v>44091.19</v>
      </c>
      <c r="D23" s="7" t="n">
        <f aca="false">IF($C$41=0,0,C23/$C$41)</f>
        <v>0.121790025851162</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2249.5</v>
      </c>
    </row>
    <row r="28" customFormat="false" ht="15" hidden="false" customHeight="true" outlineLevel="0" collapsed="false">
      <c r="A28" s="8" t="s">
        <v>51</v>
      </c>
      <c r="B28" s="8" t="s">
        <v>52</v>
      </c>
      <c r="C28" s="9" t="n">
        <f aca="false">SUMIFS(Presupuesto!$K$5:$K$1288,Presupuesto!$M$5:$M$1288,"P",Presupuesto!$O$5:$O$1288,"16.05")</f>
        <v>12449.21</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0.00421102026073908</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0.00759624411796845</v>
      </c>
    </row>
    <row r="34" customFormat="false" ht="15" hidden="false" customHeight="true" outlineLevel="0" collapsed="false">
      <c r="A34" s="3" t="s">
        <v>63</v>
      </c>
      <c r="B34" s="3" t="s">
        <v>64</v>
      </c>
      <c r="C34" s="6" t="n">
        <f aca="false">Presupuesto!K1286</f>
        <v>4095.6</v>
      </c>
      <c r="D34" s="7" t="n">
        <f aca="false">IF($C$41=0,0,C34/$C$41)</f>
        <v>0.0113129908690607</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362026.28</v>
      </c>
    </row>
    <row r="43" customFormat="false" ht="15" hidden="false" customHeight="true" outlineLevel="0" collapsed="false">
      <c r="B43" s="8" t="s">
        <v>76</v>
      </c>
      <c r="C43" s="12" t="n">
        <f aca="false">ROUND(C41*D43,2)</f>
        <v>18101.31</v>
      </c>
      <c r="D43" s="13" t="n">
        <v>0.05</v>
      </c>
    </row>
    <row r="44" customFormat="false" ht="15" hidden="false" customHeight="true" outlineLevel="0" collapsed="false">
      <c r="B44" s="8" t="s">
        <v>77</v>
      </c>
      <c r="C44" s="12" t="n">
        <f aca="false">ROUND(C41*D44,2)</f>
        <v>18101.31</v>
      </c>
      <c r="D44" s="13" t="n">
        <v>0.05</v>
      </c>
    </row>
    <row r="45" customFormat="false" ht="15" hidden="false" customHeight="true" outlineLevel="0" collapsed="false">
      <c r="B45" s="3" t="s">
        <v>78</v>
      </c>
      <c r="C45" s="14" t="n">
        <f aca="false">C41+C43+C44</f>
        <v>398228.9</v>
      </c>
    </row>
    <row r="46" customFormat="false" ht="15" hidden="false" customHeight="true" outlineLevel="0" collapsed="false">
      <c r="B46" s="8" t="s">
        <v>79</v>
      </c>
      <c r="C46" s="12" t="n">
        <f aca="false">ROUND(C45*D46,2)</f>
        <v>39822.89</v>
      </c>
      <c r="D46" s="13" t="n">
        <v>0.1</v>
      </c>
    </row>
    <row r="47" customFormat="false" ht="15" hidden="false" customHeight="true" outlineLevel="0" collapsed="false">
      <c r="B47" s="10" t="s">
        <v>80</v>
      </c>
      <c r="C47" s="11" t="n">
        <f aca="false">C45+C46</f>
        <v>438051.79</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1030.8852440344</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24.39</v>
      </c>
      <c r="H537" s="25" t="n">
        <f aca="false">IF(COUNT(D537:G537)=0,0,D537*IF(E537="",1,E537)*IF(F537="",1,F537)*IF(G537="",1,G537))</f>
        <v>24.39</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24.39</v>
      </c>
      <c r="J540" s="28" t="n">
        <v>215</v>
      </c>
      <c r="K540" s="27" t="n">
        <f aca="false">ROUND(I540*J540,2)</f>
        <v>5243.85</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20576.15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539</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6</v>
      </c>
      <c r="H745" s="25" t="n">
        <f aca="false">IF(COUNT(D745:G745)=0,0,D745*IF(E745="",1,E745)*IF(F745="",1,F745)*IF(G745="",1,G745))</f>
        <v>6</v>
      </c>
      <c r="M745" s="21"/>
      <c r="N745" s="21"/>
      <c r="O745" s="21"/>
    </row>
    <row r="746" customFormat="false" ht="18.75" hidden="false" customHeight="true" outlineLevel="0" collapsed="false">
      <c r="H746" s="26"/>
      <c r="I746" s="27" t="n">
        <f aca="false">ROUND(SUM(H745:H745),2)</f>
        <v>6</v>
      </c>
      <c r="J746" s="28" t="n">
        <v>48</v>
      </c>
      <c r="K746" s="27" t="n">
        <f aca="false">ROUND(I746*J746,2)</f>
        <v>288</v>
      </c>
      <c r="L746" s="29" t="s">
        <v>138</v>
      </c>
      <c r="M746" s="21" t="s">
        <v>110</v>
      </c>
      <c r="N746" s="21" t="s">
        <v>41</v>
      </c>
      <c r="O746" s="21" t="s">
        <v>699</v>
      </c>
    </row>
    <row r="747" customFormat="false" ht="15" hidden="false" customHeight="true" outlineLevel="0" collapsed="false">
      <c r="A747" s="3" t="s">
        <v>705</v>
      </c>
      <c r="B747" s="3" t="s">
        <v>105</v>
      </c>
      <c r="C747" s="3" t="s">
        <v>706</v>
      </c>
      <c r="M747" s="21"/>
      <c r="N747" s="21"/>
      <c r="O747" s="21"/>
    </row>
    <row r="748" customFormat="false" ht="24" hidden="false" customHeight="true" outlineLevel="0" collapsed="false">
      <c r="C748" s="22" t="s">
        <v>707</v>
      </c>
      <c r="M748" s="21"/>
      <c r="N748" s="21"/>
      <c r="O748" s="21"/>
    </row>
    <row r="749" customFormat="false" ht="15" hidden="false" customHeight="true" outlineLevel="0" collapsed="false">
      <c r="C749" s="23" t="s">
        <v>708</v>
      </c>
      <c r="D749" s="24" t="n">
        <v>2</v>
      </c>
      <c r="H749" s="25" t="n">
        <f aca="false">IF(COUNT(D749:G749)=0,0,D749*IF(E749="",1,E749)*IF(F749="",1,F749)*IF(G749="",1,G749))</f>
        <v>2</v>
      </c>
      <c r="M749" s="21"/>
      <c r="N749" s="21"/>
      <c r="O749" s="21"/>
    </row>
    <row r="750" customFormat="false" ht="18.75" hidden="false" customHeight="true" outlineLevel="0" collapsed="false">
      <c r="H750" s="26"/>
      <c r="I750" s="27" t="n">
        <f aca="false">ROUND(SUM(H749:H749),2)</f>
        <v>2</v>
      </c>
      <c r="J750" s="28" t="n">
        <v>480</v>
      </c>
      <c r="K750" s="27" t="n">
        <f aca="false">ROUND(I750*J750,2)</f>
        <v>960</v>
      </c>
      <c r="L750" s="29" t="s">
        <v>138</v>
      </c>
      <c r="M750" s="21" t="s">
        <v>110</v>
      </c>
      <c r="N750" s="21" t="s">
        <v>41</v>
      </c>
      <c r="O750" s="21" t="s">
        <v>699</v>
      </c>
    </row>
    <row r="751" customFormat="false" ht="15" hidden="false" customHeight="true" outlineLevel="0" collapsed="false">
      <c r="A751" s="3" t="s">
        <v>709</v>
      </c>
      <c r="B751" s="3" t="s">
        <v>105</v>
      </c>
      <c r="C751" s="3" t="s">
        <v>710</v>
      </c>
      <c r="M751" s="21"/>
      <c r="N751" s="21"/>
      <c r="O751" s="21"/>
    </row>
    <row r="752" customFormat="false" ht="24" hidden="false" customHeight="true" outlineLevel="0" collapsed="false">
      <c r="C752" s="22" t="s">
        <v>711</v>
      </c>
      <c r="M752" s="21"/>
      <c r="N752" s="21"/>
      <c r="O752" s="21"/>
    </row>
    <row r="753" customFormat="false" ht="15" hidden="false" customHeight="true" outlineLevel="0" collapsed="false">
      <c r="C753" s="23" t="s">
        <v>712</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713</v>
      </c>
      <c r="B755" s="3" t="s">
        <v>551</v>
      </c>
      <c r="C755" s="3" t="s">
        <v>714</v>
      </c>
      <c r="M755" s="21"/>
      <c r="N755" s="21"/>
      <c r="O755" s="21"/>
    </row>
    <row r="756" customFormat="false" ht="156" hidden="false" customHeight="true" outlineLevel="0" collapsed="false">
      <c r="C756" s="22" t="s">
        <v>715</v>
      </c>
      <c r="M756" s="21"/>
      <c r="N756" s="21"/>
      <c r="O756" s="21"/>
    </row>
    <row r="757" customFormat="false" ht="15" hidden="false" customHeight="true" outlineLevel="0" collapsed="false">
      <c r="C757" s="23" t="s">
        <v>716</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717</v>
      </c>
      <c r="B759" s="3" t="s">
        <v>551</v>
      </c>
      <c r="C759" s="3" t="s">
        <v>718</v>
      </c>
      <c r="M759" s="21"/>
      <c r="N759" s="21"/>
      <c r="O759" s="21"/>
    </row>
    <row r="760" customFormat="false" ht="156" hidden="false" customHeight="true" outlineLevel="0" collapsed="false">
      <c r="C760" s="22" t="s">
        <v>719</v>
      </c>
      <c r="M760" s="21"/>
      <c r="N760" s="21"/>
      <c r="O760" s="21"/>
    </row>
    <row r="761" customFormat="false" ht="15" hidden="false" customHeight="true" outlineLevel="0" collapsed="false">
      <c r="C761" s="23" t="s">
        <v>720</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721</v>
      </c>
      <c r="B763" s="3" t="s">
        <v>543</v>
      </c>
      <c r="C763" s="3" t="s">
        <v>722</v>
      </c>
      <c r="M763" s="21"/>
      <c r="N763" s="21"/>
      <c r="O763" s="21"/>
    </row>
    <row r="764" customFormat="false" ht="96" hidden="false" customHeight="true" outlineLevel="0" collapsed="false">
      <c r="C764" s="22" t="s">
        <v>723</v>
      </c>
      <c r="M764" s="21"/>
      <c r="N764" s="21"/>
      <c r="O764" s="21"/>
    </row>
    <row r="765" customFormat="false" ht="15" hidden="false" customHeight="true" outlineLevel="0" collapsed="false">
      <c r="C765" s="23" t="s">
        <v>724</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725</v>
      </c>
      <c r="C767" s="3" t="s">
        <v>726</v>
      </c>
      <c r="M767" s="21" t="s">
        <v>194</v>
      </c>
      <c r="N767" s="21" t="s">
        <v>41</v>
      </c>
      <c r="O767" s="21" t="s">
        <v>725</v>
      </c>
    </row>
    <row r="768" customFormat="false" ht="15" hidden="false" customHeight="true" outlineLevel="0" collapsed="false">
      <c r="A768" s="3" t="s">
        <v>727</v>
      </c>
      <c r="B768" s="3" t="s">
        <v>551</v>
      </c>
      <c r="C768" s="3" t="s">
        <v>728</v>
      </c>
      <c r="M768" s="21"/>
      <c r="N768" s="21"/>
      <c r="O768" s="21"/>
    </row>
    <row r="769" customFormat="false" ht="36" hidden="false" customHeight="true" outlineLevel="0" collapsed="false">
      <c r="C769" s="22" t="s">
        <v>729</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725</v>
      </c>
    </row>
    <row r="772" customFormat="false" ht="15" hidden="false" customHeight="true" outlineLevel="0" collapsed="false">
      <c r="A772" s="3" t="s">
        <v>730</v>
      </c>
      <c r="B772" s="3" t="s">
        <v>551</v>
      </c>
      <c r="C772" s="3" t="s">
        <v>731</v>
      </c>
      <c r="M772" s="21"/>
      <c r="N772" s="21"/>
      <c r="O772" s="21"/>
    </row>
    <row r="773" customFormat="false" ht="60" hidden="false" customHeight="true" outlineLevel="0" collapsed="false">
      <c r="C773" s="22" t="s">
        <v>732</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725</v>
      </c>
    </row>
    <row r="776" customFormat="false" ht="15" hidden="false" customHeight="true" outlineLevel="0" collapsed="false">
      <c r="A776" s="3" t="s">
        <v>733</v>
      </c>
      <c r="B776" s="3" t="s">
        <v>543</v>
      </c>
      <c r="C776" s="3" t="s">
        <v>734</v>
      </c>
      <c r="M776" s="21"/>
      <c r="N776" s="21"/>
      <c r="O776" s="21"/>
    </row>
    <row r="777" customFormat="false" ht="48" hidden="false" customHeight="true" outlineLevel="0" collapsed="false">
      <c r="C777" s="22" t="s">
        <v>735</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725</v>
      </c>
    </row>
    <row r="780" customFormat="false" ht="15" hidden="false" customHeight="true" outlineLevel="0" collapsed="false">
      <c r="A780" s="3" t="s">
        <v>736</v>
      </c>
      <c r="B780" s="3" t="s">
        <v>543</v>
      </c>
      <c r="C780" s="3" t="s">
        <v>737</v>
      </c>
      <c r="M780" s="21"/>
      <c r="N780" s="21"/>
      <c r="O780" s="21"/>
    </row>
    <row r="781" customFormat="false" ht="48" hidden="false" customHeight="true" outlineLevel="0" collapsed="false">
      <c r="C781" s="22" t="s">
        <v>738</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725</v>
      </c>
    </row>
    <row r="784" customFormat="false" ht="15" hidden="false" customHeight="true" outlineLevel="0" collapsed="false">
      <c r="A784" s="3" t="s">
        <v>739</v>
      </c>
      <c r="B784" s="3" t="s">
        <v>543</v>
      </c>
      <c r="C784" s="3" t="s">
        <v>740</v>
      </c>
      <c r="M784" s="21"/>
      <c r="N784" s="21"/>
      <c r="O784" s="21"/>
    </row>
    <row r="785" customFormat="false" ht="36" hidden="false" customHeight="true" outlineLevel="0" collapsed="false">
      <c r="C785" s="22" t="s">
        <v>741</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725</v>
      </c>
    </row>
    <row r="788" customFormat="false" ht="15" hidden="false" customHeight="true" outlineLevel="0" collapsed="false">
      <c r="A788" s="3" t="s">
        <v>742</v>
      </c>
      <c r="B788" s="3" t="s">
        <v>543</v>
      </c>
      <c r="C788" s="3" t="s">
        <v>743</v>
      </c>
      <c r="M788" s="21"/>
      <c r="N788" s="21"/>
      <c r="O788" s="21"/>
    </row>
    <row r="789" customFormat="false" ht="216" hidden="false" customHeight="true" outlineLevel="0" collapsed="false">
      <c r="C789" s="22" t="s">
        <v>744</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725</v>
      </c>
    </row>
    <row r="792" customFormat="false" ht="15" hidden="false" customHeight="true" outlineLevel="0" collapsed="false">
      <c r="A792" s="3" t="s">
        <v>745</v>
      </c>
      <c r="B792" s="3" t="s">
        <v>551</v>
      </c>
      <c r="C792" s="3" t="s">
        <v>746</v>
      </c>
      <c r="M792" s="21"/>
      <c r="N792" s="21"/>
      <c r="O792" s="21"/>
    </row>
    <row r="793" customFormat="false" ht="48" hidden="false" customHeight="true" outlineLevel="0" collapsed="false">
      <c r="C793" s="22" t="s">
        <v>747</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725</v>
      </c>
    </row>
    <row r="796" customFormat="false" ht="15" hidden="false" customHeight="true" outlineLevel="0" collapsed="false">
      <c r="A796" s="3" t="s">
        <v>748</v>
      </c>
      <c r="B796" s="3" t="s">
        <v>105</v>
      </c>
      <c r="C796" s="3" t="s">
        <v>749</v>
      </c>
      <c r="M796" s="21"/>
      <c r="N796" s="21"/>
      <c r="O796" s="21"/>
    </row>
    <row r="797" customFormat="false" ht="36" hidden="false" customHeight="true" outlineLevel="0" collapsed="false">
      <c r="C797" s="22" t="s">
        <v>750</v>
      </c>
      <c r="M797" s="21"/>
      <c r="N797" s="21"/>
      <c r="O797" s="21"/>
    </row>
    <row r="798" customFormat="false" ht="15" hidden="false" customHeight="true" outlineLevel="0" collapsed="false">
      <c r="C798" s="23" t="s">
        <v>751</v>
      </c>
      <c r="D798" s="24" t="n">
        <v>1</v>
      </c>
      <c r="H798" s="25" t="n">
        <f aca="false">IF(COUNT(D798:G798)=0,0,D798*IF(E798="",1,E798)*IF(F798="",1,F798)*IF(G798="",1,G798))</f>
        <v>1</v>
      </c>
      <c r="M798" s="21"/>
      <c r="N798" s="21"/>
      <c r="O798" s="21"/>
    </row>
    <row r="799" customFormat="false" ht="15" hidden="false" customHeight="true" outlineLevel="0" collapsed="false">
      <c r="C799" s="23" t="s">
        <v>752</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725</v>
      </c>
    </row>
    <row r="801" customFormat="false" ht="15" hidden="false" customHeight="true" outlineLevel="0" collapsed="false">
      <c r="A801" s="3" t="s">
        <v>753</v>
      </c>
      <c r="B801" s="3" t="s">
        <v>551</v>
      </c>
      <c r="C801" s="3" t="s">
        <v>754</v>
      </c>
      <c r="M801" s="21"/>
      <c r="N801" s="21"/>
      <c r="O801" s="21"/>
    </row>
    <row r="802" customFormat="false" ht="48" hidden="false" customHeight="true" outlineLevel="0" collapsed="false">
      <c r="C802" s="22" t="s">
        <v>755</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725</v>
      </c>
    </row>
    <row r="805" customFormat="false" ht="15" hidden="false" customHeight="true" outlineLevel="0" collapsed="false">
      <c r="A805" s="3" t="s">
        <v>756</v>
      </c>
      <c r="B805" s="3" t="s">
        <v>105</v>
      </c>
      <c r="C805" s="3" t="s">
        <v>757</v>
      </c>
      <c r="M805" s="21"/>
      <c r="N805" s="21"/>
      <c r="O805" s="21"/>
    </row>
    <row r="806" customFormat="false" ht="48" hidden="false" customHeight="true" outlineLevel="0" collapsed="false">
      <c r="C806" s="22" t="s">
        <v>758</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725</v>
      </c>
    </row>
    <row r="809" customFormat="false" ht="15" hidden="false" customHeight="true" outlineLevel="0" collapsed="false">
      <c r="A809" s="3" t="s">
        <v>759</v>
      </c>
      <c r="B809" s="3" t="s">
        <v>551</v>
      </c>
      <c r="C809" s="3" t="s">
        <v>760</v>
      </c>
      <c r="M809" s="21"/>
      <c r="N809" s="21"/>
      <c r="O809" s="21"/>
    </row>
    <row r="810" customFormat="false" ht="48" hidden="false" customHeight="true" outlineLevel="0" collapsed="false">
      <c r="C810" s="22" t="s">
        <v>761</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725</v>
      </c>
    </row>
    <row r="813" customFormat="false" ht="15" hidden="false" customHeight="true" outlineLevel="0" collapsed="false">
      <c r="A813" s="3" t="s">
        <v>762</v>
      </c>
      <c r="B813" s="3" t="s">
        <v>551</v>
      </c>
      <c r="C813" s="3" t="s">
        <v>763</v>
      </c>
      <c r="M813" s="21"/>
      <c r="N813" s="21"/>
      <c r="O813" s="21"/>
    </row>
    <row r="814" customFormat="false" ht="48" hidden="false" customHeight="true" outlineLevel="0" collapsed="false">
      <c r="C814" s="22" t="s">
        <v>764</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725</v>
      </c>
    </row>
    <row r="817" customFormat="false" ht="15" hidden="false" customHeight="true" outlineLevel="0" collapsed="false">
      <c r="A817" s="3" t="s">
        <v>765</v>
      </c>
      <c r="B817" s="3" t="s">
        <v>551</v>
      </c>
      <c r="C817" s="3" t="s">
        <v>766</v>
      </c>
      <c r="M817" s="21"/>
      <c r="N817" s="21"/>
      <c r="O817" s="21"/>
    </row>
    <row r="818" customFormat="false" ht="36" hidden="false" customHeight="true" outlineLevel="0" collapsed="false">
      <c r="C818" s="22" t="s">
        <v>767</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725</v>
      </c>
    </row>
    <row r="821" customFormat="false" ht="15" hidden="false" customHeight="true" outlineLevel="0" collapsed="false">
      <c r="A821" s="3" t="s">
        <v>768</v>
      </c>
      <c r="B821" s="3" t="s">
        <v>551</v>
      </c>
      <c r="C821" s="3" t="s">
        <v>769</v>
      </c>
      <c r="M821" s="21"/>
      <c r="N821" s="21"/>
      <c r="O821" s="21"/>
    </row>
    <row r="822" customFormat="false" ht="36" hidden="false" customHeight="true" outlineLevel="0" collapsed="false">
      <c r="C822" s="22" t="s">
        <v>770</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725</v>
      </c>
    </row>
    <row r="825" customFormat="false" ht="15" hidden="false" customHeight="true" outlineLevel="0" collapsed="false">
      <c r="A825" s="3" t="s">
        <v>771</v>
      </c>
      <c r="B825" s="3" t="s">
        <v>551</v>
      </c>
      <c r="C825" s="3" t="s">
        <v>772</v>
      </c>
      <c r="M825" s="21"/>
      <c r="N825" s="21"/>
      <c r="O825" s="21"/>
    </row>
    <row r="826" customFormat="false" ht="36" hidden="false" customHeight="true" outlineLevel="0" collapsed="false">
      <c r="C826" s="22" t="s">
        <v>773</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725</v>
      </c>
    </row>
    <row r="829" customFormat="false" ht="15" hidden="false" customHeight="true" outlineLevel="0" collapsed="false">
      <c r="A829" s="3" t="s">
        <v>774</v>
      </c>
      <c r="B829" s="3" t="s">
        <v>551</v>
      </c>
      <c r="C829" s="3" t="s">
        <v>775</v>
      </c>
      <c r="M829" s="21"/>
      <c r="N829" s="21"/>
      <c r="O829" s="21"/>
    </row>
    <row r="830" customFormat="false" ht="36" hidden="false" customHeight="true" outlineLevel="0" collapsed="false">
      <c r="C830" s="22" t="s">
        <v>776</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725</v>
      </c>
    </row>
    <row r="833" customFormat="false" ht="15" hidden="false" customHeight="true" outlineLevel="0" collapsed="false">
      <c r="A833" s="3" t="s">
        <v>777</v>
      </c>
      <c r="B833" s="3" t="s">
        <v>551</v>
      </c>
      <c r="C833" s="3" t="s">
        <v>778</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725</v>
      </c>
    </row>
    <row r="837" customFormat="false" ht="15" hidden="false" customHeight="true" outlineLevel="0" collapsed="false">
      <c r="A837" s="3" t="s">
        <v>779</v>
      </c>
      <c r="B837" s="3" t="s">
        <v>543</v>
      </c>
      <c r="C837" s="3" t="s">
        <v>780</v>
      </c>
      <c r="M837" s="21"/>
      <c r="N837" s="21"/>
      <c r="O837" s="21"/>
    </row>
    <row r="838" customFormat="false" ht="72" hidden="false" customHeight="true" outlineLevel="0" collapsed="false">
      <c r="C838" s="22" t="s">
        <v>781</v>
      </c>
      <c r="M838" s="21"/>
      <c r="N838" s="21"/>
      <c r="O838" s="21"/>
    </row>
    <row r="839" customFormat="false" ht="15" hidden="false" customHeight="true" outlineLevel="0" collapsed="false">
      <c r="C839" s="23" t="s">
        <v>782</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725</v>
      </c>
    </row>
    <row r="841" customFormat="false" ht="15" hidden="false" customHeight="true" outlineLevel="0" collapsed="false">
      <c r="A841" s="3" t="s">
        <v>783</v>
      </c>
      <c r="B841" s="3" t="s">
        <v>543</v>
      </c>
      <c r="C841" s="3" t="s">
        <v>784</v>
      </c>
      <c r="M841" s="21"/>
      <c r="N841" s="21"/>
      <c r="O841" s="21"/>
    </row>
    <row r="842" customFormat="false" ht="72" hidden="false" customHeight="true" outlineLevel="0" collapsed="false">
      <c r="C842" s="22" t="s">
        <v>785</v>
      </c>
      <c r="M842" s="21"/>
      <c r="N842" s="21"/>
      <c r="O842" s="21"/>
    </row>
    <row r="843" customFormat="false" ht="15" hidden="false" customHeight="true" outlineLevel="0" collapsed="false">
      <c r="C843" s="23" t="s">
        <v>786</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725</v>
      </c>
    </row>
    <row r="845" customFormat="false" ht="15" hidden="false" customHeight="true" outlineLevel="0" collapsed="false">
      <c r="A845" s="3" t="s">
        <v>787</v>
      </c>
      <c r="B845" s="3" t="s">
        <v>543</v>
      </c>
      <c r="C845" s="3" t="s">
        <v>788</v>
      </c>
      <c r="M845" s="21"/>
      <c r="N845" s="21"/>
      <c r="O845" s="21"/>
    </row>
    <row r="846" customFormat="false" ht="72" hidden="false" customHeight="true" outlineLevel="0" collapsed="false">
      <c r="C846" s="22" t="s">
        <v>789</v>
      </c>
      <c r="M846" s="21"/>
      <c r="N846" s="21"/>
      <c r="O846" s="21"/>
    </row>
    <row r="847" customFormat="false" ht="15" hidden="false" customHeight="true" outlineLevel="0" collapsed="false">
      <c r="C847" s="23" t="s">
        <v>790</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725</v>
      </c>
    </row>
    <row r="849" customFormat="false" ht="15" hidden="false" customHeight="true" outlineLevel="0" collapsed="false">
      <c r="A849" s="3" t="s">
        <v>791</v>
      </c>
      <c r="B849" s="3" t="s">
        <v>543</v>
      </c>
      <c r="C849" s="3" t="s">
        <v>792</v>
      </c>
      <c r="M849" s="21"/>
      <c r="N849" s="21"/>
      <c r="O849" s="21"/>
    </row>
    <row r="850" customFormat="false" ht="60" hidden="false" customHeight="true" outlineLevel="0" collapsed="false">
      <c r="C850" s="22" t="s">
        <v>793</v>
      </c>
      <c r="M850" s="21"/>
      <c r="N850" s="21"/>
      <c r="O850" s="21"/>
    </row>
    <row r="851" customFormat="false" ht="15" hidden="false" customHeight="true" outlineLevel="0" collapsed="false">
      <c r="C851" s="23" t="s">
        <v>794</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725</v>
      </c>
    </row>
    <row r="853" customFormat="false" ht="15" hidden="false" customHeight="true" outlineLevel="0" collapsed="false">
      <c r="A853" s="3" t="s">
        <v>795</v>
      </c>
      <c r="B853" s="3" t="s">
        <v>543</v>
      </c>
      <c r="C853" s="3" t="s">
        <v>796</v>
      </c>
      <c r="M853" s="21"/>
      <c r="N853" s="21"/>
      <c r="O853" s="21"/>
    </row>
    <row r="854" customFormat="false" ht="60" hidden="false" customHeight="true" outlineLevel="0" collapsed="false">
      <c r="C854" s="22" t="s">
        <v>797</v>
      </c>
      <c r="M854" s="21"/>
      <c r="N854" s="21"/>
      <c r="O854" s="21"/>
    </row>
    <row r="855" customFormat="false" ht="15" hidden="false" customHeight="true" outlineLevel="0" collapsed="false">
      <c r="C855" s="23" t="s">
        <v>798</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725</v>
      </c>
    </row>
    <row r="857" customFormat="false" ht="15" hidden="false" customHeight="true" outlineLevel="0" collapsed="false">
      <c r="A857" s="3" t="s">
        <v>799</v>
      </c>
      <c r="B857" s="3" t="s">
        <v>543</v>
      </c>
      <c r="C857" s="3" t="s">
        <v>800</v>
      </c>
      <c r="M857" s="21"/>
      <c r="N857" s="21"/>
      <c r="O857" s="21"/>
    </row>
    <row r="858" customFormat="false" ht="36" hidden="false" customHeight="true" outlineLevel="0" collapsed="false">
      <c r="C858" s="22" t="s">
        <v>801</v>
      </c>
      <c r="M858" s="21"/>
      <c r="N858" s="21"/>
      <c r="O858" s="21"/>
    </row>
    <row r="859" customFormat="false" ht="15" hidden="false" customHeight="true" outlineLevel="0" collapsed="false">
      <c r="C859" s="23" t="s">
        <v>802</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725</v>
      </c>
    </row>
    <row r="861" customFormat="false" ht="15" hidden="false" customHeight="true" outlineLevel="0" collapsed="false">
      <c r="A861" s="3" t="s">
        <v>803</v>
      </c>
      <c r="B861" s="3" t="s">
        <v>543</v>
      </c>
      <c r="C861" s="3" t="s">
        <v>804</v>
      </c>
      <c r="M861" s="21"/>
      <c r="N861" s="21"/>
      <c r="O861" s="21"/>
    </row>
    <row r="862" customFormat="false" ht="60" hidden="false" customHeight="true" outlineLevel="0" collapsed="false">
      <c r="C862" s="22" t="s">
        <v>805</v>
      </c>
      <c r="M862" s="21"/>
      <c r="N862" s="21"/>
      <c r="O862" s="21"/>
    </row>
    <row r="863" customFormat="false" ht="15" hidden="false" customHeight="true" outlineLevel="0" collapsed="false">
      <c r="C863" s="23" t="s">
        <v>806</v>
      </c>
      <c r="D863" s="24" t="n">
        <v>3</v>
      </c>
      <c r="H863" s="25" t="n">
        <f aca="false">IF(COUNT(D863:G863)=0,0,D863*IF(E863="",1,E863)*IF(F863="",1,F863)*IF(G863="",1,G863))</f>
        <v>3</v>
      </c>
      <c r="M863" s="21"/>
      <c r="N863" s="21"/>
      <c r="O863" s="21"/>
    </row>
    <row r="864" customFormat="false" ht="15" hidden="false" customHeight="true" outlineLevel="0" collapsed="false">
      <c r="H864" s="26"/>
      <c r="I864" s="27" t="n">
        <f aca="false">ROUND(SUM(H863:H863),2)</f>
        <v>3</v>
      </c>
      <c r="J864" s="28" t="n">
        <v>9.54</v>
      </c>
      <c r="K864" s="27" t="n">
        <f aca="false">ROUND(I864*J864,2)</f>
        <v>28.62</v>
      </c>
      <c r="L864" s="29" t="s">
        <v>109</v>
      </c>
      <c r="M864" s="21" t="s">
        <v>110</v>
      </c>
      <c r="N864" s="21" t="s">
        <v>41</v>
      </c>
      <c r="O864" s="21" t="s">
        <v>725</v>
      </c>
    </row>
    <row r="865" customFormat="false" ht="15" hidden="false" customHeight="true" outlineLevel="0" collapsed="false">
      <c r="A865" s="3" t="s">
        <v>807</v>
      </c>
      <c r="B865" s="3" t="s">
        <v>543</v>
      </c>
      <c r="C865" s="3" t="s">
        <v>808</v>
      </c>
      <c r="M865" s="21"/>
      <c r="N865" s="21"/>
      <c r="O865" s="21"/>
    </row>
    <row r="866" customFormat="false" ht="48" hidden="false" customHeight="true" outlineLevel="0" collapsed="false">
      <c r="C866" s="22" t="s">
        <v>809</v>
      </c>
      <c r="M866" s="21"/>
      <c r="N866" s="21"/>
      <c r="O866" s="21"/>
    </row>
    <row r="867" customFormat="false" ht="15" hidden="false" customHeight="true" outlineLevel="0" collapsed="false">
      <c r="C867" s="23" t="s">
        <v>810</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725</v>
      </c>
    </row>
    <row r="869" customFormat="false" ht="15" hidden="false" customHeight="true" outlineLevel="0" collapsed="false">
      <c r="A869" s="3" t="s">
        <v>811</v>
      </c>
      <c r="B869" s="3" t="s">
        <v>543</v>
      </c>
      <c r="C869" s="3" t="s">
        <v>812</v>
      </c>
      <c r="M869" s="21"/>
      <c r="N869" s="21"/>
      <c r="O869" s="21"/>
    </row>
    <row r="870" customFormat="false" ht="48" hidden="false" customHeight="true" outlineLevel="0" collapsed="false">
      <c r="C870" s="22" t="s">
        <v>813</v>
      </c>
      <c r="M870" s="21"/>
      <c r="N870" s="21"/>
      <c r="O870" s="21"/>
    </row>
    <row r="871" customFormat="false" ht="15" hidden="false" customHeight="true" outlineLevel="0" collapsed="false">
      <c r="C871" s="23" t="s">
        <v>814</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725</v>
      </c>
    </row>
    <row r="873" customFormat="false" ht="15" hidden="false" customHeight="true" outlineLevel="0" collapsed="false">
      <c r="A873" s="3" t="s">
        <v>815</v>
      </c>
      <c r="B873" s="3" t="s">
        <v>543</v>
      </c>
      <c r="C873" s="3" t="s">
        <v>816</v>
      </c>
      <c r="M873" s="21"/>
      <c r="N873" s="21"/>
      <c r="O873" s="21"/>
    </row>
    <row r="874" customFormat="false" ht="48" hidden="false" customHeight="true" outlineLevel="0" collapsed="false">
      <c r="C874" s="22" t="s">
        <v>817</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725</v>
      </c>
    </row>
    <row r="877" customFormat="false" ht="15" hidden="false" customHeight="true" outlineLevel="0" collapsed="false">
      <c r="A877" s="3" t="s">
        <v>818</v>
      </c>
      <c r="B877" s="3" t="s">
        <v>543</v>
      </c>
      <c r="C877" s="3" t="s">
        <v>819</v>
      </c>
      <c r="M877" s="21"/>
      <c r="N877" s="21"/>
      <c r="O877" s="21"/>
    </row>
    <row r="878" customFormat="false" ht="36" hidden="false" customHeight="true" outlineLevel="0" collapsed="false">
      <c r="C878" s="22" t="s">
        <v>820</v>
      </c>
      <c r="M878" s="21"/>
      <c r="N878" s="21"/>
      <c r="O878" s="21"/>
    </row>
    <row r="879" customFormat="false" ht="15" hidden="false" customHeight="true" outlineLevel="0" collapsed="false">
      <c r="C879" s="23" t="s">
        <v>821</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725</v>
      </c>
    </row>
    <row r="881" customFormat="false" ht="15" hidden="false" customHeight="true" outlineLevel="0" collapsed="false">
      <c r="A881" s="3" t="s">
        <v>822</v>
      </c>
      <c r="B881" s="3" t="s">
        <v>543</v>
      </c>
      <c r="C881" s="3" t="s">
        <v>823</v>
      </c>
      <c r="M881" s="21"/>
      <c r="N881" s="21"/>
      <c r="O881" s="21"/>
    </row>
    <row r="882" customFormat="false" ht="24" hidden="false" customHeight="true" outlineLevel="0" collapsed="false">
      <c r="C882" s="22" t="s">
        <v>824</v>
      </c>
      <c r="M882" s="21"/>
      <c r="N882" s="21"/>
      <c r="O882" s="21"/>
    </row>
    <row r="883" customFormat="false" ht="15" hidden="false" customHeight="true" outlineLevel="0" collapsed="false">
      <c r="C883" s="23" t="s">
        <v>825</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725</v>
      </c>
    </row>
    <row r="885" customFormat="false" ht="15" hidden="false" customHeight="true" outlineLevel="0" collapsed="false">
      <c r="A885" s="3" t="s">
        <v>826</v>
      </c>
      <c r="B885" s="3" t="s">
        <v>543</v>
      </c>
      <c r="C885" s="3" t="s">
        <v>827</v>
      </c>
      <c r="M885" s="21"/>
      <c r="N885" s="21"/>
      <c r="O885" s="21"/>
    </row>
    <row r="886" customFormat="false" ht="12" hidden="false" customHeight="true" outlineLevel="0" collapsed="false">
      <c r="C886" s="22" t="s">
        <v>828</v>
      </c>
      <c r="M886" s="21"/>
      <c r="N886" s="21"/>
      <c r="O886" s="21"/>
    </row>
    <row r="887" customFormat="false" ht="15" hidden="false" customHeight="true" outlineLevel="0" collapsed="false">
      <c r="C887" s="23" t="s">
        <v>829</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725</v>
      </c>
    </row>
    <row r="889" customFormat="false" ht="15" hidden="false" customHeight="true" outlineLevel="0" collapsed="false">
      <c r="A889" s="3" t="s">
        <v>830</v>
      </c>
      <c r="B889" s="3" t="s">
        <v>543</v>
      </c>
      <c r="C889" s="3" t="s">
        <v>831</v>
      </c>
      <c r="M889" s="21"/>
      <c r="N889" s="21"/>
      <c r="O889" s="21"/>
    </row>
    <row r="890" customFormat="false" ht="60" hidden="false" customHeight="true" outlineLevel="0" collapsed="false">
      <c r="C890" s="22" t="s">
        <v>832</v>
      </c>
      <c r="M890" s="21"/>
      <c r="N890" s="21"/>
      <c r="O890" s="21"/>
    </row>
    <row r="891" customFormat="false" ht="15" hidden="false" customHeight="true" outlineLevel="0" collapsed="false">
      <c r="C891" s="23" t="s">
        <v>786</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725</v>
      </c>
    </row>
    <row r="893" customFormat="false" ht="15" hidden="false" customHeight="true" outlineLevel="0" collapsed="false">
      <c r="A893" s="3" t="s">
        <v>833</v>
      </c>
      <c r="B893" s="3" t="s">
        <v>543</v>
      </c>
      <c r="C893" s="3" t="s">
        <v>834</v>
      </c>
      <c r="M893" s="21"/>
      <c r="N893" s="21"/>
      <c r="O893" s="21"/>
    </row>
    <row r="894" customFormat="false" ht="36" hidden="false" customHeight="true" outlineLevel="0" collapsed="false">
      <c r="C894" s="22" t="s">
        <v>835</v>
      </c>
      <c r="M894" s="21"/>
      <c r="N894" s="21"/>
      <c r="O894" s="21"/>
    </row>
    <row r="895" customFormat="false" ht="15" hidden="false" customHeight="true" outlineLevel="0" collapsed="false">
      <c r="C895" s="23" t="s">
        <v>810</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725</v>
      </c>
    </row>
    <row r="897" customFormat="false" ht="15" hidden="false" customHeight="true" outlineLevel="0" collapsed="false">
      <c r="A897" s="3" t="s">
        <v>836</v>
      </c>
      <c r="B897" s="3" t="s">
        <v>543</v>
      </c>
      <c r="C897" s="3" t="s">
        <v>837</v>
      </c>
      <c r="M897" s="21"/>
      <c r="N897" s="21"/>
      <c r="O897" s="21"/>
    </row>
    <row r="898" customFormat="false" ht="36" hidden="false" customHeight="true" outlineLevel="0" collapsed="false">
      <c r="C898" s="22" t="s">
        <v>838</v>
      </c>
      <c r="M898" s="21"/>
      <c r="N898" s="21"/>
      <c r="O898" s="21"/>
    </row>
    <row r="899" customFormat="false" ht="15" hidden="false" customHeight="true" outlineLevel="0" collapsed="false">
      <c r="C899" s="23" t="s">
        <v>839</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725</v>
      </c>
    </row>
    <row r="901" customFormat="false" ht="15" hidden="false" customHeight="true" outlineLevel="0" collapsed="false">
      <c r="A901" s="3" t="s">
        <v>840</v>
      </c>
      <c r="B901" s="3" t="s">
        <v>543</v>
      </c>
      <c r="C901" s="3" t="s">
        <v>841</v>
      </c>
      <c r="M901" s="21"/>
      <c r="N901" s="21"/>
      <c r="O901" s="21"/>
    </row>
    <row r="902" customFormat="false" ht="36" hidden="false" customHeight="true" outlineLevel="0" collapsed="false">
      <c r="C902" s="22" t="s">
        <v>842</v>
      </c>
      <c r="M902" s="21"/>
      <c r="N902" s="21"/>
      <c r="O902" s="21"/>
    </row>
    <row r="903" customFormat="false" ht="15" hidden="false" customHeight="true" outlineLevel="0" collapsed="false">
      <c r="C903" s="23" t="s">
        <v>798</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725</v>
      </c>
    </row>
    <row r="905" customFormat="false" ht="15" hidden="false" customHeight="true" outlineLevel="0" collapsed="false">
      <c r="A905" s="3" t="s">
        <v>843</v>
      </c>
      <c r="B905" s="3" t="s">
        <v>543</v>
      </c>
      <c r="C905" s="3" t="s">
        <v>844</v>
      </c>
      <c r="M905" s="21"/>
      <c r="N905" s="21"/>
      <c r="O905" s="21"/>
    </row>
    <row r="906" customFormat="false" ht="36" hidden="false" customHeight="true" outlineLevel="0" collapsed="false">
      <c r="C906" s="22" t="s">
        <v>845</v>
      </c>
      <c r="M906" s="21"/>
      <c r="N906" s="21"/>
      <c r="O906" s="21"/>
    </row>
    <row r="907" customFormat="false" ht="15" hidden="false" customHeight="true" outlineLevel="0" collapsed="false">
      <c r="C907" s="23" t="s">
        <v>790</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725</v>
      </c>
    </row>
    <row r="909" customFormat="false" ht="15" hidden="false" customHeight="true" outlineLevel="0" collapsed="false">
      <c r="A909" s="3" t="s">
        <v>846</v>
      </c>
      <c r="B909" s="3" t="s">
        <v>543</v>
      </c>
      <c r="C909" s="3" t="s">
        <v>847</v>
      </c>
      <c r="M909" s="21"/>
      <c r="N909" s="21"/>
      <c r="O909" s="21"/>
    </row>
    <row r="910" customFormat="false" ht="24" hidden="false" customHeight="true" outlineLevel="0" collapsed="false">
      <c r="C910" s="22" t="s">
        <v>848</v>
      </c>
      <c r="M910" s="21"/>
      <c r="N910" s="21"/>
      <c r="O910" s="21"/>
    </row>
    <row r="911" customFormat="false" ht="15" hidden="false" customHeight="true" outlineLevel="0" collapsed="false">
      <c r="C911" s="23" t="s">
        <v>849</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725</v>
      </c>
    </row>
    <row r="913" customFormat="false" ht="15" hidden="false" customHeight="true" outlineLevel="0" collapsed="false">
      <c r="A913" s="3" t="s">
        <v>850</v>
      </c>
      <c r="B913" s="3" t="s">
        <v>105</v>
      </c>
      <c r="C913" s="3" t="s">
        <v>851</v>
      </c>
      <c r="M913" s="21"/>
      <c r="N913" s="21"/>
      <c r="O913" s="21"/>
    </row>
    <row r="914" customFormat="false" ht="36" hidden="false" customHeight="true" outlineLevel="0" collapsed="false">
      <c r="C914" s="22" t="s">
        <v>852</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725</v>
      </c>
    </row>
    <row r="917" customFormat="false" ht="15" hidden="false" customHeight="true" outlineLevel="0" collapsed="false">
      <c r="A917" s="3" t="s">
        <v>853</v>
      </c>
      <c r="B917" s="3" t="s">
        <v>105</v>
      </c>
      <c r="C917" s="3" t="s">
        <v>854</v>
      </c>
      <c r="M917" s="21"/>
      <c r="N917" s="21"/>
      <c r="O917" s="21"/>
    </row>
    <row r="918" customFormat="false" ht="24" hidden="false" customHeight="true" outlineLevel="0" collapsed="false">
      <c r="C918" s="22" t="s">
        <v>855</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856</v>
      </c>
      <c r="M920" s="21" t="s">
        <v>110</v>
      </c>
      <c r="N920" s="21" t="s">
        <v>41</v>
      </c>
      <c r="O920" s="21" t="s">
        <v>725</v>
      </c>
    </row>
    <row r="921" customFormat="false" ht="15" hidden="false" customHeight="true" outlineLevel="0" collapsed="false">
      <c r="A921" s="3" t="s">
        <v>857</v>
      </c>
      <c r="C921" s="3" t="s">
        <v>858</v>
      </c>
      <c r="M921" s="21" t="s">
        <v>194</v>
      </c>
      <c r="N921" s="21" t="s">
        <v>41</v>
      </c>
      <c r="O921" s="21" t="s">
        <v>857</v>
      </c>
    </row>
    <row r="922" customFormat="false" ht="15" hidden="false" customHeight="true" outlineLevel="0" collapsed="false">
      <c r="A922" s="3" t="s">
        <v>859</v>
      </c>
      <c r="B922" s="3" t="s">
        <v>543</v>
      </c>
      <c r="C922" s="3" t="s">
        <v>860</v>
      </c>
      <c r="M922" s="21"/>
      <c r="N922" s="21"/>
      <c r="O922" s="21"/>
    </row>
    <row r="923" customFormat="false" ht="36" hidden="false" customHeight="true" outlineLevel="0" collapsed="false">
      <c r="C923" s="22" t="s">
        <v>861</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857</v>
      </c>
    </row>
    <row r="926" customFormat="false" ht="15" hidden="false" customHeight="true" outlineLevel="0" collapsed="false">
      <c r="A926" s="3" t="s">
        <v>862</v>
      </c>
      <c r="B926" s="3" t="s">
        <v>543</v>
      </c>
      <c r="C926" s="3" t="s">
        <v>863</v>
      </c>
      <c r="M926" s="21"/>
      <c r="N926" s="21"/>
      <c r="O926" s="21"/>
    </row>
    <row r="927" customFormat="false" ht="24" hidden="false" customHeight="true" outlineLevel="0" collapsed="false">
      <c r="C927" s="22" t="s">
        <v>864</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857</v>
      </c>
    </row>
    <row r="930" customFormat="false" ht="15" hidden="false" customHeight="true" outlineLevel="0" collapsed="false">
      <c r="A930" s="3" t="s">
        <v>865</v>
      </c>
      <c r="B930" s="3" t="s">
        <v>543</v>
      </c>
      <c r="C930" s="3" t="s">
        <v>866</v>
      </c>
      <c r="M930" s="21"/>
      <c r="N930" s="21"/>
      <c r="O930" s="21"/>
    </row>
    <row r="931" customFormat="false" ht="72" hidden="false" customHeight="true" outlineLevel="0" collapsed="false">
      <c r="C931" s="22" t="s">
        <v>867</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857</v>
      </c>
    </row>
    <row r="934" customFormat="false" ht="15" hidden="false" customHeight="true" outlineLevel="0" collapsed="false">
      <c r="A934" s="3" t="s">
        <v>868</v>
      </c>
      <c r="B934" s="3" t="s">
        <v>551</v>
      </c>
      <c r="C934" s="3" t="s">
        <v>869</v>
      </c>
      <c r="M934" s="21"/>
      <c r="N934" s="21"/>
      <c r="O934" s="21"/>
    </row>
    <row r="935" customFormat="false" ht="12" hidden="false" customHeight="true" outlineLevel="0" collapsed="false">
      <c r="C935" s="22" t="s">
        <v>870</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857</v>
      </c>
    </row>
    <row r="938" customFormat="false" ht="15" hidden="false" customHeight="true" outlineLevel="0" collapsed="false">
      <c r="A938" s="3" t="s">
        <v>871</v>
      </c>
      <c r="B938" s="3" t="s">
        <v>543</v>
      </c>
      <c r="C938" s="3" t="s">
        <v>872</v>
      </c>
      <c r="M938" s="21"/>
      <c r="N938" s="21"/>
      <c r="O938" s="21"/>
    </row>
    <row r="939" customFormat="false" ht="12" hidden="false" customHeight="true" outlineLevel="0" collapsed="false">
      <c r="C939" s="22" t="s">
        <v>873</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857</v>
      </c>
    </row>
    <row r="942" customFormat="false" ht="15" hidden="false" customHeight="true" outlineLevel="0" collapsed="false">
      <c r="A942" s="3" t="s">
        <v>874</v>
      </c>
      <c r="B942" s="3" t="s">
        <v>543</v>
      </c>
      <c r="C942" s="3" t="s">
        <v>875</v>
      </c>
      <c r="M942" s="21"/>
      <c r="N942" s="21"/>
      <c r="O942" s="21"/>
    </row>
    <row r="943" customFormat="false" ht="48" hidden="false" customHeight="true" outlineLevel="0" collapsed="false">
      <c r="C943" s="22" t="s">
        <v>876</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857</v>
      </c>
    </row>
    <row r="946" customFormat="false" ht="15" hidden="false" customHeight="true" outlineLevel="0" collapsed="false">
      <c r="A946" s="3" t="s">
        <v>877</v>
      </c>
      <c r="B946" s="3" t="s">
        <v>543</v>
      </c>
      <c r="C946" s="3" t="s">
        <v>878</v>
      </c>
      <c r="M946" s="21"/>
      <c r="N946" s="21"/>
      <c r="O946" s="21"/>
    </row>
    <row r="947" customFormat="false" ht="120" hidden="false" customHeight="true" outlineLevel="0" collapsed="false">
      <c r="C947" s="22" t="s">
        <v>879</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857</v>
      </c>
    </row>
    <row r="950" customFormat="false" ht="15" hidden="false" customHeight="true" outlineLevel="0" collapsed="false">
      <c r="A950" s="3" t="s">
        <v>880</v>
      </c>
      <c r="B950" s="3" t="s">
        <v>551</v>
      </c>
      <c r="C950" s="3" t="s">
        <v>881</v>
      </c>
      <c r="M950" s="21"/>
      <c r="N950" s="21"/>
      <c r="O950" s="21"/>
    </row>
    <row r="951" customFormat="false" ht="48" hidden="false" customHeight="true" outlineLevel="0" collapsed="false">
      <c r="C951" s="22" t="s">
        <v>882</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857</v>
      </c>
    </row>
    <row r="954" customFormat="false" ht="15" hidden="false" customHeight="true" outlineLevel="0" collapsed="false">
      <c r="A954" s="3" t="s">
        <v>883</v>
      </c>
      <c r="B954" s="3" t="s">
        <v>543</v>
      </c>
      <c r="C954" s="3" t="s">
        <v>884</v>
      </c>
      <c r="M954" s="21"/>
      <c r="N954" s="21"/>
      <c r="O954" s="21"/>
    </row>
    <row r="955" customFormat="false" ht="84" hidden="false" customHeight="true" outlineLevel="0" collapsed="false">
      <c r="C955" s="22" t="s">
        <v>885</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857</v>
      </c>
    </row>
    <row r="958" customFormat="false" ht="15" hidden="false" customHeight="true" outlineLevel="0" collapsed="false">
      <c r="A958" s="3" t="s">
        <v>886</v>
      </c>
      <c r="B958" s="3" t="s">
        <v>543</v>
      </c>
      <c r="C958" s="3" t="s">
        <v>887</v>
      </c>
      <c r="M958" s="21"/>
      <c r="N958" s="21"/>
      <c r="O958" s="21"/>
    </row>
    <row r="959" customFormat="false" ht="36" hidden="false" customHeight="true" outlineLevel="0" collapsed="false">
      <c r="C959" s="22" t="s">
        <v>888</v>
      </c>
      <c r="M959" s="21"/>
      <c r="N959" s="21"/>
      <c r="O959" s="21"/>
    </row>
    <row r="960" customFormat="false" ht="15" hidden="false" customHeight="true" outlineLevel="0" collapsed="false">
      <c r="C960" s="23" t="s">
        <v>889</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857</v>
      </c>
    </row>
    <row r="962" customFormat="false" ht="15" hidden="false" customHeight="true" outlineLevel="0" collapsed="false">
      <c r="C962" s="30" t="s">
        <v>890</v>
      </c>
      <c r="K962" s="11" t="n">
        <f aca="false">SUMIFS($K$5:$K$961,$M$5:$M$961,"P",$N$5:$N$961,"16")</f>
        <v>44091.19</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891</v>
      </c>
      <c r="C965" s="3" t="s">
        <v>892</v>
      </c>
      <c r="M965" s="21" t="s">
        <v>194</v>
      </c>
      <c r="N965" s="21" t="s">
        <v>55</v>
      </c>
      <c r="O965" s="21" t="s">
        <v>891</v>
      </c>
    </row>
    <row r="966" customFormat="false" ht="15" hidden="false" customHeight="true" outlineLevel="0" collapsed="false">
      <c r="A966" s="3" t="s">
        <v>893</v>
      </c>
      <c r="B966" s="3" t="s">
        <v>543</v>
      </c>
      <c r="C966" s="3" t="s">
        <v>894</v>
      </c>
      <c r="M966" s="21"/>
      <c r="N966" s="21"/>
      <c r="O966" s="21"/>
    </row>
    <row r="967" customFormat="false" ht="96" hidden="false" customHeight="true" outlineLevel="0" collapsed="false">
      <c r="C967" s="22" t="s">
        <v>895</v>
      </c>
      <c r="M967" s="21"/>
      <c r="N967" s="21"/>
      <c r="O967" s="21"/>
    </row>
    <row r="968" customFormat="false" ht="15" hidden="false" customHeight="true" outlineLevel="0" collapsed="false">
      <c r="C968" s="23" t="s">
        <v>896</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891</v>
      </c>
    </row>
    <row r="970" customFormat="false" ht="15" hidden="false" customHeight="true" outlineLevel="0" collapsed="false">
      <c r="A970" s="3" t="s">
        <v>897</v>
      </c>
      <c r="B970" s="3" t="s">
        <v>543</v>
      </c>
      <c r="C970" s="3" t="s">
        <v>898</v>
      </c>
      <c r="M970" s="21"/>
      <c r="N970" s="21"/>
      <c r="O970" s="21"/>
    </row>
    <row r="971" customFormat="false" ht="120" hidden="false" customHeight="true" outlineLevel="0" collapsed="false">
      <c r="C971" s="22" t="s">
        <v>899</v>
      </c>
      <c r="M971" s="21"/>
      <c r="N971" s="21"/>
      <c r="O971" s="21"/>
    </row>
    <row r="972" customFormat="false" ht="15" hidden="false" customHeight="true" outlineLevel="0" collapsed="false">
      <c r="C972" s="23" t="s">
        <v>896</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891</v>
      </c>
    </row>
    <row r="974" customFormat="false" ht="15" hidden="false" customHeight="true" outlineLevel="0" collapsed="false">
      <c r="A974" s="3" t="s">
        <v>900</v>
      </c>
      <c r="C974" s="3" t="s">
        <v>901</v>
      </c>
      <c r="M974" s="21" t="s">
        <v>194</v>
      </c>
      <c r="N974" s="21" t="s">
        <v>55</v>
      </c>
      <c r="O974" s="21" t="s">
        <v>900</v>
      </c>
    </row>
    <row r="975" customFormat="false" ht="15" hidden="false" customHeight="true" outlineLevel="0" collapsed="false">
      <c r="A975" s="3" t="s">
        <v>902</v>
      </c>
      <c r="B975" s="3" t="s">
        <v>543</v>
      </c>
      <c r="C975" s="3" t="s">
        <v>901</v>
      </c>
      <c r="M975" s="21"/>
      <c r="N975" s="21"/>
      <c r="O975" s="21"/>
    </row>
    <row r="976" customFormat="false" ht="204" hidden="false" customHeight="true" outlineLevel="0" collapsed="false">
      <c r="C976" s="22" t="s">
        <v>903</v>
      </c>
      <c r="M976" s="21"/>
      <c r="N976" s="21"/>
      <c r="O976" s="21"/>
    </row>
    <row r="977" customFormat="false" ht="15" hidden="false" customHeight="true" outlineLevel="0" collapsed="false">
      <c r="C977" s="23" t="s">
        <v>896</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900</v>
      </c>
    </row>
    <row r="979" customFormat="false" ht="15" hidden="false" customHeight="true" outlineLevel="0" collapsed="false">
      <c r="C979" s="30" t="s">
        <v>904</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905</v>
      </c>
      <c r="B982" s="3" t="s">
        <v>91</v>
      </c>
      <c r="C982" s="3" t="s">
        <v>906</v>
      </c>
      <c r="M982" s="21"/>
      <c r="N982" s="21"/>
      <c r="O982" s="21"/>
    </row>
    <row r="983" customFormat="false" ht="132" hidden="false" customHeight="true" outlineLevel="0" collapsed="false">
      <c r="C983" s="22" t="s">
        <v>907</v>
      </c>
      <c r="M983" s="21"/>
      <c r="N983" s="21"/>
      <c r="O983" s="21"/>
    </row>
    <row r="984" customFormat="false" ht="15" hidden="false" customHeight="true" outlineLevel="0" collapsed="false">
      <c r="C984" s="23" t="s">
        <v>896</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908</v>
      </c>
      <c r="B986" s="3" t="s">
        <v>91</v>
      </c>
      <c r="C986" s="3" t="s">
        <v>909</v>
      </c>
      <c r="M986" s="21"/>
      <c r="N986" s="21"/>
      <c r="O986" s="21"/>
    </row>
    <row r="987" customFormat="false" ht="132" hidden="false" customHeight="true" outlineLevel="0" collapsed="false">
      <c r="C987" s="22" t="s">
        <v>910</v>
      </c>
      <c r="M987" s="21"/>
      <c r="N987" s="21"/>
      <c r="O987" s="21"/>
    </row>
    <row r="988" customFormat="false" ht="15" hidden="false" customHeight="true" outlineLevel="0" collapsed="false">
      <c r="C988" s="23" t="s">
        <v>896</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911</v>
      </c>
      <c r="B990" s="3" t="s">
        <v>91</v>
      </c>
      <c r="C990" s="3" t="s">
        <v>912</v>
      </c>
      <c r="M990" s="21"/>
      <c r="N990" s="21"/>
      <c r="O990" s="21"/>
    </row>
    <row r="991" customFormat="false" ht="120" hidden="false" customHeight="true" outlineLevel="0" collapsed="false">
      <c r="C991" s="22" t="s">
        <v>913</v>
      </c>
      <c r="M991" s="21"/>
      <c r="N991" s="21"/>
      <c r="O991" s="21"/>
    </row>
    <row r="992" customFormat="false" ht="15" hidden="false" customHeight="true" outlineLevel="0" collapsed="false">
      <c r="C992" s="23" t="s">
        <v>896</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914</v>
      </c>
      <c r="B994" s="3" t="s">
        <v>91</v>
      </c>
      <c r="C994" s="3" t="s">
        <v>915</v>
      </c>
      <c r="M994" s="21"/>
      <c r="N994" s="21"/>
      <c r="O994" s="21"/>
    </row>
    <row r="995" customFormat="false" ht="120" hidden="false" customHeight="true" outlineLevel="0" collapsed="false">
      <c r="C995" s="22" t="s">
        <v>916</v>
      </c>
      <c r="M995" s="21"/>
      <c r="N995" s="21"/>
      <c r="O995" s="21"/>
    </row>
    <row r="996" customFormat="false" ht="15" hidden="false" customHeight="true" outlineLevel="0" collapsed="false">
      <c r="C996" s="23" t="s">
        <v>896</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917</v>
      </c>
      <c r="B998" s="3" t="s">
        <v>91</v>
      </c>
      <c r="C998" s="3" t="s">
        <v>918</v>
      </c>
      <c r="M998" s="21"/>
      <c r="N998" s="21"/>
      <c r="O998" s="21"/>
    </row>
    <row r="999" customFormat="false" ht="120" hidden="false" customHeight="true" outlineLevel="0" collapsed="false">
      <c r="C999" s="22" t="s">
        <v>919</v>
      </c>
      <c r="M999" s="21"/>
      <c r="N999" s="21"/>
      <c r="O999" s="21"/>
    </row>
    <row r="1000" customFormat="false" ht="15" hidden="false" customHeight="true" outlineLevel="0" collapsed="false">
      <c r="C1000" s="23" t="s">
        <v>896</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920</v>
      </c>
      <c r="B1002" s="3" t="s">
        <v>91</v>
      </c>
      <c r="C1002" s="3" t="s">
        <v>921</v>
      </c>
      <c r="M1002" s="21"/>
      <c r="N1002" s="21"/>
      <c r="O1002" s="21"/>
    </row>
    <row r="1003" customFormat="false" ht="120" hidden="false" customHeight="true" outlineLevel="0" collapsed="false">
      <c r="C1003" s="22" t="s">
        <v>922</v>
      </c>
      <c r="M1003" s="21"/>
      <c r="N1003" s="21"/>
      <c r="O1003" s="21"/>
    </row>
    <row r="1004" customFormat="false" ht="15" hidden="false" customHeight="true" outlineLevel="0" collapsed="false">
      <c r="C1004" s="23" t="s">
        <v>896</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923</v>
      </c>
      <c r="B1006" s="3" t="s">
        <v>91</v>
      </c>
      <c r="C1006" s="3" t="s">
        <v>924</v>
      </c>
      <c r="M1006" s="21"/>
      <c r="N1006" s="21"/>
      <c r="O1006" s="21"/>
    </row>
    <row r="1007" customFormat="false" ht="120" hidden="false" customHeight="true" outlineLevel="0" collapsed="false">
      <c r="C1007" s="22" t="s">
        <v>925</v>
      </c>
      <c r="M1007" s="21"/>
      <c r="N1007" s="21"/>
      <c r="O1007" s="21"/>
    </row>
    <row r="1008" customFormat="false" ht="15" hidden="false" customHeight="true" outlineLevel="0" collapsed="false">
      <c r="C1008" s="23" t="s">
        <v>896</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926</v>
      </c>
      <c r="B1010" s="3" t="s">
        <v>91</v>
      </c>
      <c r="C1010" s="3" t="s">
        <v>927</v>
      </c>
      <c r="M1010" s="21"/>
      <c r="N1010" s="21"/>
      <c r="O1010" s="21"/>
    </row>
    <row r="1011" customFormat="false" ht="108" hidden="false" customHeight="true" outlineLevel="0" collapsed="false">
      <c r="C1011" s="22" t="s">
        <v>928</v>
      </c>
      <c r="M1011" s="21"/>
      <c r="N1011" s="21"/>
      <c r="O1011" s="21"/>
    </row>
    <row r="1012" customFormat="false" ht="15" hidden="false" customHeight="true" outlineLevel="0" collapsed="false">
      <c r="C1012" s="23" t="s">
        <v>896</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929</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930</v>
      </c>
      <c r="C1017" s="3" t="s">
        <v>931</v>
      </c>
      <c r="M1017" s="21" t="s">
        <v>194</v>
      </c>
      <c r="N1017" s="21" t="s">
        <v>63</v>
      </c>
      <c r="O1017" s="21" t="s">
        <v>930</v>
      </c>
    </row>
    <row r="1018" customFormat="false" ht="15" hidden="false" customHeight="true" outlineLevel="0" collapsed="false">
      <c r="A1018" s="3" t="s">
        <v>932</v>
      </c>
      <c r="B1018" s="3" t="s">
        <v>933</v>
      </c>
      <c r="C1018" s="3" t="s">
        <v>934</v>
      </c>
      <c r="M1018" s="21"/>
      <c r="N1018" s="21"/>
      <c r="O1018" s="21"/>
    </row>
    <row r="1019" customFormat="false" ht="48" hidden="false" customHeight="true" outlineLevel="0" collapsed="false">
      <c r="C1019" s="22" t="s">
        <v>935</v>
      </c>
      <c r="M1019" s="21"/>
      <c r="N1019" s="21"/>
      <c r="O1019" s="21"/>
    </row>
    <row r="1020" customFormat="false" ht="15" hidden="false" customHeight="true" outlineLevel="0" collapsed="false">
      <c r="C1020" s="23" t="s">
        <v>896</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930</v>
      </c>
    </row>
    <row r="1022" customFormat="false" ht="15" hidden="false" customHeight="true" outlineLevel="0" collapsed="false">
      <c r="A1022" s="3" t="s">
        <v>936</v>
      </c>
      <c r="B1022" s="3" t="s">
        <v>551</v>
      </c>
      <c r="C1022" s="3" t="s">
        <v>937</v>
      </c>
      <c r="M1022" s="21"/>
      <c r="N1022" s="21"/>
      <c r="O1022" s="21"/>
    </row>
    <row r="1023" customFormat="false" ht="84" hidden="false" customHeight="true" outlineLevel="0" collapsed="false">
      <c r="C1023" s="22" t="s">
        <v>938</v>
      </c>
      <c r="M1023" s="21"/>
      <c r="N1023" s="21"/>
      <c r="O1023" s="21"/>
    </row>
    <row r="1024" customFormat="false" ht="15" hidden="false" customHeight="true" outlineLevel="0" collapsed="false">
      <c r="C1024" s="23" t="s">
        <v>896</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930</v>
      </c>
    </row>
    <row r="1026" customFormat="false" ht="15" hidden="false" customHeight="true" outlineLevel="0" collapsed="false">
      <c r="A1026" s="3" t="s">
        <v>939</v>
      </c>
      <c r="B1026" s="3" t="s">
        <v>551</v>
      </c>
      <c r="C1026" s="3" t="s">
        <v>940</v>
      </c>
      <c r="M1026" s="21"/>
      <c r="N1026" s="21"/>
      <c r="O1026" s="21"/>
    </row>
    <row r="1027" customFormat="false" ht="84" hidden="false" customHeight="true" outlineLevel="0" collapsed="false">
      <c r="C1027" s="22" t="s">
        <v>941</v>
      </c>
      <c r="M1027" s="21"/>
      <c r="N1027" s="21"/>
      <c r="O1027" s="21"/>
    </row>
    <row r="1028" customFormat="false" ht="15" hidden="false" customHeight="true" outlineLevel="0" collapsed="false">
      <c r="C1028" s="23" t="s">
        <v>896</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930</v>
      </c>
    </row>
    <row r="1030" customFormat="false" ht="15" hidden="false" customHeight="true" outlineLevel="0" collapsed="false">
      <c r="A1030" s="3" t="s">
        <v>942</v>
      </c>
      <c r="B1030" s="3" t="s">
        <v>551</v>
      </c>
      <c r="C1030" s="3" t="s">
        <v>943</v>
      </c>
      <c r="M1030" s="21"/>
      <c r="N1030" s="21"/>
      <c r="O1030" s="21"/>
    </row>
    <row r="1031" customFormat="false" ht="72" hidden="false" customHeight="true" outlineLevel="0" collapsed="false">
      <c r="C1031" s="22" t="s">
        <v>944</v>
      </c>
      <c r="M1031" s="21"/>
      <c r="N1031" s="21"/>
      <c r="O1031" s="21"/>
    </row>
    <row r="1032" customFormat="false" ht="15" hidden="false" customHeight="true" outlineLevel="0" collapsed="false">
      <c r="C1032" s="23" t="s">
        <v>896</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930</v>
      </c>
    </row>
    <row r="1034" customFormat="false" ht="15" hidden="false" customHeight="true" outlineLevel="0" collapsed="false">
      <c r="A1034" s="3" t="s">
        <v>945</v>
      </c>
      <c r="B1034" s="3" t="s">
        <v>543</v>
      </c>
      <c r="C1034" s="3" t="s">
        <v>946</v>
      </c>
      <c r="M1034" s="21"/>
      <c r="N1034" s="21"/>
      <c r="O1034" s="21"/>
    </row>
    <row r="1035" customFormat="false" ht="108" hidden="false" customHeight="true" outlineLevel="0" collapsed="false">
      <c r="C1035" s="22" t="s">
        <v>947</v>
      </c>
      <c r="M1035" s="21"/>
      <c r="N1035" s="21"/>
      <c r="O1035" s="21"/>
    </row>
    <row r="1036" customFormat="false" ht="15" hidden="false" customHeight="true" outlineLevel="0" collapsed="false">
      <c r="C1036" s="23" t="s">
        <v>896</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930</v>
      </c>
    </row>
    <row r="1038" customFormat="false" ht="15" hidden="false" customHeight="true" outlineLevel="0" collapsed="false">
      <c r="A1038" s="3" t="s">
        <v>948</v>
      </c>
      <c r="B1038" s="3" t="s">
        <v>551</v>
      </c>
      <c r="C1038" s="3" t="s">
        <v>949</v>
      </c>
      <c r="M1038" s="21"/>
      <c r="N1038" s="21"/>
      <c r="O1038" s="21"/>
    </row>
    <row r="1039" customFormat="false" ht="144" hidden="false" customHeight="true" outlineLevel="0" collapsed="false">
      <c r="C1039" s="22" t="s">
        <v>950</v>
      </c>
      <c r="M1039" s="21"/>
      <c r="N1039" s="21"/>
      <c r="O1039" s="21"/>
    </row>
    <row r="1040" customFormat="false" ht="15" hidden="false" customHeight="true" outlineLevel="0" collapsed="false">
      <c r="C1040" s="23" t="s">
        <v>896</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930</v>
      </c>
    </row>
    <row r="1042" customFormat="false" ht="15" hidden="false" customHeight="true" outlineLevel="0" collapsed="false">
      <c r="A1042" s="3" t="s">
        <v>951</v>
      </c>
      <c r="B1042" s="3" t="s">
        <v>933</v>
      </c>
      <c r="C1042" s="3" t="s">
        <v>952</v>
      </c>
      <c r="M1042" s="21"/>
      <c r="N1042" s="21"/>
      <c r="O1042" s="21"/>
    </row>
    <row r="1043" customFormat="false" ht="84" hidden="false" customHeight="true" outlineLevel="0" collapsed="false">
      <c r="C1043" s="22" t="s">
        <v>953</v>
      </c>
      <c r="M1043" s="21"/>
      <c r="N1043" s="21"/>
      <c r="O1043" s="21"/>
    </row>
    <row r="1044" customFormat="false" ht="15" hidden="false" customHeight="true" outlineLevel="0" collapsed="false">
      <c r="C1044" s="23" t="s">
        <v>896</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930</v>
      </c>
    </row>
    <row r="1046" customFormat="false" ht="15" hidden="false" customHeight="true" outlineLevel="0" collapsed="false">
      <c r="A1046" s="3" t="s">
        <v>954</v>
      </c>
      <c r="B1046" s="3" t="s">
        <v>543</v>
      </c>
      <c r="C1046" s="3" t="s">
        <v>955</v>
      </c>
      <c r="M1046" s="21"/>
      <c r="N1046" s="21"/>
      <c r="O1046" s="21"/>
    </row>
    <row r="1047" customFormat="false" ht="48" hidden="false" customHeight="true" outlineLevel="0" collapsed="false">
      <c r="C1047" s="22" t="s">
        <v>956</v>
      </c>
      <c r="M1047" s="21"/>
      <c r="N1047" s="21"/>
      <c r="O1047" s="21"/>
    </row>
    <row r="1048" customFormat="false" ht="15" hidden="false" customHeight="true" outlineLevel="0" collapsed="false">
      <c r="C1048" s="23" t="s">
        <v>896</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930</v>
      </c>
    </row>
    <row r="1050" customFormat="false" ht="15" hidden="false" customHeight="true" outlineLevel="0" collapsed="false">
      <c r="A1050" s="3" t="s">
        <v>957</v>
      </c>
      <c r="B1050" s="3" t="s">
        <v>543</v>
      </c>
      <c r="C1050" s="3" t="s">
        <v>958</v>
      </c>
      <c r="M1050" s="21"/>
      <c r="N1050" s="21"/>
      <c r="O1050" s="21"/>
    </row>
    <row r="1051" customFormat="false" ht="84" hidden="false" customHeight="true" outlineLevel="0" collapsed="false">
      <c r="C1051" s="22" t="s">
        <v>959</v>
      </c>
      <c r="M1051" s="21"/>
      <c r="N1051" s="21"/>
      <c r="O1051" s="21"/>
    </row>
    <row r="1052" customFormat="false" ht="15" hidden="false" customHeight="true" outlineLevel="0" collapsed="false">
      <c r="C1052" s="23" t="s">
        <v>896</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930</v>
      </c>
    </row>
    <row r="1054" customFormat="false" ht="15" hidden="false" customHeight="true" outlineLevel="0" collapsed="false">
      <c r="A1054" s="3" t="s">
        <v>960</v>
      </c>
      <c r="B1054" s="3" t="s">
        <v>543</v>
      </c>
      <c r="C1054" s="3" t="s">
        <v>961</v>
      </c>
      <c r="M1054" s="21"/>
      <c r="N1054" s="21"/>
      <c r="O1054" s="21"/>
    </row>
    <row r="1055" customFormat="false" ht="48" hidden="false" customHeight="true" outlineLevel="0" collapsed="false">
      <c r="C1055" s="22" t="s">
        <v>962</v>
      </c>
      <c r="M1055" s="21"/>
      <c r="N1055" s="21"/>
      <c r="O1055" s="21"/>
    </row>
    <row r="1056" customFormat="false" ht="15" hidden="false" customHeight="true" outlineLevel="0" collapsed="false">
      <c r="C1056" s="23" t="s">
        <v>896</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930</v>
      </c>
    </row>
    <row r="1058" customFormat="false" ht="15" hidden="false" customHeight="true" outlineLevel="0" collapsed="false">
      <c r="A1058" s="3" t="s">
        <v>963</v>
      </c>
      <c r="B1058" s="3" t="s">
        <v>543</v>
      </c>
      <c r="C1058" s="3" t="s">
        <v>964</v>
      </c>
      <c r="M1058" s="21"/>
      <c r="N1058" s="21"/>
      <c r="O1058" s="21"/>
    </row>
    <row r="1059" customFormat="false" ht="72" hidden="false" customHeight="true" outlineLevel="0" collapsed="false">
      <c r="C1059" s="22" t="s">
        <v>965</v>
      </c>
      <c r="M1059" s="21"/>
      <c r="N1059" s="21"/>
      <c r="O1059" s="21"/>
    </row>
    <row r="1060" customFormat="false" ht="15" hidden="false" customHeight="true" outlineLevel="0" collapsed="false">
      <c r="C1060" s="23" t="s">
        <v>896</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930</v>
      </c>
    </row>
    <row r="1062" customFormat="false" ht="15" hidden="false" customHeight="true" outlineLevel="0" collapsed="false">
      <c r="A1062" s="3" t="s">
        <v>966</v>
      </c>
      <c r="B1062" s="3" t="s">
        <v>543</v>
      </c>
      <c r="C1062" s="3" t="s">
        <v>967</v>
      </c>
      <c r="M1062" s="21"/>
      <c r="N1062" s="21"/>
      <c r="O1062" s="21"/>
    </row>
    <row r="1063" customFormat="false" ht="120" hidden="false" customHeight="true" outlineLevel="0" collapsed="false">
      <c r="C1063" s="22" t="s">
        <v>968</v>
      </c>
      <c r="M1063" s="21"/>
      <c r="N1063" s="21"/>
      <c r="O1063" s="21"/>
    </row>
    <row r="1064" customFormat="false" ht="15" hidden="false" customHeight="true" outlineLevel="0" collapsed="false">
      <c r="C1064" s="23" t="s">
        <v>896</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930</v>
      </c>
    </row>
    <row r="1066" customFormat="false" ht="15" hidden="false" customHeight="true" outlineLevel="0" collapsed="false">
      <c r="A1066" s="3" t="s">
        <v>969</v>
      </c>
      <c r="B1066" s="3" t="s">
        <v>543</v>
      </c>
      <c r="C1066" s="3" t="s">
        <v>970</v>
      </c>
      <c r="M1066" s="21"/>
      <c r="N1066" s="21"/>
      <c r="O1066" s="21"/>
    </row>
    <row r="1067" customFormat="false" ht="72" hidden="false" customHeight="true" outlineLevel="0" collapsed="false">
      <c r="C1067" s="22" t="s">
        <v>971</v>
      </c>
      <c r="M1067" s="21"/>
      <c r="N1067" s="21"/>
      <c r="O1067" s="21"/>
    </row>
    <row r="1068" customFormat="false" ht="15" hidden="false" customHeight="true" outlineLevel="0" collapsed="false">
      <c r="C1068" s="23" t="s">
        <v>896</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930</v>
      </c>
    </row>
    <row r="1070" customFormat="false" ht="15" hidden="false" customHeight="true" outlineLevel="0" collapsed="false">
      <c r="A1070" s="3" t="s">
        <v>972</v>
      </c>
      <c r="B1070" s="3" t="s">
        <v>543</v>
      </c>
      <c r="C1070" s="3" t="s">
        <v>973</v>
      </c>
      <c r="M1070" s="21"/>
      <c r="N1070" s="21"/>
      <c r="O1070" s="21"/>
    </row>
    <row r="1071" customFormat="false" ht="60" hidden="false" customHeight="true" outlineLevel="0" collapsed="false">
      <c r="C1071" s="22" t="s">
        <v>974</v>
      </c>
      <c r="M1071" s="21"/>
      <c r="N1071" s="21"/>
      <c r="O1071" s="21"/>
    </row>
    <row r="1072" customFormat="false" ht="15" hidden="false" customHeight="true" outlineLevel="0" collapsed="false">
      <c r="C1072" s="23" t="s">
        <v>896</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930</v>
      </c>
    </row>
    <row r="1074" customFormat="false" ht="15" hidden="false" customHeight="true" outlineLevel="0" collapsed="false">
      <c r="A1074" s="3" t="s">
        <v>975</v>
      </c>
      <c r="B1074" s="3" t="s">
        <v>551</v>
      </c>
      <c r="C1074" s="3" t="s">
        <v>976</v>
      </c>
      <c r="M1074" s="21"/>
      <c r="N1074" s="21"/>
      <c r="O1074" s="21"/>
    </row>
    <row r="1075" customFormat="false" ht="72" hidden="false" customHeight="true" outlineLevel="0" collapsed="false">
      <c r="C1075" s="22" t="s">
        <v>977</v>
      </c>
      <c r="M1075" s="21"/>
      <c r="N1075" s="21"/>
      <c r="O1075" s="21"/>
    </row>
    <row r="1076" customFormat="false" ht="15" hidden="false" customHeight="true" outlineLevel="0" collapsed="false">
      <c r="C1076" s="23" t="s">
        <v>896</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930</v>
      </c>
    </row>
    <row r="1078" customFormat="false" ht="15" hidden="false" customHeight="true" outlineLevel="0" collapsed="false">
      <c r="A1078" s="3" t="s">
        <v>978</v>
      </c>
      <c r="B1078" s="3" t="s">
        <v>543</v>
      </c>
      <c r="C1078" s="3" t="s">
        <v>979</v>
      </c>
      <c r="M1078" s="21"/>
      <c r="N1078" s="21"/>
      <c r="O1078" s="21"/>
    </row>
    <row r="1079" customFormat="false" ht="72" hidden="false" customHeight="true" outlineLevel="0" collapsed="false">
      <c r="C1079" s="22" t="s">
        <v>980</v>
      </c>
      <c r="M1079" s="21"/>
      <c r="N1079" s="21"/>
      <c r="O1079" s="21"/>
    </row>
    <row r="1080" customFormat="false" ht="15" hidden="false" customHeight="true" outlineLevel="0" collapsed="false">
      <c r="C1080" s="23" t="s">
        <v>896</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930</v>
      </c>
    </row>
    <row r="1082" customFormat="false" ht="15" hidden="false" customHeight="true" outlineLevel="0" collapsed="false">
      <c r="A1082" s="3" t="s">
        <v>981</v>
      </c>
      <c r="C1082" s="3" t="s">
        <v>982</v>
      </c>
      <c r="M1082" s="21" t="s">
        <v>194</v>
      </c>
      <c r="N1082" s="21" t="s">
        <v>63</v>
      </c>
      <c r="O1082" s="21" t="s">
        <v>981</v>
      </c>
    </row>
    <row r="1083" customFormat="false" ht="15" hidden="false" customHeight="true" outlineLevel="0" collapsed="false">
      <c r="A1083" s="3" t="s">
        <v>983</v>
      </c>
      <c r="B1083" s="3" t="s">
        <v>543</v>
      </c>
      <c r="C1083" s="3" t="s">
        <v>984</v>
      </c>
      <c r="M1083" s="21"/>
      <c r="N1083" s="21"/>
      <c r="O1083" s="21"/>
    </row>
    <row r="1084" customFormat="false" ht="60" hidden="false" customHeight="true" outlineLevel="0" collapsed="false">
      <c r="C1084" s="22" t="s">
        <v>985</v>
      </c>
      <c r="M1084" s="21"/>
      <c r="N1084" s="21"/>
      <c r="O1084" s="21"/>
    </row>
    <row r="1085" customFormat="false" ht="15" hidden="false" customHeight="true" outlineLevel="0" collapsed="false">
      <c r="C1085" s="23" t="s">
        <v>896</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981</v>
      </c>
    </row>
    <row r="1087" customFormat="false" ht="15" hidden="false" customHeight="true" outlineLevel="0" collapsed="false">
      <c r="A1087" s="3" t="s">
        <v>986</v>
      </c>
      <c r="B1087" s="3" t="s">
        <v>543</v>
      </c>
      <c r="C1087" s="3" t="s">
        <v>987</v>
      </c>
      <c r="M1087" s="21"/>
      <c r="N1087" s="21"/>
      <c r="O1087" s="21"/>
    </row>
    <row r="1088" customFormat="false" ht="60" hidden="false" customHeight="true" outlineLevel="0" collapsed="false">
      <c r="C1088" s="22" t="s">
        <v>988</v>
      </c>
      <c r="M1088" s="21"/>
      <c r="N1088" s="21"/>
      <c r="O1088" s="21"/>
    </row>
    <row r="1089" customFormat="false" ht="15" hidden="false" customHeight="true" outlineLevel="0" collapsed="false">
      <c r="C1089" s="23" t="s">
        <v>896</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981</v>
      </c>
    </row>
    <row r="1091" customFormat="false" ht="15" hidden="false" customHeight="true" outlineLevel="0" collapsed="false">
      <c r="A1091" s="3" t="s">
        <v>989</v>
      </c>
      <c r="C1091" s="3" t="s">
        <v>990</v>
      </c>
      <c r="M1091" s="21" t="s">
        <v>194</v>
      </c>
      <c r="N1091" s="21" t="s">
        <v>63</v>
      </c>
      <c r="O1091" s="21" t="s">
        <v>989</v>
      </c>
    </row>
    <row r="1092" customFormat="false" ht="15" hidden="false" customHeight="true" outlineLevel="0" collapsed="false">
      <c r="A1092" s="3" t="s">
        <v>991</v>
      </c>
      <c r="B1092" s="3" t="s">
        <v>91</v>
      </c>
      <c r="C1092" s="3" t="s">
        <v>992</v>
      </c>
      <c r="M1092" s="21"/>
      <c r="N1092" s="21"/>
      <c r="O1092" s="21"/>
    </row>
    <row r="1093" customFormat="false" ht="36" hidden="false" customHeight="true" outlineLevel="0" collapsed="false">
      <c r="C1093" s="22" t="s">
        <v>993</v>
      </c>
      <c r="M1093" s="21"/>
      <c r="N1093" s="21"/>
      <c r="O1093" s="21"/>
    </row>
    <row r="1094" customFormat="false" ht="15" hidden="false" customHeight="true" outlineLevel="0" collapsed="false">
      <c r="C1094" s="23" t="s">
        <v>896</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989</v>
      </c>
    </row>
    <row r="1096" customFormat="false" ht="15" hidden="false" customHeight="true" outlineLevel="0" collapsed="false">
      <c r="A1096" s="3" t="s">
        <v>994</v>
      </c>
      <c r="B1096" s="3" t="s">
        <v>91</v>
      </c>
      <c r="C1096" s="3" t="s">
        <v>995</v>
      </c>
      <c r="M1096" s="21"/>
      <c r="N1096" s="21"/>
      <c r="O1096" s="21"/>
    </row>
    <row r="1097" customFormat="false" ht="48" hidden="false" customHeight="true" outlineLevel="0" collapsed="false">
      <c r="C1097" s="22" t="s">
        <v>996</v>
      </c>
      <c r="M1097" s="21"/>
      <c r="N1097" s="21"/>
      <c r="O1097" s="21"/>
    </row>
    <row r="1098" customFormat="false" ht="15" hidden="false" customHeight="true" outlineLevel="0" collapsed="false">
      <c r="C1098" s="23" t="s">
        <v>896</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989</v>
      </c>
    </row>
    <row r="1100" customFormat="false" ht="15" hidden="false" customHeight="true" outlineLevel="0" collapsed="false">
      <c r="A1100" s="3" t="s">
        <v>997</v>
      </c>
      <c r="B1100" s="3" t="s">
        <v>91</v>
      </c>
      <c r="C1100" s="3" t="s">
        <v>998</v>
      </c>
      <c r="M1100" s="21"/>
      <c r="N1100" s="21"/>
      <c r="O1100" s="21"/>
    </row>
    <row r="1101" customFormat="false" ht="36" hidden="false" customHeight="true" outlineLevel="0" collapsed="false">
      <c r="C1101" s="22" t="s">
        <v>999</v>
      </c>
      <c r="M1101" s="21"/>
      <c r="N1101" s="21"/>
      <c r="O1101" s="21"/>
    </row>
    <row r="1102" customFormat="false" ht="15" hidden="false" customHeight="true" outlineLevel="0" collapsed="false">
      <c r="C1102" s="23" t="s">
        <v>896</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989</v>
      </c>
    </row>
    <row r="1104" customFormat="false" ht="15" hidden="false" customHeight="true" outlineLevel="0" collapsed="false">
      <c r="A1104" s="3" t="s">
        <v>1000</v>
      </c>
      <c r="B1104" s="3" t="s">
        <v>91</v>
      </c>
      <c r="C1104" s="3" t="s">
        <v>1001</v>
      </c>
      <c r="M1104" s="21"/>
      <c r="N1104" s="21"/>
      <c r="O1104" s="21"/>
    </row>
    <row r="1105" customFormat="false" ht="60" hidden="false" customHeight="true" outlineLevel="0" collapsed="false">
      <c r="C1105" s="22" t="s">
        <v>1002</v>
      </c>
      <c r="M1105" s="21"/>
      <c r="N1105" s="21"/>
      <c r="O1105" s="21"/>
    </row>
    <row r="1106" customFormat="false" ht="15" hidden="false" customHeight="true" outlineLevel="0" collapsed="false">
      <c r="C1106" s="23" t="s">
        <v>896</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989</v>
      </c>
    </row>
    <row r="1108" customFormat="false" ht="15" hidden="false" customHeight="true" outlineLevel="0" collapsed="false">
      <c r="A1108" s="3" t="s">
        <v>1003</v>
      </c>
      <c r="B1108" s="3" t="s">
        <v>158</v>
      </c>
      <c r="C1108" s="3" t="s">
        <v>1004</v>
      </c>
      <c r="M1108" s="21"/>
      <c r="N1108" s="21"/>
      <c r="O1108" s="21"/>
    </row>
    <row r="1109" customFormat="false" ht="48" hidden="false" customHeight="true" outlineLevel="0" collapsed="false">
      <c r="C1109" s="22" t="s">
        <v>1005</v>
      </c>
      <c r="M1109" s="21"/>
      <c r="N1109" s="21"/>
      <c r="O1109" s="21"/>
    </row>
    <row r="1110" customFormat="false" ht="15" hidden="false" customHeight="true" outlineLevel="0" collapsed="false">
      <c r="C1110" s="23" t="s">
        <v>896</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989</v>
      </c>
    </row>
    <row r="1112" customFormat="false" ht="15" hidden="false" customHeight="true" outlineLevel="0" collapsed="false">
      <c r="A1112" s="3" t="s">
        <v>1006</v>
      </c>
      <c r="B1112" s="3" t="s">
        <v>91</v>
      </c>
      <c r="C1112" s="3" t="s">
        <v>1007</v>
      </c>
      <c r="M1112" s="21"/>
      <c r="N1112" s="21"/>
      <c r="O1112" s="21"/>
    </row>
    <row r="1113" customFormat="false" ht="36" hidden="false" customHeight="true" outlineLevel="0" collapsed="false">
      <c r="C1113" s="22" t="s">
        <v>1008</v>
      </c>
      <c r="M1113" s="21"/>
      <c r="N1113" s="21"/>
      <c r="O1113" s="21"/>
    </row>
    <row r="1114" customFormat="false" ht="15" hidden="false" customHeight="true" outlineLevel="0" collapsed="false">
      <c r="C1114" s="23" t="s">
        <v>896</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989</v>
      </c>
    </row>
    <row r="1116" customFormat="false" ht="15" hidden="false" customHeight="true" outlineLevel="0" collapsed="false">
      <c r="A1116" s="3" t="s">
        <v>1009</v>
      </c>
      <c r="B1116" s="3" t="s">
        <v>91</v>
      </c>
      <c r="C1116" s="3" t="s">
        <v>1010</v>
      </c>
      <c r="M1116" s="21"/>
      <c r="N1116" s="21"/>
      <c r="O1116" s="21"/>
    </row>
    <row r="1117" customFormat="false" ht="36" hidden="false" customHeight="true" outlineLevel="0" collapsed="false">
      <c r="C1117" s="22" t="s">
        <v>1011</v>
      </c>
      <c r="M1117" s="21"/>
      <c r="N1117" s="21"/>
      <c r="O1117" s="21"/>
    </row>
    <row r="1118" customFormat="false" ht="15" hidden="false" customHeight="true" outlineLevel="0" collapsed="false">
      <c r="C1118" s="23" t="s">
        <v>896</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989</v>
      </c>
    </row>
    <row r="1120" customFormat="false" ht="15" hidden="false" customHeight="true" outlineLevel="0" collapsed="false">
      <c r="A1120" s="3" t="s">
        <v>1012</v>
      </c>
      <c r="B1120" s="3" t="s">
        <v>91</v>
      </c>
      <c r="C1120" s="3" t="s">
        <v>1013</v>
      </c>
      <c r="M1120" s="21"/>
      <c r="N1120" s="21"/>
      <c r="O1120" s="21"/>
    </row>
    <row r="1121" customFormat="false" ht="36" hidden="false" customHeight="true" outlineLevel="0" collapsed="false">
      <c r="C1121" s="22" t="s">
        <v>1014</v>
      </c>
      <c r="M1121" s="21"/>
      <c r="N1121" s="21"/>
      <c r="O1121" s="21"/>
    </row>
    <row r="1122" customFormat="false" ht="15" hidden="false" customHeight="true" outlineLevel="0" collapsed="false">
      <c r="C1122" s="23" t="s">
        <v>896</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989</v>
      </c>
    </row>
    <row r="1124" customFormat="false" ht="15" hidden="false" customHeight="true" outlineLevel="0" collapsed="false">
      <c r="A1124" s="3" t="s">
        <v>1015</v>
      </c>
      <c r="B1124" s="3" t="s">
        <v>91</v>
      </c>
      <c r="C1124" s="3" t="s">
        <v>1016</v>
      </c>
      <c r="M1124" s="21"/>
      <c r="N1124" s="21"/>
      <c r="O1124" s="21"/>
    </row>
    <row r="1125" customFormat="false" ht="48" hidden="false" customHeight="true" outlineLevel="0" collapsed="false">
      <c r="C1125" s="22" t="s">
        <v>1017</v>
      </c>
      <c r="M1125" s="21"/>
      <c r="N1125" s="21"/>
      <c r="O1125" s="21"/>
    </row>
    <row r="1126" customFormat="false" ht="15" hidden="false" customHeight="true" outlineLevel="0" collapsed="false">
      <c r="C1126" s="23" t="s">
        <v>896</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989</v>
      </c>
    </row>
    <row r="1128" customFormat="false" ht="15" hidden="false" customHeight="true" outlineLevel="0" collapsed="false">
      <c r="A1128" s="3" t="s">
        <v>1018</v>
      </c>
      <c r="B1128" s="3" t="s">
        <v>91</v>
      </c>
      <c r="C1128" s="3" t="s">
        <v>1019</v>
      </c>
      <c r="M1128" s="21"/>
      <c r="N1128" s="21"/>
      <c r="O1128" s="21"/>
    </row>
    <row r="1129" customFormat="false" ht="48" hidden="false" customHeight="true" outlineLevel="0" collapsed="false">
      <c r="C1129" s="22" t="s">
        <v>1020</v>
      </c>
      <c r="M1129" s="21"/>
      <c r="N1129" s="21"/>
      <c r="O1129" s="21"/>
    </row>
    <row r="1130" customFormat="false" ht="15" hidden="false" customHeight="true" outlineLevel="0" collapsed="false">
      <c r="C1130" s="23" t="s">
        <v>896</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989</v>
      </c>
    </row>
    <row r="1132" customFormat="false" ht="15" hidden="false" customHeight="true" outlineLevel="0" collapsed="false">
      <c r="A1132" s="3" t="s">
        <v>1021</v>
      </c>
      <c r="B1132" s="3" t="s">
        <v>91</v>
      </c>
      <c r="C1132" s="3" t="s">
        <v>1022</v>
      </c>
      <c r="M1132" s="21"/>
      <c r="N1132" s="21"/>
      <c r="O1132" s="21"/>
    </row>
    <row r="1133" customFormat="false" ht="36" hidden="false" customHeight="true" outlineLevel="0" collapsed="false">
      <c r="C1133" s="22" t="s">
        <v>1023</v>
      </c>
      <c r="M1133" s="21"/>
      <c r="N1133" s="21"/>
      <c r="O1133" s="21"/>
    </row>
    <row r="1134" customFormat="false" ht="15" hidden="false" customHeight="true" outlineLevel="0" collapsed="false">
      <c r="C1134" s="23" t="s">
        <v>896</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989</v>
      </c>
    </row>
    <row r="1136" customFormat="false" ht="15" hidden="false" customHeight="true" outlineLevel="0" collapsed="false">
      <c r="A1136" s="3" t="s">
        <v>1024</v>
      </c>
      <c r="B1136" s="3" t="s">
        <v>91</v>
      </c>
      <c r="C1136" s="3" t="s">
        <v>1025</v>
      </c>
      <c r="M1136" s="21"/>
      <c r="N1136" s="21"/>
      <c r="O1136" s="21"/>
    </row>
    <row r="1137" customFormat="false" ht="36" hidden="false" customHeight="true" outlineLevel="0" collapsed="false">
      <c r="C1137" s="22" t="s">
        <v>1026</v>
      </c>
      <c r="M1137" s="21"/>
      <c r="N1137" s="21"/>
      <c r="O1137" s="21"/>
    </row>
    <row r="1138" customFormat="false" ht="15" hidden="false" customHeight="true" outlineLevel="0" collapsed="false">
      <c r="C1138" s="23" t="s">
        <v>896</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989</v>
      </c>
    </row>
    <row r="1140" customFormat="false" ht="15" hidden="false" customHeight="true" outlineLevel="0" collapsed="false">
      <c r="A1140" s="3" t="s">
        <v>1027</v>
      </c>
      <c r="B1140" s="3" t="s">
        <v>91</v>
      </c>
      <c r="C1140" s="3" t="s">
        <v>1028</v>
      </c>
      <c r="M1140" s="21"/>
      <c r="N1140" s="21"/>
      <c r="O1140" s="21"/>
    </row>
    <row r="1141" customFormat="false" ht="36" hidden="false" customHeight="true" outlineLevel="0" collapsed="false">
      <c r="C1141" s="22" t="s">
        <v>1029</v>
      </c>
      <c r="M1141" s="21"/>
      <c r="N1141" s="21"/>
      <c r="O1141" s="21"/>
    </row>
    <row r="1142" customFormat="false" ht="15" hidden="false" customHeight="true" outlineLevel="0" collapsed="false">
      <c r="C1142" s="23" t="s">
        <v>896</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989</v>
      </c>
    </row>
    <row r="1144" customFormat="false" ht="15" hidden="false" customHeight="true" outlineLevel="0" collapsed="false">
      <c r="A1144" s="3" t="s">
        <v>1030</v>
      </c>
      <c r="B1144" s="3" t="s">
        <v>91</v>
      </c>
      <c r="C1144" s="3" t="s">
        <v>1031</v>
      </c>
      <c r="M1144" s="21"/>
      <c r="N1144" s="21"/>
      <c r="O1144" s="21"/>
    </row>
    <row r="1145" customFormat="false" ht="48" hidden="false" customHeight="true" outlineLevel="0" collapsed="false">
      <c r="C1145" s="22" t="s">
        <v>1032</v>
      </c>
      <c r="M1145" s="21"/>
      <c r="N1145" s="21"/>
      <c r="O1145" s="21"/>
    </row>
    <row r="1146" customFormat="false" ht="15" hidden="false" customHeight="true" outlineLevel="0" collapsed="false">
      <c r="C1146" s="23" t="s">
        <v>896</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989</v>
      </c>
    </row>
    <row r="1148" customFormat="false" ht="15" hidden="false" customHeight="true" outlineLevel="0" collapsed="false">
      <c r="A1148" s="3" t="s">
        <v>1033</v>
      </c>
      <c r="B1148" s="3" t="s">
        <v>91</v>
      </c>
      <c r="C1148" s="3" t="s">
        <v>1034</v>
      </c>
      <c r="M1148" s="21"/>
      <c r="N1148" s="21"/>
      <c r="O1148" s="21"/>
    </row>
    <row r="1149" customFormat="false" ht="36" hidden="false" customHeight="true" outlineLevel="0" collapsed="false">
      <c r="C1149" s="22" t="s">
        <v>1035</v>
      </c>
      <c r="M1149" s="21"/>
      <c r="N1149" s="21"/>
      <c r="O1149" s="21"/>
    </row>
    <row r="1150" customFormat="false" ht="15" hidden="false" customHeight="true" outlineLevel="0" collapsed="false">
      <c r="C1150" s="23" t="s">
        <v>896</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989</v>
      </c>
    </row>
    <row r="1152" customFormat="false" ht="15" hidden="false" customHeight="true" outlineLevel="0" collapsed="false">
      <c r="A1152" s="3" t="s">
        <v>1036</v>
      </c>
      <c r="B1152" s="3" t="s">
        <v>91</v>
      </c>
      <c r="C1152" s="3" t="s">
        <v>1037</v>
      </c>
      <c r="M1152" s="21"/>
      <c r="N1152" s="21"/>
      <c r="O1152" s="21"/>
    </row>
    <row r="1153" customFormat="false" ht="36" hidden="false" customHeight="true" outlineLevel="0" collapsed="false">
      <c r="C1153" s="22" t="s">
        <v>1038</v>
      </c>
      <c r="M1153" s="21"/>
      <c r="N1153" s="21"/>
      <c r="O1153" s="21"/>
    </row>
    <row r="1154" customFormat="false" ht="15" hidden="false" customHeight="true" outlineLevel="0" collapsed="false">
      <c r="C1154" s="23" t="s">
        <v>896</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989</v>
      </c>
    </row>
    <row r="1156" customFormat="false" ht="15" hidden="false" customHeight="true" outlineLevel="0" collapsed="false">
      <c r="A1156" s="3" t="s">
        <v>1039</v>
      </c>
      <c r="B1156" s="3" t="s">
        <v>91</v>
      </c>
      <c r="C1156" s="3" t="s">
        <v>1040</v>
      </c>
      <c r="M1156" s="21"/>
      <c r="N1156" s="21"/>
      <c r="O1156" s="21"/>
    </row>
    <row r="1157" customFormat="false" ht="36" hidden="false" customHeight="true" outlineLevel="0" collapsed="false">
      <c r="C1157" s="22" t="s">
        <v>1041</v>
      </c>
      <c r="M1157" s="21"/>
      <c r="N1157" s="21"/>
      <c r="O1157" s="21"/>
    </row>
    <row r="1158" customFormat="false" ht="15" hidden="false" customHeight="true" outlineLevel="0" collapsed="false">
      <c r="C1158" s="23" t="s">
        <v>896</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989</v>
      </c>
    </row>
    <row r="1160" customFormat="false" ht="15" hidden="false" customHeight="true" outlineLevel="0" collapsed="false">
      <c r="A1160" s="3" t="s">
        <v>1042</v>
      </c>
      <c r="B1160" s="3" t="s">
        <v>91</v>
      </c>
      <c r="C1160" s="3" t="s">
        <v>1043</v>
      </c>
      <c r="M1160" s="21"/>
      <c r="N1160" s="21"/>
      <c r="O1160" s="21"/>
    </row>
    <row r="1161" customFormat="false" ht="36" hidden="false" customHeight="true" outlineLevel="0" collapsed="false">
      <c r="C1161" s="22" t="s">
        <v>1044</v>
      </c>
      <c r="M1161" s="21"/>
      <c r="N1161" s="21"/>
      <c r="O1161" s="21"/>
    </row>
    <row r="1162" customFormat="false" ht="15" hidden="false" customHeight="true" outlineLevel="0" collapsed="false">
      <c r="C1162" s="23" t="s">
        <v>896</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989</v>
      </c>
    </row>
    <row r="1164" customFormat="false" ht="15" hidden="false" customHeight="true" outlineLevel="0" collapsed="false">
      <c r="A1164" s="3" t="s">
        <v>1045</v>
      </c>
      <c r="B1164" s="3" t="s">
        <v>91</v>
      </c>
      <c r="C1164" s="3" t="s">
        <v>1046</v>
      </c>
      <c r="M1164" s="21"/>
      <c r="N1164" s="21"/>
      <c r="O1164" s="21"/>
    </row>
    <row r="1165" customFormat="false" ht="36" hidden="false" customHeight="true" outlineLevel="0" collapsed="false">
      <c r="C1165" s="22" t="s">
        <v>1047</v>
      </c>
      <c r="M1165" s="21"/>
      <c r="N1165" s="21"/>
      <c r="O1165" s="21"/>
    </row>
    <row r="1166" customFormat="false" ht="15" hidden="false" customHeight="true" outlineLevel="0" collapsed="false">
      <c r="C1166" s="23" t="s">
        <v>896</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989</v>
      </c>
    </row>
    <row r="1168" customFormat="false" ht="15" hidden="false" customHeight="true" outlineLevel="0" collapsed="false">
      <c r="A1168" s="3" t="s">
        <v>1048</v>
      </c>
      <c r="B1168" s="3" t="s">
        <v>91</v>
      </c>
      <c r="C1168" s="3" t="s">
        <v>1049</v>
      </c>
      <c r="M1168" s="21"/>
      <c r="N1168" s="21"/>
      <c r="O1168" s="21"/>
    </row>
    <row r="1169" customFormat="false" ht="36" hidden="false" customHeight="true" outlineLevel="0" collapsed="false">
      <c r="C1169" s="22" t="s">
        <v>1050</v>
      </c>
      <c r="M1169" s="21"/>
      <c r="N1169" s="21"/>
      <c r="O1169" s="21"/>
    </row>
    <row r="1170" customFormat="false" ht="15" hidden="false" customHeight="true" outlineLevel="0" collapsed="false">
      <c r="C1170" s="23" t="s">
        <v>896</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989</v>
      </c>
    </row>
    <row r="1172" customFormat="false" ht="15" hidden="false" customHeight="true" outlineLevel="0" collapsed="false">
      <c r="A1172" s="3" t="s">
        <v>1051</v>
      </c>
      <c r="B1172" s="3" t="s">
        <v>91</v>
      </c>
      <c r="C1172" s="3" t="s">
        <v>1052</v>
      </c>
      <c r="M1172" s="21"/>
      <c r="N1172" s="21"/>
      <c r="O1172" s="21"/>
    </row>
    <row r="1173" customFormat="false" ht="36" hidden="false" customHeight="true" outlineLevel="0" collapsed="false">
      <c r="C1173" s="22" t="s">
        <v>1053</v>
      </c>
      <c r="M1173" s="21"/>
      <c r="N1173" s="21"/>
      <c r="O1173" s="21"/>
    </row>
    <row r="1174" customFormat="false" ht="15" hidden="false" customHeight="true" outlineLevel="0" collapsed="false">
      <c r="C1174" s="23" t="s">
        <v>896</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989</v>
      </c>
    </row>
    <row r="1176" customFormat="false" ht="15" hidden="false" customHeight="true" outlineLevel="0" collapsed="false">
      <c r="A1176" s="3" t="s">
        <v>1054</v>
      </c>
      <c r="B1176" s="3" t="s">
        <v>91</v>
      </c>
      <c r="C1176" s="3" t="s">
        <v>1055</v>
      </c>
      <c r="M1176" s="21"/>
      <c r="N1176" s="21"/>
      <c r="O1176" s="21"/>
    </row>
    <row r="1177" customFormat="false" ht="48" hidden="false" customHeight="true" outlineLevel="0" collapsed="false">
      <c r="C1177" s="22" t="s">
        <v>1056</v>
      </c>
      <c r="M1177" s="21"/>
      <c r="N1177" s="21"/>
      <c r="O1177" s="21"/>
    </row>
    <row r="1178" customFormat="false" ht="15" hidden="false" customHeight="true" outlineLevel="0" collapsed="false">
      <c r="C1178" s="23" t="s">
        <v>896</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989</v>
      </c>
    </row>
    <row r="1180" customFormat="false" ht="15" hidden="false" customHeight="true" outlineLevel="0" collapsed="false">
      <c r="A1180" s="3" t="s">
        <v>1057</v>
      </c>
      <c r="B1180" s="3" t="s">
        <v>91</v>
      </c>
      <c r="C1180" s="3" t="s">
        <v>1058</v>
      </c>
      <c r="M1180" s="21"/>
      <c r="N1180" s="21"/>
      <c r="O1180" s="21"/>
    </row>
    <row r="1181" customFormat="false" ht="36" hidden="false" customHeight="true" outlineLevel="0" collapsed="false">
      <c r="C1181" s="22" t="s">
        <v>1059</v>
      </c>
      <c r="M1181" s="21"/>
      <c r="N1181" s="21"/>
      <c r="O1181" s="21"/>
    </row>
    <row r="1182" customFormat="false" ht="15" hidden="false" customHeight="true" outlineLevel="0" collapsed="false">
      <c r="C1182" s="23" t="s">
        <v>896</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989</v>
      </c>
    </row>
    <row r="1184" customFormat="false" ht="15" hidden="false" customHeight="true" outlineLevel="0" collapsed="false">
      <c r="A1184" s="3" t="s">
        <v>1060</v>
      </c>
      <c r="B1184" s="3" t="s">
        <v>91</v>
      </c>
      <c r="C1184" s="3" t="s">
        <v>1061</v>
      </c>
      <c r="M1184" s="21"/>
      <c r="N1184" s="21"/>
      <c r="O1184" s="21"/>
    </row>
    <row r="1185" customFormat="false" ht="36" hidden="false" customHeight="true" outlineLevel="0" collapsed="false">
      <c r="C1185" s="22" t="s">
        <v>1062</v>
      </c>
      <c r="M1185" s="21"/>
      <c r="N1185" s="21"/>
      <c r="O1185" s="21"/>
    </row>
    <row r="1186" customFormat="false" ht="15" hidden="false" customHeight="true" outlineLevel="0" collapsed="false">
      <c r="C1186" s="23" t="s">
        <v>896</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989</v>
      </c>
    </row>
    <row r="1188" customFormat="false" ht="15" hidden="false" customHeight="true" outlineLevel="0" collapsed="false">
      <c r="A1188" s="3" t="s">
        <v>1063</v>
      </c>
      <c r="B1188" s="3" t="s">
        <v>91</v>
      </c>
      <c r="C1188" s="3" t="s">
        <v>1064</v>
      </c>
      <c r="M1188" s="21"/>
      <c r="N1188" s="21"/>
      <c r="O1188" s="21"/>
    </row>
    <row r="1189" customFormat="false" ht="36" hidden="false" customHeight="true" outlineLevel="0" collapsed="false">
      <c r="C1189" s="22" t="s">
        <v>1065</v>
      </c>
      <c r="M1189" s="21"/>
      <c r="N1189" s="21"/>
      <c r="O1189" s="21"/>
    </row>
    <row r="1190" customFormat="false" ht="15" hidden="false" customHeight="true" outlineLevel="0" collapsed="false">
      <c r="C1190" s="23" t="s">
        <v>896</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989</v>
      </c>
    </row>
    <row r="1192" customFormat="false" ht="15" hidden="false" customHeight="true" outlineLevel="0" collapsed="false">
      <c r="A1192" s="3" t="s">
        <v>1066</v>
      </c>
      <c r="B1192" s="3" t="s">
        <v>91</v>
      </c>
      <c r="C1192" s="3" t="s">
        <v>1067</v>
      </c>
      <c r="M1192" s="21"/>
      <c r="N1192" s="21"/>
      <c r="O1192" s="21"/>
    </row>
    <row r="1193" customFormat="false" ht="36" hidden="false" customHeight="true" outlineLevel="0" collapsed="false">
      <c r="C1193" s="22" t="s">
        <v>1068</v>
      </c>
      <c r="M1193" s="21"/>
      <c r="N1193" s="21"/>
      <c r="O1193" s="21"/>
    </row>
    <row r="1194" customFormat="false" ht="15" hidden="false" customHeight="true" outlineLevel="0" collapsed="false">
      <c r="C1194" s="23" t="s">
        <v>896</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989</v>
      </c>
    </row>
    <row r="1196" customFormat="false" ht="15" hidden="false" customHeight="true" outlineLevel="0" collapsed="false">
      <c r="A1196" s="3" t="s">
        <v>1069</v>
      </c>
      <c r="B1196" s="3" t="s">
        <v>91</v>
      </c>
      <c r="C1196" s="3" t="s">
        <v>1070</v>
      </c>
      <c r="M1196" s="21"/>
      <c r="N1196" s="21"/>
      <c r="O1196" s="21"/>
    </row>
    <row r="1197" customFormat="false" ht="36" hidden="false" customHeight="true" outlineLevel="0" collapsed="false">
      <c r="C1197" s="22" t="s">
        <v>1071</v>
      </c>
      <c r="M1197" s="21"/>
      <c r="N1197" s="21"/>
      <c r="O1197" s="21"/>
    </row>
    <row r="1198" customFormat="false" ht="15" hidden="false" customHeight="true" outlineLevel="0" collapsed="false">
      <c r="C1198" s="23" t="s">
        <v>896</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989</v>
      </c>
    </row>
    <row r="1200" customFormat="false" ht="15" hidden="false" customHeight="true" outlineLevel="0" collapsed="false">
      <c r="A1200" s="3" t="s">
        <v>1072</v>
      </c>
      <c r="B1200" s="3" t="s">
        <v>91</v>
      </c>
      <c r="C1200" s="3" t="s">
        <v>1073</v>
      </c>
      <c r="M1200" s="21"/>
      <c r="N1200" s="21"/>
      <c r="O1200" s="21"/>
    </row>
    <row r="1201" customFormat="false" ht="36" hidden="false" customHeight="true" outlineLevel="0" collapsed="false">
      <c r="C1201" s="22" t="s">
        <v>1074</v>
      </c>
      <c r="M1201" s="21"/>
      <c r="N1201" s="21"/>
      <c r="O1201" s="21"/>
    </row>
    <row r="1202" customFormat="false" ht="15" hidden="false" customHeight="true" outlineLevel="0" collapsed="false">
      <c r="C1202" s="23" t="s">
        <v>896</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989</v>
      </c>
    </row>
    <row r="1204" customFormat="false" ht="15" hidden="false" customHeight="true" outlineLevel="0" collapsed="false">
      <c r="A1204" s="3" t="s">
        <v>1075</v>
      </c>
      <c r="B1204" s="3" t="s">
        <v>91</v>
      </c>
      <c r="C1204" s="3" t="s">
        <v>1076</v>
      </c>
      <c r="M1204" s="21"/>
      <c r="N1204" s="21"/>
      <c r="O1204" s="21"/>
    </row>
    <row r="1205" customFormat="false" ht="36" hidden="false" customHeight="true" outlineLevel="0" collapsed="false">
      <c r="C1205" s="22" t="s">
        <v>1077</v>
      </c>
      <c r="M1205" s="21"/>
      <c r="N1205" s="21"/>
      <c r="O1205" s="21"/>
    </row>
    <row r="1206" customFormat="false" ht="15" hidden="false" customHeight="true" outlineLevel="0" collapsed="false">
      <c r="C1206" s="23" t="s">
        <v>896</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989</v>
      </c>
    </row>
    <row r="1208" customFormat="false" ht="15" hidden="false" customHeight="true" outlineLevel="0" collapsed="false">
      <c r="A1208" s="3" t="s">
        <v>1078</v>
      </c>
      <c r="B1208" s="3" t="s">
        <v>91</v>
      </c>
      <c r="C1208" s="3" t="s">
        <v>1079</v>
      </c>
      <c r="M1208" s="21"/>
      <c r="N1208" s="21"/>
      <c r="O1208" s="21"/>
    </row>
    <row r="1209" customFormat="false" ht="36" hidden="false" customHeight="true" outlineLevel="0" collapsed="false">
      <c r="C1209" s="22" t="s">
        <v>1080</v>
      </c>
      <c r="M1209" s="21"/>
      <c r="N1209" s="21"/>
      <c r="O1209" s="21"/>
    </row>
    <row r="1210" customFormat="false" ht="15" hidden="false" customHeight="true" outlineLevel="0" collapsed="false">
      <c r="C1210" s="23" t="s">
        <v>896</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989</v>
      </c>
    </row>
    <row r="1212" customFormat="false" ht="15" hidden="false" customHeight="true" outlineLevel="0" collapsed="false">
      <c r="A1212" s="3" t="s">
        <v>1081</v>
      </c>
      <c r="B1212" s="3" t="s">
        <v>91</v>
      </c>
      <c r="C1212" s="3" t="s">
        <v>1082</v>
      </c>
      <c r="M1212" s="21"/>
      <c r="N1212" s="21"/>
      <c r="O1212" s="21"/>
    </row>
    <row r="1213" customFormat="false" ht="36" hidden="false" customHeight="true" outlineLevel="0" collapsed="false">
      <c r="C1213" s="22" t="s">
        <v>1083</v>
      </c>
      <c r="M1213" s="21"/>
      <c r="N1213" s="21"/>
      <c r="O1213" s="21"/>
    </row>
    <row r="1214" customFormat="false" ht="15" hidden="false" customHeight="true" outlineLevel="0" collapsed="false">
      <c r="C1214" s="23" t="s">
        <v>896</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989</v>
      </c>
    </row>
    <row r="1216" customFormat="false" ht="15" hidden="false" customHeight="true" outlineLevel="0" collapsed="false">
      <c r="A1216" s="3" t="s">
        <v>1084</v>
      </c>
      <c r="B1216" s="3" t="s">
        <v>91</v>
      </c>
      <c r="C1216" s="3" t="s">
        <v>1085</v>
      </c>
      <c r="M1216" s="21"/>
      <c r="N1216" s="21"/>
      <c r="O1216" s="21"/>
    </row>
    <row r="1217" customFormat="false" ht="36" hidden="false" customHeight="true" outlineLevel="0" collapsed="false">
      <c r="C1217" s="22" t="s">
        <v>1086</v>
      </c>
      <c r="M1217" s="21"/>
      <c r="N1217" s="21"/>
      <c r="O1217" s="21"/>
    </row>
    <row r="1218" customFormat="false" ht="15" hidden="false" customHeight="true" outlineLevel="0" collapsed="false">
      <c r="C1218" s="23" t="s">
        <v>896</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989</v>
      </c>
    </row>
    <row r="1220" customFormat="false" ht="15" hidden="false" customHeight="true" outlineLevel="0" collapsed="false">
      <c r="A1220" s="3" t="s">
        <v>1087</v>
      </c>
      <c r="B1220" s="3" t="s">
        <v>91</v>
      </c>
      <c r="C1220" s="3" t="s">
        <v>1088</v>
      </c>
      <c r="M1220" s="21"/>
      <c r="N1220" s="21"/>
      <c r="O1220" s="21"/>
    </row>
    <row r="1221" customFormat="false" ht="36" hidden="false" customHeight="true" outlineLevel="0" collapsed="false">
      <c r="C1221" s="22" t="s">
        <v>1089</v>
      </c>
      <c r="M1221" s="21"/>
      <c r="N1221" s="21"/>
      <c r="O1221" s="21"/>
    </row>
    <row r="1222" customFormat="false" ht="15" hidden="false" customHeight="true" outlineLevel="0" collapsed="false">
      <c r="C1222" s="23" t="s">
        <v>896</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989</v>
      </c>
    </row>
    <row r="1224" customFormat="false" ht="15" hidden="false" customHeight="true" outlineLevel="0" collapsed="false">
      <c r="A1224" s="3" t="s">
        <v>1090</v>
      </c>
      <c r="B1224" s="3" t="s">
        <v>91</v>
      </c>
      <c r="C1224" s="3" t="s">
        <v>1091</v>
      </c>
      <c r="M1224" s="21"/>
      <c r="N1224" s="21"/>
      <c r="O1224" s="21"/>
    </row>
    <row r="1225" customFormat="false" ht="36" hidden="false" customHeight="true" outlineLevel="0" collapsed="false">
      <c r="C1225" s="22" t="s">
        <v>1092</v>
      </c>
      <c r="M1225" s="21"/>
      <c r="N1225" s="21"/>
      <c r="O1225" s="21"/>
    </row>
    <row r="1226" customFormat="false" ht="15" hidden="false" customHeight="true" outlineLevel="0" collapsed="false">
      <c r="C1226" s="23" t="s">
        <v>896</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989</v>
      </c>
    </row>
    <row r="1228" customFormat="false" ht="15" hidden="false" customHeight="true" outlineLevel="0" collapsed="false">
      <c r="A1228" s="3" t="s">
        <v>1093</v>
      </c>
      <c r="B1228" s="3" t="s">
        <v>91</v>
      </c>
      <c r="C1228" s="3" t="s">
        <v>1094</v>
      </c>
      <c r="M1228" s="21"/>
      <c r="N1228" s="21"/>
      <c r="O1228" s="21"/>
    </row>
    <row r="1229" customFormat="false" ht="36" hidden="false" customHeight="true" outlineLevel="0" collapsed="false">
      <c r="C1229" s="22" t="s">
        <v>1095</v>
      </c>
      <c r="M1229" s="21"/>
      <c r="N1229" s="21"/>
      <c r="O1229" s="21"/>
    </row>
    <row r="1230" customFormat="false" ht="15" hidden="false" customHeight="true" outlineLevel="0" collapsed="false">
      <c r="C1230" s="23" t="s">
        <v>896</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989</v>
      </c>
    </row>
    <row r="1232" customFormat="false" ht="15" hidden="false" customHeight="true" outlineLevel="0" collapsed="false">
      <c r="A1232" s="3" t="s">
        <v>1096</v>
      </c>
      <c r="B1232" s="3" t="s">
        <v>91</v>
      </c>
      <c r="C1232" s="3" t="s">
        <v>1097</v>
      </c>
      <c r="M1232" s="21"/>
      <c r="N1232" s="21"/>
      <c r="O1232" s="21"/>
    </row>
    <row r="1233" customFormat="false" ht="36" hidden="false" customHeight="true" outlineLevel="0" collapsed="false">
      <c r="C1233" s="22" t="s">
        <v>1098</v>
      </c>
      <c r="M1233" s="21"/>
      <c r="N1233" s="21"/>
      <c r="O1233" s="21"/>
    </row>
    <row r="1234" customFormat="false" ht="15" hidden="false" customHeight="true" outlineLevel="0" collapsed="false">
      <c r="C1234" s="23" t="s">
        <v>896</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989</v>
      </c>
    </row>
    <row r="1236" customFormat="false" ht="15" hidden="false" customHeight="true" outlineLevel="0" collapsed="false">
      <c r="A1236" s="3" t="s">
        <v>1099</v>
      </c>
      <c r="B1236" s="3" t="s">
        <v>91</v>
      </c>
      <c r="C1236" s="3" t="s">
        <v>1100</v>
      </c>
      <c r="M1236" s="21"/>
      <c r="N1236" s="21"/>
      <c r="O1236" s="21"/>
    </row>
    <row r="1237" customFormat="false" ht="36" hidden="false" customHeight="true" outlineLevel="0" collapsed="false">
      <c r="C1237" s="22" t="s">
        <v>1101</v>
      </c>
      <c r="M1237" s="21"/>
      <c r="N1237" s="21"/>
      <c r="O1237" s="21"/>
    </row>
    <row r="1238" customFormat="false" ht="15" hidden="false" customHeight="true" outlineLevel="0" collapsed="false">
      <c r="C1238" s="23" t="s">
        <v>896</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989</v>
      </c>
    </row>
    <row r="1240" customFormat="false" ht="15" hidden="false" customHeight="true" outlineLevel="0" collapsed="false">
      <c r="A1240" s="3" t="s">
        <v>1102</v>
      </c>
      <c r="B1240" s="3" t="s">
        <v>91</v>
      </c>
      <c r="C1240" s="3" t="s">
        <v>1103</v>
      </c>
      <c r="M1240" s="21"/>
      <c r="N1240" s="21"/>
      <c r="O1240" s="21"/>
    </row>
    <row r="1241" customFormat="false" ht="36" hidden="false" customHeight="true" outlineLevel="0" collapsed="false">
      <c r="C1241" s="22" t="s">
        <v>1104</v>
      </c>
      <c r="M1241" s="21"/>
      <c r="N1241" s="21"/>
      <c r="O1241" s="21"/>
    </row>
    <row r="1242" customFormat="false" ht="15" hidden="false" customHeight="true" outlineLevel="0" collapsed="false">
      <c r="C1242" s="23" t="s">
        <v>896</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989</v>
      </c>
    </row>
    <row r="1244" customFormat="false" ht="15" hidden="false" customHeight="true" outlineLevel="0" collapsed="false">
      <c r="A1244" s="3" t="s">
        <v>1105</v>
      </c>
      <c r="B1244" s="3" t="s">
        <v>91</v>
      </c>
      <c r="C1244" s="3" t="s">
        <v>1106</v>
      </c>
      <c r="M1244" s="21"/>
      <c r="N1244" s="21"/>
      <c r="O1244" s="21"/>
    </row>
    <row r="1245" customFormat="false" ht="36" hidden="false" customHeight="true" outlineLevel="0" collapsed="false">
      <c r="C1245" s="22" t="s">
        <v>1107</v>
      </c>
      <c r="M1245" s="21"/>
      <c r="N1245" s="21"/>
      <c r="O1245" s="21"/>
    </row>
    <row r="1246" customFormat="false" ht="15" hidden="false" customHeight="true" outlineLevel="0" collapsed="false">
      <c r="C1246" s="23" t="s">
        <v>896</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989</v>
      </c>
    </row>
    <row r="1248" customFormat="false" ht="15" hidden="false" customHeight="true" outlineLevel="0" collapsed="false">
      <c r="A1248" s="3" t="s">
        <v>1108</v>
      </c>
      <c r="B1248" s="3" t="s">
        <v>91</v>
      </c>
      <c r="C1248" s="3" t="s">
        <v>1109</v>
      </c>
      <c r="M1248" s="21"/>
      <c r="N1248" s="21"/>
      <c r="O1248" s="21"/>
    </row>
    <row r="1249" customFormat="false" ht="36" hidden="false" customHeight="true" outlineLevel="0" collapsed="false">
      <c r="C1249" s="22" t="s">
        <v>1110</v>
      </c>
      <c r="M1249" s="21"/>
      <c r="N1249" s="21"/>
      <c r="O1249" s="21"/>
    </row>
    <row r="1250" customFormat="false" ht="15" hidden="false" customHeight="true" outlineLevel="0" collapsed="false">
      <c r="C1250" s="23" t="s">
        <v>896</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989</v>
      </c>
    </row>
    <row r="1252" customFormat="false" ht="15" hidden="false" customHeight="true" outlineLevel="0" collapsed="false">
      <c r="A1252" s="3" t="s">
        <v>1111</v>
      </c>
      <c r="B1252" s="3" t="s">
        <v>91</v>
      </c>
      <c r="C1252" s="3" t="s">
        <v>1112</v>
      </c>
      <c r="M1252" s="21"/>
      <c r="N1252" s="21"/>
      <c r="O1252" s="21"/>
    </row>
    <row r="1253" customFormat="false" ht="36" hidden="false" customHeight="true" outlineLevel="0" collapsed="false">
      <c r="C1253" s="22" t="s">
        <v>1113</v>
      </c>
      <c r="M1253" s="21"/>
      <c r="N1253" s="21"/>
      <c r="O1253" s="21"/>
    </row>
    <row r="1254" customFormat="false" ht="15" hidden="false" customHeight="true" outlineLevel="0" collapsed="false">
      <c r="C1254" s="23" t="s">
        <v>896</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989</v>
      </c>
    </row>
    <row r="1256" customFormat="false" ht="15" hidden="false" customHeight="true" outlineLevel="0" collapsed="false">
      <c r="A1256" s="3" t="s">
        <v>1114</v>
      </c>
      <c r="B1256" s="3" t="s">
        <v>91</v>
      </c>
      <c r="C1256" s="3" t="s">
        <v>1115</v>
      </c>
      <c r="M1256" s="21"/>
      <c r="N1256" s="21"/>
      <c r="O1256" s="21"/>
    </row>
    <row r="1257" customFormat="false" ht="36" hidden="false" customHeight="true" outlineLevel="0" collapsed="false">
      <c r="C1257" s="22" t="s">
        <v>1116</v>
      </c>
      <c r="M1257" s="21"/>
      <c r="N1257" s="21"/>
      <c r="O1257" s="21"/>
    </row>
    <row r="1258" customFormat="false" ht="15" hidden="false" customHeight="true" outlineLevel="0" collapsed="false">
      <c r="C1258" s="23" t="s">
        <v>896</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989</v>
      </c>
    </row>
    <row r="1260" customFormat="false" ht="15" hidden="false" customHeight="true" outlineLevel="0" collapsed="false">
      <c r="A1260" s="3" t="s">
        <v>1117</v>
      </c>
      <c r="B1260" s="3" t="s">
        <v>91</v>
      </c>
      <c r="C1260" s="3" t="s">
        <v>1118</v>
      </c>
      <c r="M1260" s="21"/>
      <c r="N1260" s="21"/>
      <c r="O1260" s="21"/>
    </row>
    <row r="1261" customFormat="false" ht="36" hidden="false" customHeight="true" outlineLevel="0" collapsed="false">
      <c r="C1261" s="22" t="s">
        <v>1119</v>
      </c>
      <c r="M1261" s="21"/>
      <c r="N1261" s="21"/>
      <c r="O1261" s="21"/>
    </row>
    <row r="1262" customFormat="false" ht="15" hidden="false" customHeight="true" outlineLevel="0" collapsed="false">
      <c r="C1262" s="23" t="s">
        <v>896</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989</v>
      </c>
    </row>
    <row r="1264" customFormat="false" ht="15" hidden="false" customHeight="true" outlineLevel="0" collapsed="false">
      <c r="A1264" s="3" t="s">
        <v>1120</v>
      </c>
      <c r="C1264" s="3" t="s">
        <v>1121</v>
      </c>
      <c r="M1264" s="21" t="s">
        <v>194</v>
      </c>
      <c r="N1264" s="21" t="s">
        <v>63</v>
      </c>
      <c r="O1264" s="21" t="s">
        <v>1120</v>
      </c>
    </row>
    <row r="1265" customFormat="false" ht="15" hidden="false" customHeight="true" outlineLevel="0" collapsed="false">
      <c r="A1265" s="3" t="s">
        <v>1122</v>
      </c>
      <c r="B1265" s="3" t="s">
        <v>91</v>
      </c>
      <c r="C1265" s="3" t="s">
        <v>1123</v>
      </c>
      <c r="M1265" s="21"/>
      <c r="N1265" s="21"/>
      <c r="O1265" s="21"/>
    </row>
    <row r="1266" customFormat="false" ht="72" hidden="false" customHeight="true" outlineLevel="0" collapsed="false">
      <c r="C1266" s="22" t="s">
        <v>1124</v>
      </c>
      <c r="M1266" s="21"/>
      <c r="N1266" s="21"/>
      <c r="O1266" s="21"/>
    </row>
    <row r="1267" customFormat="false" ht="15" hidden="false" customHeight="true" outlineLevel="0" collapsed="false">
      <c r="C1267" s="23" t="s">
        <v>896</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1120</v>
      </c>
    </row>
    <row r="1269" customFormat="false" ht="15" hidden="false" customHeight="true" outlineLevel="0" collapsed="false">
      <c r="A1269" s="3" t="s">
        <v>1125</v>
      </c>
      <c r="B1269" s="3" t="s">
        <v>91</v>
      </c>
      <c r="C1269" s="3" t="s">
        <v>1126</v>
      </c>
      <c r="M1269" s="21"/>
      <c r="N1269" s="21"/>
      <c r="O1269" s="21"/>
    </row>
    <row r="1270" customFormat="false" ht="60" hidden="false" customHeight="true" outlineLevel="0" collapsed="false">
      <c r="C1270" s="22" t="s">
        <v>1127</v>
      </c>
      <c r="M1270" s="21"/>
      <c r="N1270" s="21"/>
      <c r="O1270" s="21"/>
    </row>
    <row r="1271" customFormat="false" ht="15" hidden="false" customHeight="true" outlineLevel="0" collapsed="false">
      <c r="C1271" s="23" t="s">
        <v>896</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1120</v>
      </c>
    </row>
    <row r="1273" customFormat="false" ht="15" hidden="false" customHeight="true" outlineLevel="0" collapsed="false">
      <c r="A1273" s="3" t="s">
        <v>1128</v>
      </c>
      <c r="C1273" s="3" t="s">
        <v>1129</v>
      </c>
      <c r="M1273" s="21" t="s">
        <v>194</v>
      </c>
      <c r="N1273" s="21" t="s">
        <v>63</v>
      </c>
      <c r="O1273" s="21" t="s">
        <v>1128</v>
      </c>
    </row>
    <row r="1274" customFormat="false" ht="15" hidden="false" customHeight="true" outlineLevel="0" collapsed="false">
      <c r="A1274" s="3" t="s">
        <v>1130</v>
      </c>
      <c r="B1274" s="3" t="s">
        <v>158</v>
      </c>
      <c r="C1274" s="3" t="s">
        <v>1131</v>
      </c>
      <c r="M1274" s="21"/>
      <c r="N1274" s="21"/>
      <c r="O1274" s="21"/>
    </row>
    <row r="1275" customFormat="false" ht="48" hidden="false" customHeight="true" outlineLevel="0" collapsed="false">
      <c r="C1275" s="22" t="s">
        <v>1132</v>
      </c>
      <c r="M1275" s="21"/>
      <c r="N1275" s="21"/>
      <c r="O1275" s="21"/>
    </row>
    <row r="1276" customFormat="false" ht="15" hidden="false" customHeight="true" outlineLevel="0" collapsed="false">
      <c r="C1276" s="23" t="s">
        <v>896</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1128</v>
      </c>
    </row>
    <row r="1278" customFormat="false" ht="15" hidden="false" customHeight="true" outlineLevel="0" collapsed="false">
      <c r="A1278" s="3" t="s">
        <v>1133</v>
      </c>
      <c r="B1278" s="3" t="s">
        <v>158</v>
      </c>
      <c r="C1278" s="3" t="s">
        <v>1134</v>
      </c>
      <c r="M1278" s="21"/>
      <c r="N1278" s="21"/>
      <c r="O1278" s="21"/>
    </row>
    <row r="1279" customFormat="false" ht="108" hidden="false" customHeight="true" outlineLevel="0" collapsed="false">
      <c r="C1279" s="22" t="s">
        <v>1135</v>
      </c>
      <c r="M1279" s="21"/>
      <c r="N1279" s="21"/>
      <c r="O1279" s="21"/>
    </row>
    <row r="1280" customFormat="false" ht="15" hidden="false" customHeight="true" outlineLevel="0" collapsed="false">
      <c r="C1280" s="23" t="s">
        <v>896</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1128</v>
      </c>
    </row>
    <row r="1282" customFormat="false" ht="15" hidden="false" customHeight="true" outlineLevel="0" collapsed="false">
      <c r="A1282" s="3" t="s">
        <v>1136</v>
      </c>
      <c r="B1282" s="3" t="s">
        <v>91</v>
      </c>
      <c r="C1282" s="3" t="s">
        <v>1137</v>
      </c>
      <c r="M1282" s="21"/>
      <c r="N1282" s="21"/>
      <c r="O1282" s="21"/>
    </row>
    <row r="1283" customFormat="false" ht="60" hidden="false" customHeight="true" outlineLevel="0" collapsed="false">
      <c r="C1283" s="22" t="s">
        <v>1138</v>
      </c>
      <c r="M1283" s="21"/>
      <c r="N1283" s="21"/>
      <c r="O1283" s="21"/>
    </row>
    <row r="1284" customFormat="false" ht="15" hidden="false" customHeight="true" outlineLevel="0" collapsed="false">
      <c r="C1284" s="23" t="s">
        <v>896</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1128</v>
      </c>
    </row>
    <row r="1286" customFormat="false" ht="15" hidden="false" customHeight="true" outlineLevel="0" collapsed="false">
      <c r="C1286" s="30" t="s">
        <v>1139</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1140</v>
      </c>
    </row>
    <row r="3" customFormat="false" ht="42" hidden="false" customHeight="true" outlineLevel="0" collapsed="false">
      <c r="A3" s="34" t="s">
        <v>1141</v>
      </c>
      <c r="B3" s="22" t="s">
        <v>1142</v>
      </c>
    </row>
    <row r="4" customFormat="false" ht="27.75" hidden="false" customHeight="true" outlineLevel="0" collapsed="false">
      <c r="A4" s="34" t="s">
        <v>1143</v>
      </c>
      <c r="B4" s="22" t="s">
        <v>1144</v>
      </c>
    </row>
    <row r="5" customFormat="false" ht="42" hidden="false" customHeight="true" outlineLevel="0" collapsed="false">
      <c r="A5" s="34" t="s">
        <v>1145</v>
      </c>
      <c r="B5" s="22" t="s">
        <v>1146</v>
      </c>
    </row>
    <row r="6" customFormat="false" ht="42" hidden="false" customHeight="true" outlineLevel="0" collapsed="false">
      <c r="A6" s="34" t="s">
        <v>1147</v>
      </c>
      <c r="B6" s="22" t="s">
        <v>1148</v>
      </c>
    </row>
    <row r="7" customFormat="false" ht="27.75" hidden="false" customHeight="true" outlineLevel="0" collapsed="false">
      <c r="A7" s="34" t="s">
        <v>1149</v>
      </c>
      <c r="B7" s="22" t="s">
        <v>1150</v>
      </c>
    </row>
    <row r="8" customFormat="false" ht="27.75" hidden="false" customHeight="true" outlineLevel="0" collapsed="false">
      <c r="A8" s="34" t="s">
        <v>1151</v>
      </c>
      <c r="B8" s="22" t="s">
        <v>1152</v>
      </c>
    </row>
    <row r="9" customFormat="false" ht="27.75" hidden="false" customHeight="true" outlineLevel="0" collapsed="false">
      <c r="A9" s="34" t="s">
        <v>1153</v>
      </c>
      <c r="B9" s="22" t="s">
        <v>1154</v>
      </c>
    </row>
    <row r="10" customFormat="false" ht="27.75" hidden="false" customHeight="true" outlineLevel="0" collapsed="false">
      <c r="A10" s="34" t="s">
        <v>1155</v>
      </c>
      <c r="B10" s="22" t="s">
        <v>1156</v>
      </c>
    </row>
    <row r="11" customFormat="false" ht="27.75" hidden="false" customHeight="true" outlineLevel="0" collapsed="false">
      <c r="A11" s="34" t="s">
        <v>1157</v>
      </c>
      <c r="B11" s="22" t="s">
        <v>1158</v>
      </c>
    </row>
    <row r="12" customFormat="false" ht="27.75" hidden="false" customHeight="true" outlineLevel="0" collapsed="false">
      <c r="A12" s="34" t="s">
        <v>1159</v>
      </c>
      <c r="B12" s="22" t="s">
        <v>1160</v>
      </c>
    </row>
    <row r="13" customFormat="false" ht="63.75" hidden="false" customHeight="true" outlineLevel="0" collapsed="false">
      <c r="A13" s="34" t="s">
        <v>1161</v>
      </c>
      <c r="B13" s="22" t="s">
        <v>1162</v>
      </c>
    </row>
    <row r="14" customFormat="false" ht="63.75" hidden="false" customHeight="true" outlineLevel="0" collapsed="false">
      <c r="A14" s="34" t="s">
        <v>1163</v>
      </c>
      <c r="B14" s="22" t="s">
        <v>1164</v>
      </c>
    </row>
    <row r="15" customFormat="false" ht="102" hidden="false" customHeight="true" outlineLevel="0" collapsed="false">
      <c r="A15" s="34" t="s">
        <v>1165</v>
      </c>
      <c r="B15" s="22" t="s">
        <v>1166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1167</v>
      </c>
    </row>
    <row r="2" customFormat="false" ht="15" hidden="false" customHeight="true" outlineLevel="0" collapsed="false">
      <c r="A2" s="8" t="s">
        <v>1168</v>
      </c>
    </row>
    <row r="3" customFormat="false" ht="15" hidden="false" customHeight="true" outlineLevel="0" collapsed="false">
      <c r="A3" s="8" t="s">
        <v>1169</v>
      </c>
    </row>
    <row r="5" customFormat="false" ht="21.75" hidden="false" customHeight="true" outlineLevel="0" collapsed="false">
      <c r="A5" s="36" t="s">
        <v>90</v>
      </c>
      <c r="B5" s="36" t="s">
        <v>91</v>
      </c>
      <c r="C5" s="36" t="s">
        <v>4</v>
      </c>
      <c r="D5" s="36" t="s">
        <v>1170</v>
      </c>
      <c r="E5" s="36" t="s">
        <v>1171</v>
      </c>
      <c r="F5" s="36" t="s">
        <v>1172</v>
      </c>
      <c r="G5" s="36" t="s">
        <v>1173</v>
      </c>
      <c r="H5" s="36" t="s">
        <v>98</v>
      </c>
      <c r="I5" s="36" t="s">
        <v>1174</v>
      </c>
      <c r="J5" s="36" t="s">
        <v>1175</v>
      </c>
      <c r="K5" s="36" t="s">
        <v>1176</v>
      </c>
      <c r="L5" s="36" t="s">
        <v>1177</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1178</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1179</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1180</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1181</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1182</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1183</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1184</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1185</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1186</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1187</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1188</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1189</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1190</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1191</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1192</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1193</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1194</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1195</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1196</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1197</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1198</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1199</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1200</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1201</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1202</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1203</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1204</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1205</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1206</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1207</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1208</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1209</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1210</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1211</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1212</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1213</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1214</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1215</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1216</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1217</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1218</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1219</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1220</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1221</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1222</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24.39</v>
      </c>
      <c r="F55" s="25" t="n">
        <f aca="false">E55-D55</f>
        <v>-1.61</v>
      </c>
      <c r="G55" s="39" t="n">
        <f aca="false">IF(D55=0,"-",F55/D55)</f>
        <v>-0.0619230769230769</v>
      </c>
      <c r="H55" s="40" t="n">
        <f aca="false">Presupuesto!J540</f>
        <v>215</v>
      </c>
      <c r="I55" s="25" t="n">
        <f aca="false">ROUND(D55*H55,2)</f>
        <v>5590</v>
      </c>
      <c r="J55" s="40" t="n">
        <f aca="false">Presupuesto!K540</f>
        <v>5243.85</v>
      </c>
      <c r="K55" s="25" t="n">
        <f aca="false">J55-I55</f>
        <v>-346.15</v>
      </c>
      <c r="L55" s="22" t="s">
        <v>1223</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1224</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1225</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1226</v>
      </c>
    </row>
    <row r="60" customFormat="false" ht="15" hidden="false" customHeight="true" outlineLevel="0" collapsed="false">
      <c r="C60" s="3" t="s">
        <v>1227</v>
      </c>
      <c r="I60" s="41" t="n">
        <f aca="false">SUM(I6:I58)</f>
        <v>207459.85</v>
      </c>
      <c r="J60" s="41" t="n">
        <f aca="false">SUM(J6:J58)</f>
        <v>217133.12</v>
      </c>
      <c r="K60" s="41" t="n">
        <f aca="false">SUM(K6:K58)</f>
        <v>9673.27000000001</v>
      </c>
    </row>
    <row r="62" customFormat="false" ht="15" hidden="false" customHeight="true" outlineLevel="0" collapsed="false">
      <c r="C62" s="8" t="s">
        <v>1228</v>
      </c>
      <c r="J62" s="38" t="n">
        <v>359203.02</v>
      </c>
    </row>
    <row r="63" customFormat="false" ht="15" hidden="false" customHeight="true" outlineLevel="0" collapsed="false">
      <c r="C63" s="8" t="s">
        <v>1229</v>
      </c>
      <c r="J63" s="40" t="n">
        <f aca="false">Resumen!C41</f>
        <v>362026.28</v>
      </c>
    </row>
    <row r="64" customFormat="false" ht="15" hidden="false" customHeight="true" outlineLevel="0" collapsed="false">
      <c r="C64" s="3" t="s">
        <v>1172</v>
      </c>
      <c r="J64" s="41" t="n">
        <f aca="false">J63-J62</f>
        <v>2823.26000000001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2026-10-21T20:43:13Z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