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<sst xmlns="http://schemas.openxmlformats.org/spreadsheetml/2006/main" count="2866" uniqueCount="1232">
  <si>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</si>
  <si>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</si>
  <si>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</si>
  <si>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</si>
  <si>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</si>
  <si>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</si>
  <si>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</si>
  <si>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</si>
  <si>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</si>
  <si>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</si>
  <si>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</si>
  <si>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</si>
  <si>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</si>
  <si>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</si>
  <si>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</si>
  <si>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</si>
  <si>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</si>
  <si>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</si>
  <si>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</si>
  <si>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</si>
  <si>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</si>
  <si>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</si>
  <si>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</si>
  <si>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</si>
  <si>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</si>
  <si>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</si>
  <si>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</si>
  <si>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</si>
  <si>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</si>
  <si>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</si>
  <si>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</si>
  <si>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</si>
  <si>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</si>
  <si>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</si>
  <si>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</si>
  <si>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</si>
  <si>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</si>
  <si>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</si>
  <si>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</si>
  <si>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</si>
  <si>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</si>
  <si>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</si>
  <si>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</si>
  <si>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</si>
  <si>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</si>
  <si>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</si>
  <si>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</si>
  <si>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</si>
  <si>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</si>
  <si>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</si>
  <si>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</si>
  <si>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</si>
  <si>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</si>
  <si>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</si>
  <si>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</si>
  <si>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</si>
  <si>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</si>
  <si>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</si>
  <si>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</si>
  <si>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</si>
  <si>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</si>
  <si>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</si>
  <si>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</si>
  <si>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</si>
  <si>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</si>
  <si>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</si>
  <si>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</si>
  <si>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</si>
  <si>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</si>
  <si>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</si>
  <si>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</si>
  <si>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</si>
  <si>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</si>
  <si>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</si>
  <si>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</si>
  <si>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</si>
  <si>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</si>
  <si>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</si>
  <si>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</si>
  <si>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</si>
  <si>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</si>
  <si>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</si>
  <si>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</si>
  <si>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</si>
  <si>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</si>
  <si>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</si>
  <si>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</si>
  <si>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</si>
  <si>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</si>
  <si>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</si>
  <si>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</si>
  <si>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</si>
  <si>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</si>
  <si>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</si>
  <si>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</si>
  <si>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</si>
  <si>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</si>
  <si>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</si>
  <si>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</si>
  <si>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</si>
  <si>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</si>
  <si>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</si>
  <si>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</si>
  <si>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</si>
  <si>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</si>
  <si>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</si>
  <si>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</si>
  <si>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</si>
  <si>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</si>
  <si>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</si>
  <si>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</si>
  <si>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</si>
  <si>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</si>
  <si>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</si>
  <si>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</si>
  <si>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</si>
  <si>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</si>
  <si>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</si>
  <si>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</si>
  <si>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</si>
  <si>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</si>
  <si>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</si>
  <si>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</si>
  <si>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</si>
  <si>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</si>
  <si>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</si>
  <si>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</si>
  <si>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</si>
  <si>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</si>
  <si>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</si>
  <si>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</si>
  <si>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</si>
  <si>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</si>
  <si>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</si>
  <si>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</si>
  <si>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</si>
  <si>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</si>
  <si>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</si>
  <si>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</si>
  <si>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</si>
  <si>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</si>
  <si>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</si>
  <si>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</si>
  <si>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</si>
  <si>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</si>
  <si>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</si>
  <si>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</si>
  <si>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</si>
  <si>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</si>
  <si>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</si>
  <si>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</si>
  <si>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</si>
  <si>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</si>
  <si>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</si>
  <si>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</si>
  <si>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</si>
  <si>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</si>
  <si>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</si>
  <si>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</si>
  <si>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</si>
  <si>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</si>
  <si>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</si>
  <si>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</si>
  <si>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</si>
  <si>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</si>
  <si>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</si>
  <si>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</si>
  <si>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</si>
  <si>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</si>
  <si>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</si>
  <si>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</si>
  <si>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</si>
  <si>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</si>
  <si>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</si>
  <si>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</si>
  <si>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</si>
  <si>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</si>
  <si>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</si>
  <si>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</si>
  <si>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</si>
  <si>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</si>
  <si>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</si>
  <si>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</si>
  <si>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</si>
  <si>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</si>
  <si>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</si>
  <si>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</si>
  <si>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</si>
  <si>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</si>
  <si>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</si>
  <si>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</si>
  <si>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</si>
  <si>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</si>
  <si>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</si>
  <si>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</si>
  <si>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</si>
  <si>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</si>
  <si>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</si>
  <si>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</si>
  <si>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</si>
  <si>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</si>
  <si>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</si>
  <si>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</si>
  <si>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</si>
  <si>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</si>
  <si>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</si>
  <si>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</si>
  <si>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</si>
  <si>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</si>
  <si>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</si>
  <si>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</si>
  <si>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</si>
  <si>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</si>
  <si>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</si>
  <si>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</si>
  <si>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</si>
  <si>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</si>
  <si>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</si>
  <si>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</si>
  <si>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</si>
  <si>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</si>
  <si>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</si>
  <si>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</si>
  <si>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</si>
  <si>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</si>
  <si>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</si>
  <si>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</si>
  <si>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</si>
  <si>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</si>
  <si>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</si>
  <si>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</si>
  <si>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</si>
  <si>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</si>
  <si>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</si>
  <si>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</si>
  <si>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</si>
  <si>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</si>
  <si>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</si>
  <si>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</si>
  <si>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</si>
  <si>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</si>
  <si>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</si>
  <si>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</si>
  <si>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</si>
  <si>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</si>
  <si>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</si>
  <si>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</si>
  <si>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</si>
  <si>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</si>
  <si>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</si>
  <si>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</si>
  <si>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</si>
  <si>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</si>
  <si>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</si>
  <si>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</si>
  <si>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</si>
  <si>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</si>
  <si>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</si>
  <si>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</si>
  <si>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</si>
  <si>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</si>
  <si>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</si>
  <si>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</si>
  <si>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</si>
  <si>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</si>
  <si>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</si>
  <si>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</si>
  <si>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</si>
  <si>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</si>
  <si>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</si>
  <si>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</si>
  <si>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</si>
  <si>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</si>
  <si>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</si>
  <si>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</si>
  <si>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</si>
  <si>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</si>
  <si>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</si>
  <si>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</si>
  <si>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</si>
  <si>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</si>
  <si>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</si>
  <si>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</si>
  <si>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</si>
  <si>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</si>
  <si>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</si>
  <si>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</si>
  <si>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</si>
  <si>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</si>
  <si>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</si>
  <si>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</si>
  <si>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</si>
  <si>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</si>
  <si>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</si>
  <si>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</si>
  <si>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</si>
  <si>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</si>
  <si>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</si>
  <si>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</si>
  <si>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</si>
  <si>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</si>
  <si>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</si>
  <si>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</si>
  <si>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</si>
  <si>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</si>
  <si>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</si>
  <si>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</si>
  <si>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</si>
  <si>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</si>
  <si>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</si>
  <si>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</si>
  <si>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</si>
  <si>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</si>
  <si>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</si>
  <si>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</si>
  <si>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</si>
  <si>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</si>
  <si>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</si>
  <si>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</si>
  <si>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</si>
  <si>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</si>
  <si>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</si>
  <si>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</si>
  <si>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</si>
  <si>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</si>
  <si>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</si>
  <si>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</si>
  <si>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</si>
  <si>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</si>
  <si>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</si>
  <si>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</si>
  <si>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</si>
  <si>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</si>
  <si>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</si>
  <si>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</si>
  <si>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</si>
  <si>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</si>
  <si>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</si>
  <si>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</si>
  <si>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</si>
  <si>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</si>
  <si>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</si>
  <si>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</si>
  <si>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</si>
  <si>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</si>
  <si>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</si>
  <si>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</si>
  <si>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</si>
  <si>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</si>
  <si>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</si>
  <si>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</si>
  <si>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</si>
  <si>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</si>
  <si>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</si>
  <si>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</si>
  <si>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</si>
  <si>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</si>
  <si>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</si>
  <si>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</si>
  <si>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</si>
  <si>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</si>
  <si>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</si>
  <si>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</si>
  <si>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</si>
  <si>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</si>
  <si>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</si>
  <si>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</si>
  <si>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</si>
  <si>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</si>
  <si>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</si>
  <si>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</si>
  <si>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</si>
  <si>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</si>
  <si>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</si>
  <si>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</si>
  <si>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</si>
  <si>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</si>
  <si>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</si>
  <si>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</si>
  <si>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</si>
  <si>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</si>
  <si>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</si>
  <si>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</si>
  <si>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</si>
  <si>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</si>
  <si>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</si>
  <si>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</si>
  <si>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</si>
  <si>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</si>
  <si>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</si>
  <si>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</si>
  <si>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</si>
  <si>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</si>
  <si>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</si>
  <si>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</si>
  <si>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</si>
  <si>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</si>
  <si>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</si>
  <si>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</si>
  <si>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</si>
  <si>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</si>
  <si>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</si>
  <si>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</si>
  <si>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</si>
  <si>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</si>
  <si>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</si>
  <si>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</si>
  <si>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</si>
  <si>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</si>
  <si>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</si>
  <si>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</si>
  <si>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</si>
  <si>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</si>
  <si>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</si>
  <si>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</si>
  <si>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</si>
  <si>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</si>
  <si>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</si>
  <si>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</si>
  <si>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</si>
  <si>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</si>
  <si>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</si>
  <si>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</si>
  <si>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</si>
  <si>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</si>
  <si>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</si>
  <si>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</si>
  <si>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</si>
  <si>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</si>
  <si>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</si>
  <si>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</si>
  <si>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</si>
  <si>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</si>
  <si>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</si>
  <si>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</si>
  <si>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</si>
  <si>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</si>
  <si>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</si>
  <si>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</si>
  <si>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</si>
  <si>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</si>
  <si>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</si>
  <si>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</si>
  <si>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</si>
  <si>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</si>
  <si>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</si>
  <si>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</si>
  <si>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</si>
  <si>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</si>
  <si>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</si>
  <si>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</si>
  <si>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</si>
  <si>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</si>
  <si>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</si>
  <si>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</si>
  <si>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</si>
  <si>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</si>
  <si>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</si>
  <si>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</si>
  <si>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</si>
  <si>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</si>
  <si>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</si>
  <si>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</si>
  <si>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</si>
  <si>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</si>
  <si>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</si>
  <si>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</si>
  <si>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</si>
  <si>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</si>
  <si>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</si>
  <si>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</si>
  <si>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</si>
  <si>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</si>
  <si>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</si>
  <si>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</si>
  <si>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</si>
  <si>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</si>
  <si>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</si>
  <si>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</si>
  <si>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</si>
  <si>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</si>
  <si>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</si>
  <si>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</si>
  <si>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</si>
  <si>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</si>
  <si>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</si>
  <si>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</si>
  <si>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</si>
  <si>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</si>
  <si>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</si>
  <si>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</si>
  <si>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</si>
  <si>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</si>
  <si>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</si>
  <si>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</si>
  <si>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</si>
  <si>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</si>
  <si>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</si>
  <si>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</si>
  <si>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</si>
  <si>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</si>
  <si>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</si>
  <si>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</si>
  <si>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</si>
  <si>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</si>
  <si>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</si>
  <si>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</si>
  <si>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</si>
  <si>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</si>
  <si>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</si>
  <si>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</si>
  <si>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</si>
  <si>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</si>
  <si>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</si>
  <si>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</si>
  <si>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</si>
  <si>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</si>
  <si>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</si>
  <si>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</si>
  <si>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</si>
  <si>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</si>
  <si>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</si>
  <si>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</si>
  <si>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</si>
  <si>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</si>
  <si>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</si>
  <si>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</si>
  <si>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</si>
  <si>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</si>
  <si>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</si>
  <si>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</si>
  <si>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</si>
  <si>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</si>
  <si>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</si>
  <si>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</si>
  <si>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</si>
  <si>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</si>
  <si>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</si>
  <si>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</si>
  <si>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</si>
  <si>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</si>
  <si>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</si>
  <si>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</si>
  <si>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</si>
  <si>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</si>
  <si>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</si>
  <si>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</si>
  <si>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</si>
  <si>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</si>
  <si>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</si>
  <si>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</si>
  <si>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</si>
  <si>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</si>
  <si>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</si>
  <si>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</si>
  <si>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</si>
  <si>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</si>
  <si>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</si>
  <si>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</si>
  <si>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</si>
  <si>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</si>
  <si>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</si>
  <si>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</si>
  <si>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</si>
  <si>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</si>
  <si>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</si>
  <si>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</si>
  <si>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</si>
  <si>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</si>
  <si>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</si>
  <si>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</si>
  <si>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</si>
  <si>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</si>
  <si>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</si>
  <si>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</si>
  <si>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</si>
  <si>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</si>
  <si>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</si>
  <si>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</si>
  <si>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</si>
  <si>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</si>
  <si>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</si>
  <si>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</si>
  <si>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</si>
  <si>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</si>
  <si>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</si>
  <si>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</si>
  <si>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</si>
  <si>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</si>
  <si>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</si>
  <si>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</si>
  <si>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</si>
  <si>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</si>
  <si>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</si>
  <si>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</si>
  <si>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</si>
  <si>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</si>
  <si>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</si>
  <si>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</si>
  <si>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</si>
  <si>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</si>
  <si>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</si>
  <si>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</si>
  <si>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</si>
  <si>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</si>
  <si>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</si>
  <si>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</si>
  <si>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</si>
  <si>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</si>
  <si>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</si>
  <si>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</si>
  <si>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</si>
  <si>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</si>
  <si>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</si>
  <si>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</si>
  <si>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</si>
  <si>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</si>
  <si>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</si>
  <si>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</si>
  <si>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</si>
  <si>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</si>
  <si>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</si>
  <si>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</si>
  <si>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</si>
  <si>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</si>
  <si>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</si>
  <si>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</si>
  <si>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</si>
  <si>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</si>
  <si>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</si>
  <si>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</si>
  <si>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</si>
  <si>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</si>
  <si>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</si>
  <si>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</si>
  <si>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</si>
  <si>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</si>
  <si>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</si>
  <si>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</si>
  <si>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</si>
  <si>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</si>
  <si>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</si>
  <si>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</si>
  <si>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</si>
  <si>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</si>
  <si>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</si>
  <si>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</si>
  <si>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</si>
  <si>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</si>
  <si>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</si>
  <si>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</si>
  <si>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</si>
  <si>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</si>
  <si>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</si>
  <si>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</si>
  <si>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</si>
  <si>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</si>
  <si>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</si>
  <si>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</si>
  <si>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</si>
  <si>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</si>
  <si>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</si>
  <si>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</si>
  <si>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</si>
  <si>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</si>
  <si>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</si>
  <si>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</si>
  <si>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</si>
  <si>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</si>
  <si>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</si>
  <si>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</si>
  <si>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</si>
  <si>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</si>
  <si>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</si>
  <si>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</si>
  <si>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</si>
  <si>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</si>
  <si>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</si>
  <si>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</si>
  <si>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</si>
  <si>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</si>
  <si>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</si>
  <si>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</si>
  <si>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</si>
  <si>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</si>
  <si>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</si>
  <si>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</si>
  <si>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</si>
  <si>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</si>
  <si>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</si>
  <si>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</si>
  <si>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</si>
  <si>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</si>
  <si>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</si>
  <si>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</si>
  <si>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</si>
  <si>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</si>
  <si>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</si>
  <si>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</si>
  <si>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</si>
  <si>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</si>
  <si>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</si>
  <si>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</si>
  <si>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</si>
  <si>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(11, contadas en el modelo 3D el 22-oct; la campana va aparte)</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</si>
  <si>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</si>
  <si>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</si>
  <si>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</si>
  <si>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</si>
  <si>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</si>
  <si>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</si>
  <si>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</si>
  <si>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</si>
  <si>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</si>
  <si>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</si>
  <si>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</si>
  <si>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</si>
  <si>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</si>
  <si>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</si>
  <si>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</si>
  <si>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</si>
  <si>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</si>
  <si>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</si>
  <si>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</si>
  <si>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</si>
  <si>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</si>
  <si>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</si>
  <si>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</si>
  <si>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</si>
  <si>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</si>
  <si>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</si>
  <si>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</si>
  <si>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</si>
  <si>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</si>
  <si>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</si>
  <si>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</si>
  <si>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</si>
  <si>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</si>
  <si>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</si>
  <si>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</si>
  <si>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</si>
  <si>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</si>
  <si>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</si>
  <si>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</si>
  <si>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</si>
  <si>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</si>
  <si>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</si>
  <si>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</si>
  <si>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</si>
  <si>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</si>
  <si>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</si>
  <si>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</si>
  <si>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</si>
  <si>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</si>
  <si>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</si>
  <si>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</si>
  <si>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</si>
  <si>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</si>
  <si>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</si>
  <si>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</si>
  <si>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</si>
  <si>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</si>
  <si>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</si>
  <si>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</si>
  <si>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</si>
  <si>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</si>
  <si>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</si>
  <si>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</si>
  <si>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</si>
  <si>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</si>
  <si>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</si>
  <si>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</si>
  <si>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</si>
  <si>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</si>
  <si>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</si>
  <si>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</si>
  <si>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</si>
  <si>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</si>
  <si>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</si>
  <si>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</si>
  <si>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</si>
  <si>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</si>
  <si>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</si>
  <si>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</si>
  <si>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</si>
  <si>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</si>
  <si>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</si>
  <si>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</si>
  <si>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</si>
  <si>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</si>
  <si>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</si>
  <si>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</si>
  <si>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</si>
  <si>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</si>
  <si>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</si>
  <si>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</si>
  <si>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</si>
  <si>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</si>
  <si>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</si>
  <si>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</si>
  <si>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</si>
  <si>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</si>
  <si>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</si>
  <si>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</si>
  <si>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</si>
  <si>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</si>
  <si>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</si>
  <si>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</si>
  <si>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(11)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</si>
  <si>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</si>
  <si>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</si>
  <si>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</si>
  <si>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</si>
  <si>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</si>
  <si>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</si>
  <si>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</si>
  <si>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</si>
  <si>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</si>
  <si>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</si>
  <si>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</si>
  <si>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</si>
  <si>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</si>
  <si>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</si>
  <si>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</si>
  <si>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</si>
  <si>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</si>
  <si>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</si>
  <si>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</si>
  <si>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</si>
  <si>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</si>
  <si>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</si>
  <si>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</si>
  <si>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</si>
  <si>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</si>
  <si>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</si>
  <si>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</si>
  <si>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</si>
  <si>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</si>
  <si>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</si>
  <si>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</si>
  <si>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</si>
  <si>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</si>
  <si>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</si>
  <si>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</si>
  <si>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</si>
  <si>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</si>
  <si>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</si>
  <si>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</si>
  <si>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</si>
  <si>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</si>
  <si>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</si>
  <si>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</si>
  <si>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</si>
  <si>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</si>
  <si>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</si>
  <si>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</si>
  <si>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</si>
  <si>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</si>
  <si>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</si>
  <si>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</si>
  <si>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</si>
  <si>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</si>
  <si>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</si>
  <si>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</si>
  <si>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</si>
  <si>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</si>
  <si>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</si>
  <si>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</si>
  <si>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</si>
  <si>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</si>
  <si>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</si>
  <si>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</si>
  <si>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</si>
  <si>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</si>
  <si>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</si>
  <si>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</si>
  <si>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</si>
  <si>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</si>
  <si>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</si>
  <si>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</si>
  <si>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</si>
  <si>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</si>
  <si>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</si>
  <si>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</si>
  <si>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</si>
  <si>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</si>
  <si>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</si>
  <si>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</si>
  <si>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</si>
  <si>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</si>
  <si>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</si>
  <si>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</si>
  <si>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</si>
  <si>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</si>
  <si>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</si>
  <si>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</si>
  <si>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</si>
  <si>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</si>
  <si>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</si>
  <si>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</si>
  <si>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</si>
  <si>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</si>
  <si>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</si>
  <si>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</si>
  <si>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</si>
  <si>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</si>
  <si>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</si>
  <si>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</si>
  <si>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</si>
  <si>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</si>
  <si>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</si>
  <si>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</si>
  <si>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</si>
  <si>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</si>
  <si>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</si>
  <si>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</si>
  <si>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</si>
  <si>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</si>
  <si>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</si>
  <si>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</si>
  <si>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</si>
  <si>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</si>
  <si>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</si>
  <si>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</si>
  <si>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</si>
  <si>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</si>
  <si>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</si>
  <si>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</si>
  <si>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</si>
  <si>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</si>
  <si>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</si>
  <si>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</si>
  <si>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</si>
  <si>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</si>
  <si>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</si>
  <si>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</si>
  <si>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</si>
  <si>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</si>
  <si>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</si>
  <si>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</si>
  <si>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</si>
  <si>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</si>
  <si>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</si>
  <si>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</si>
  <si>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</si>
  <si>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</si>
  <si>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</si>
  <si>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</si>
  <si>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</si>
  <si>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</si>
  <si>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</si>
  <si>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</si>
  <si>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</si>
  <si>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</si>
  <si>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</si>
  <si>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</si>
  <si>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</si>
  <si>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</si>
  <si>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</si>
  <si>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</si>
  <si>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</si>
  <si>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</si>
  <si>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</si>
  <si>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</si>
  <si>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</si>
  <si>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</si>
  <si>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</si>
  <si>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</si>
  <si>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</si>
  <si>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</si>
  <si>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</si>
  <si>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</si>
  <si>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</si>
  <si>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</si>
  <si>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</si>
  <si>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</si>
  <si>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</si>
  <si>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</si>
  <si>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</si>
  <si>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</si>
  <si>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</si>
  <si>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</si>
  <si>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</si>
  <si>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</si>
  <si>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</si>
  <si>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</si>
  <si>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</si>
  <si>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</si>
  <si>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</si>
  <si>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</si>
  <si>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</si>
  <si>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</si>
  <si>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</si>
  <si>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</si>
  <si>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</si>
  <si>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</si>
  <si>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</si>
  <si>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</si>
  <si>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</si>
  <si>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</si>
  <si>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</si>
  <si>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</si>
  <si>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</si>
  <si>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</si>
  <si>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</si>
  <si>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</si>
  <si>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</si>
  <si>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</si>
  <si>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</si>
  <si>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</si>
  <si>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</si>
  <si>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</si>
  <si>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</si>
  <si>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</si>
  <si>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</si>
  <si>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</si>
  <si>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</si>
  <si>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</si>
  <si>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</si>
  <si>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</si>
  <si>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</si>
  <si>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</si>
  <si>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</si>
  <si>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</si>
  <si>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</si>
  <si>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</si>
  <si>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</si>
  <si>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</si>
  <si>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</si>
  <si>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</si>
  <si>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</si>
  <si>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</si>
  <si>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</si>
  <si>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</si>
  <si>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</si>
  <si>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</si>
  <si>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</si>
  <si>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</si>
  <si>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</si>
  <si>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</si>
  <si>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</si>
  <si>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</si>
  <si>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</si>
  <si>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</si>
  <si>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</si>
  <si>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</si>
  <si>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</si>
  <si>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</si>
  <si>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</si>
  <si>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</si>
  <si>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</si>
  <si>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</si>
  <si>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</si>
  <si>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</si>
  <si>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</si>
  <si>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</si>
  <si>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</si>
  <si>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</si>
  <si>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</si>
  <si>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</si>
  <si>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</si>
  <si>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</si>
  <si>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</si>
  <si>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</si>
  <si>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</si>
  <si>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</si>
  <si>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</si>
  <si>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</si>
  <si>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</si>
  <si>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</si>
  <si>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</si>
  <si>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</si>
  <si>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</si>
  <si>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</si>
  <si>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</si>
  <si>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</si>
  <si>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</si>
  <si>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</si>
  <si>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</si>
  <si>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</si>
  <si>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</si>
  <si>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</si>
  <si>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</si>
  <si>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</si>
  <si>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</si>
  <si>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</si>
  <si>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</si>
  <si>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</si>
  <si>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</si>
  <si>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</si>
  <si>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</si>
  <si>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</si>
  <si>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</si>
  <si>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</si>
  <si>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</si>
  <si>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</si>
  <si>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</si>
  <si>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</si>
  <si>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</si>
  <si>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</si>
  <si>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</si>
  <si>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</si>
  <si>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</si>
  <si>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</si>
  <si>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</si>
  <si>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</si>
  <si>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</si>
  <si>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</si>
  <si>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</si>
  <si>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</si>
  <si>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</si>
  <si>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</si>
  <si>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</si>
  <si>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</si>
  <si>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</si>
  <si>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</si>
  <si>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</si>
  <si>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</si>
  <si>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</si>
  <si>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</si>
  <si>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</si>
  <si>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</si>
  <si>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</si>
  <si>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</si>
  <si>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</si>
  <si>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</si>
  <si>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</si>
  <si>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</si>
  <si>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</si>
  <si>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</si>
  <si>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</si>
  <si>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</si>
  <si>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</si>
  <si>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</si>
  <si>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</si>
  <si>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</si>
  <si>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</si>
  <si>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</si>
  <si>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</si>
  <si>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</si>
  <si>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</si>
  <si>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</si>
  <si>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</si>
  <si>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</si>
  <si>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</si>
  <si>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</si>
  <si>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</si>
  <si>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</si>
  <si>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</si>
  <si>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</si>
  <si>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</si>
  <si>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</si>
  <si>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</si>
  <si>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</si>
  <si>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</si>
  <si>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</si>
  <si>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</si>
  <si>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</si>
  <si>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</si>
  <si>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</si>
  <si>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</si>
  <si>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</si>
  <si>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</si>
  <si>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</si>
  <si>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</si>
  <si>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</si>
  <si>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</si>
  <si>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</si>
  <si>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(lodosa_bim_20261022-0127.ifc,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01:27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11 bocas en los planos LO-H5 y LO-H6, contadas en el modelo 3D (16.04.01, 16.04.02 y 16.05.24).</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</si>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</sst>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0.00420426204902534</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0.0138025519368071</v>
      </c>
    </row>
    <row r="9" customFormat="false" ht="15" hidden="false" customHeight="true" outlineLevel="0" collapsed="false">
      <c r="A9" s="3" t="s">
        <v>13</v>
      </c>
      <c r="B9" s="3" t="s">
        <v>14</v>
      </c>
      <c r="C9" s="6" t="n">
        <f aca="false">Presupuesto!K101</f>
        <v>6481.94</v>
      </c>
      <c r="D9" s="7" t="n">
        <f aca="false">IF($C$41=0,0,C9/$C$41)</f>
        <v>0.0178011459573188</v>
      </c>
    </row>
    <row r="10" customFormat="false" ht="15" hidden="false" customHeight="true" outlineLevel="0" collapsed="false">
      <c r="A10" s="3" t="s">
        <v>15</v>
      </c>
      <c r="B10" s="3" t="s">
        <v>16</v>
      </c>
      <c r="C10" s="6" t="n">
        <f aca="false">Presupuesto!K175</f>
        <v>71882.81</v>
      </c>
      <c r="D10" s="7" t="n">
        <f aca="false">IF($C$41=0,0,C10/$C$41)</f>
        <v>0.197409478124175</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0.153877007113576</v>
      </c>
    </row>
    <row r="14" customFormat="false" ht="15" hidden="false" customHeight="true" outlineLevel="0" collapsed="false">
      <c r="A14" s="3" t="s">
        <v>23</v>
      </c>
      <c r="B14" s="3" t="s">
        <v>24</v>
      </c>
      <c r="C14" s="6" t="n">
        <f aca="false">Presupuesto!K311</f>
        <v>14386.83</v>
      </c>
      <c r="D14" s="7" t="n">
        <f aca="false">IF($C$41=0,0,C14/$C$41)</f>
        <v>0.039510094307126</v>
      </c>
    </row>
    <row r="15" customFormat="false" ht="15" hidden="false" customHeight="true" outlineLevel="0" collapsed="false">
      <c r="A15" s="3" t="s">
        <v>25</v>
      </c>
      <c r="B15" s="3" t="s">
        <v>26</v>
      </c>
      <c r="C15" s="6" t="n">
        <f aca="false">Presupuesto!K347</f>
        <v>7531.54</v>
      </c>
      <c r="D15" s="7" t="n">
        <f aca="false">IF($C$41=0,0,C15/$C$41)</f>
        <v>0.0206836291023034</v>
      </c>
    </row>
    <row r="16" customFormat="false" ht="15" hidden="false" customHeight="true" outlineLevel="0" collapsed="false">
      <c r="A16" s="3" t="s">
        <v>27</v>
      </c>
      <c r="B16" s="3" t="s">
        <v>28</v>
      </c>
      <c r="C16" s="6" t="n">
        <f aca="false">Presupuesto!K362</f>
        <v>3675.43</v>
      </c>
      <c r="D16" s="7" t="n">
        <f aca="false">IF($C$41=0,0,C16/$C$41)</f>
        <v>0.010093716678326</v>
      </c>
    </row>
    <row r="17" customFormat="false" ht="15" hidden="false" customHeight="true" outlineLevel="0" collapsed="false">
      <c r="A17" s="3" t="s">
        <v>29</v>
      </c>
      <c r="B17" s="3" t="s">
        <v>30</v>
      </c>
      <c r="C17" s="6" t="n">
        <f aca="false">Presupuesto!K403</f>
        <v>21764.7</v>
      </c>
      <c r="D17" s="7" t="n">
        <f aca="false">IF($C$41=0,0,C17/$C$41)</f>
        <v>0.0597717043689475</v>
      </c>
    </row>
    <row r="18" customFormat="false" ht="15" hidden="false" customHeight="true" outlineLevel="0" collapsed="false">
      <c r="A18" s="3" t="s">
        <v>31</v>
      </c>
      <c r="B18" s="3" t="s">
        <v>32</v>
      </c>
      <c r="C18" s="6" t="n">
        <f aca="false">Presupuesto!K434</f>
        <v>28576.34</v>
      </c>
      <c r="D18" s="7" t="n">
        <f aca="false">IF($C$41=0,0,C18/$C$41)</f>
        <v>0.0784782949650824</v>
      </c>
    </row>
    <row r="19" customFormat="false" ht="15" hidden="false" customHeight="true" outlineLevel="0" collapsed="false">
      <c r="A19" s="3" t="s">
        <v>33</v>
      </c>
      <c r="B19" s="3" t="s">
        <v>34</v>
      </c>
      <c r="C19" s="6" t="n">
        <f aca="false">Presupuesto!K453</f>
        <v>10570.72</v>
      </c>
      <c r="D19" s="7" t="n">
        <f aca="false">IF($C$41=0,0,C19/$C$41)</f>
        <v>0.0290300326127592</v>
      </c>
    </row>
    <row r="20" customFormat="false" ht="15" hidden="false" customHeight="true" outlineLevel="0" collapsed="false">
      <c r="A20" s="3" t="s">
        <v>35</v>
      </c>
      <c r="B20" s="3" t="s">
        <v>36</v>
      </c>
      <c r="C20" s="6" t="n">
        <f aca="false">Presupuesto!K521</f>
        <v>52569.01</v>
      </c>
      <c r="D20" s="7" t="n">
        <f aca="false">IF($C$41=0,0,C20/$C$41)</f>
        <v>0.144368602585299</v>
      </c>
    </row>
    <row r="21" customFormat="false" ht="15" hidden="false" customHeight="true" outlineLevel="0" collapsed="false">
      <c r="A21" s="3" t="s">
        <v>37</v>
      </c>
      <c r="B21" s="3" t="s">
        <v>38</v>
      </c>
      <c r="C21" s="6" t="n">
        <f aca="false">Presupuesto!K553</f>
        <v>20509.5</v>
      </c>
      <c r="D21" s="7" t="n">
        <f aca="false">IF($C$41=0,0,C21/$C$41)</f>
        <v>0.0563245884737639</v>
      </c>
    </row>
    <row r="22" customFormat="false" ht="15" hidden="false" customHeight="true" outlineLevel="0" collapsed="false">
      <c r="A22" s="3" t="s">
        <v>39</v>
      </c>
      <c r="B22" s="3" t="s">
        <v>40</v>
      </c>
      <c r="C22" s="6" t="n">
        <f aca="false">Presupuesto!K565</f>
        <v>8961.34</v>
      </c>
      <c r="D22" s="7" t="n">
        <f aca="false">IF($C$41=0,0,C22/$C$41)</f>
        <v>0.0246102434322377</v>
      </c>
    </row>
    <row r="23" customFormat="false" ht="15" hidden="false" customHeight="true" outlineLevel="0" collapsed="false">
      <c r="A23" s="3" t="s">
        <v>41</v>
      </c>
      <c r="B23" s="3" t="s">
        <v>42</v>
      </c>
      <c r="C23" s="6" t="n">
        <f aca="false">Presupuesto!K962</f>
        <v>46262.05</v>
      </c>
      <c r="D23" s="7" t="n">
        <f aca="false">IF($C$41=0,0,C23/$C$41)</f>
        <v>0.127047998644662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4334.5</v>
      </c>
    </row>
    <row r="28" customFormat="false" ht="15" hidden="false" customHeight="true" outlineLevel="0" collapsed="false">
      <c r="A28" s="8" t="s">
        <v>51</v>
      </c>
      <c r="B28" s="8" t="s">
        <v>52</v>
      </c>
      <c r="C28" s="9" t="n">
        <f aca="false">SUMIFS(Presupuesto!$K$5:$K$1288,Presupuesto!$M$5:$M$1288,"P",Presupuesto!$O$5:$O$1288,"16.05")</f>
        <v>12535.07</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0.00418668593228763</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0.00755234751146492</v>
      </c>
    </row>
    <row r="34" customFormat="false" ht="15" hidden="false" customHeight="true" outlineLevel="0" collapsed="false">
      <c r="A34" s="3" t="s">
        <v>63</v>
      </c>
      <c r="B34" s="3" t="s">
        <v>64</v>
      </c>
      <c r="C34" s="6" t="n">
        <f aca="false">Presupuesto!K1286</f>
        <v>4095.6</v>
      </c>
      <c r="D34" s="7" t="n">
        <f aca="false">IF($C$41=0,0,C34/$C$41)</f>
        <v>0.0112476162048391</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364130.49</v>
      </c>
    </row>
    <row r="43" customFormat="false" ht="15" hidden="false" customHeight="true" outlineLevel="0" collapsed="false">
      <c r="B43" s="8" t="s">
        <v>76</v>
      </c>
      <c r="C43" s="12" t="n">
        <f aca="false">ROUND(C41*D43,2)</f>
        <v>18206.52</v>
      </c>
      <c r="D43" s="13" t="n">
        <v>0.05</v>
      </c>
    </row>
    <row r="44" customFormat="false" ht="15" hidden="false" customHeight="true" outlineLevel="0" collapsed="false">
      <c r="B44" s="8" t="s">
        <v>77</v>
      </c>
      <c r="C44" s="12" t="n">
        <f aca="false">ROUND(C41*D44,2)</f>
        <v>18206.52</v>
      </c>
      <c r="D44" s="13" t="n">
        <v>0.05</v>
      </c>
    </row>
    <row r="45" customFormat="false" ht="15" hidden="false" customHeight="true" outlineLevel="0" collapsed="false">
      <c r="B45" s="3" t="s">
        <v>78</v>
      </c>
      <c r="C45" s="14" t="n">
        <f aca="false">C41+C43+C44</f>
        <v>400543.53</v>
      </c>
    </row>
    <row r="46" customFormat="false" ht="15" hidden="false" customHeight="true" outlineLevel="0" collapsed="false">
      <c r="B46" s="8" t="s">
        <v>79</v>
      </c>
      <c r="C46" s="12" t="n">
        <f aca="false">ROUND(C45*D46,2)</f>
        <v>40054.35</v>
      </c>
      <c r="D46" s="13" t="n">
        <v>0.1</v>
      </c>
    </row>
    <row r="47" customFormat="false" ht="15" hidden="false" customHeight="true" outlineLevel="0" collapsed="false">
      <c r="B47" s="10" t="s">
        <v>80</v>
      </c>
      <c r="C47" s="11" t="n">
        <f aca="false">C45+C46</f>
        <v>440597.88</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1036.87707158722</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11</v>
      </c>
      <c r="H745" s="25" t="n">
        <f aca="false">IF(COUNT(D745:G745)=0,0,D745*IF(E745="",1,E745)*IF(F745="",1,F745)*IF(G745="",1,G745))</f>
        <v>11</v>
      </c>
      <c r="M745" s="21"/>
      <c r="N745" s="21"/>
      <c r="O745" s="21"/>
    </row>
    <row r="746" customFormat="false" ht="18.75" hidden="false" customHeight="true" outlineLevel="0" collapsed="false">
      <c r="H746" s="26"/>
      <c r="I746" s="27" t="n">
        <f aca="false">ROUND(SUM(H745:H745),2)</f>
        <v>11</v>
      </c>
      <c r="J746" s="28" t="n">
        <v>38</v>
      </c>
      <c r="K746" s="27" t="n">
        <f aca="false">ROUND(I746*J746,2)</f>
        <v>418</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11</v>
      </c>
      <c r="H749" s="25" t="n">
        <f aca="false">IF(COUNT(D749:G749)=0,0,D749*IF(E749="",1,E749)*IF(F749="",1,F749)*IF(G749="",1,G749))</f>
        <v>11</v>
      </c>
      <c r="M749" s="21"/>
      <c r="N749" s="21"/>
      <c r="O749" s="21"/>
    </row>
    <row r="750" customFormat="false" ht="18.75" hidden="false" customHeight="true" outlineLevel="0" collapsed="false">
      <c r="H750" s="26"/>
      <c r="I750" s="27" t="n">
        <f aca="false">ROUND(SUM(H749:H749),2)</f>
        <v>11</v>
      </c>
      <c r="J750" s="28" t="n">
        <v>265</v>
      </c>
      <c r="K750" s="27" t="n">
        <f aca="false">ROUND(I750*J750,2)</f>
        <v>2915</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12</v>
      </c>
      <c r="H863" s="25" t="n">
        <f aca="false">IF(COUNT(D863:G863)=0,0,D863*IF(E863="",1,E863)*IF(F863="",1,F863)*IF(G863="",1,G863))</f>
        <v>12</v>
      </c>
      <c r="M863" s="21"/>
      <c r="N863" s="21"/>
      <c r="O863" s="21"/>
    </row>
    <row r="864" customFormat="false" ht="15" hidden="false" customHeight="true" outlineLevel="0" collapsed="false">
      <c r="H864" s="26"/>
      <c r="I864" s="27" t="n">
        <f aca="false">ROUND(SUM(H863:H863),2)</f>
        <v>12</v>
      </c>
      <c r="J864" s="28" t="n">
        <v>9.54</v>
      </c>
      <c r="K864" s="27" t="n">
        <f aca="false">ROUND(I864*J864,2)</f>
        <v>114.48</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46262.05</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364130.49</v>
      </c>
    </row>
    <row r="64" customFormat="false" ht="15" hidden="false" customHeight="true" outlineLevel="0" collapsed="false">
      <c r="C64" s="3" t="s">
        <v>1174</v>
      </c>
      <c r="J64" s="41" t="n">
        <f aca="false">J63-J62</f>
        <v>4927.46999999997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2026-10-22T07:08:23Z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