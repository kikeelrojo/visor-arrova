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<sst xmlns="http://schemas.openxmlformats.org/spreadsheetml/2006/main" count="3098" uniqueCount="1332">
  <si>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</si>
  <si>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</si>
  <si>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 con la estructura del ingeniero (23-oct) y el IFC del 24-oct (muros bajo rasante y revoco); con las cotas definitivas (IFC del 27-oct)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</si>
  <si>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</si>
  <si>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</si>
  <si>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</si>
  <si>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</si>
  <si>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</si>
  <si>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</si>
  <si>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</si>
  <si>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</si>
  <si>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</si>
  <si>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</si>
  <si>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</si>
  <si>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</si>
  <si>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</si>
  <si>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</si>
  <si>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</si>
  <si>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</si>
  <si>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</si>
  <si>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</si>
  <si>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</si>
  <si>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</si>
  <si>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</si>
  <si>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</si>
  <si>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</si>
  <si>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</si>
  <si>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</si>
  <si>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</si>
  <si>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</si>
  <si>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</si>
  <si>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</si>
  <si>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</si>
  <si>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</si>
  <si>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</si>
  <si>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</si>
  <si>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</si>
  <si>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</si>
  <si>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</si>
  <si>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</si>
  <si>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</si>
  <si>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</si>
  <si>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</si>
  <si>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</si>
  <si>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</si>
  <si>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</si>
  <si>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</si>
  <si>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</si>
  <si>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</si>
  <si>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</si>
  <si>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</si>
  <si>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</si>
  <si>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</si>
  <si>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</si>
  <si>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</si>
  <si>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</si>
  <si>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</si>
  <si>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</si>
  <si>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</si>
  <si>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</si>
  <si>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</si>
  <si>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</si>
  <si>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</si>
  <si>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</si>
  <si>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</si>
  <si>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</si>
  <si>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</si>
  <si>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</si>
  <si>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</si>
  <si>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</si>
  <si>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</si>
  <si>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</si>
  <si>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</si>
  <si>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</si>
  <si>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</si>
  <si>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</si>
  <si>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</si>
  <si>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</si>
  <si>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</si>
  <si>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</si>
  <si>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</si>
  <si>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</si>
  <si>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</si>
  <si>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</si>
  <si>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</si>
  <si>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</si>
  <si>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</si>
  <si>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</si>
  <si>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</si>
  <si>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</si>
  <si>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</si>
  <si>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</si>
  <si>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</si>
  <si>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</si>
  <si>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</si>
  <si>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</si>
  <si>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</si>
  <si>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</si>
  <si>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</si>
  <si>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</si>
  <si>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</si>
  <si>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</si>
  <si>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</si>
  <si>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</si>
  <si>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</si>
  <si>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</si>
  <si>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</si>
  <si>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</si>
  <si>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</si>
  <si>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</si>
  <si>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</si>
  <si>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</si>
  <si>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</si>
  <si>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</si>
  <si>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</si>
  <si>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</si>
  <si>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</si>
  <si>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</si>
  <si>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</si>
  <si>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</si>
  <si>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</si>
  <si>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</si>
  <si>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</si>
  <si>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</si>
  <si>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</si>
  <si>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</si>
  <si>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</si>
  <si>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</si>
  <si>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</si>
  <si>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</si>
  <si>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</si>
  <si>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</si>
  <si>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</si>
  <si>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</si>
  <si>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</si>
  <si>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</si>
  <si>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</si>
  <si>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</si>
  <si>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</si>
  <si>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</si>
  <si>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</si>
  <si>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</si>
  <si>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</si>
  <si>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</si>
  <si>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</si>
  <si>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</si>
  <si>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</si>
  <si>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</si>
  <si>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</si>
  <si>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</si>
  <si>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</si>
  <si>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</si>
  <si>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</si>
  <si>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</si>
  <si>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</si>
  <si>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</si>
  <si>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</si>
  <si>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</si>
  <si>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</si>
  <si>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</si>
  <si>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</si>
  <si>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</si>
  <si>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</si>
  <si>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</si>
  <si>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</si>
  <si>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</si>
  <si>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</si>
  <si>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</si>
  <si>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</si>
  <si>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</si>
  <si>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</si>
  <si>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</si>
  <si>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</si>
  <si>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</si>
  <si>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</si>
  <si>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</si>
  <si>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</si>
  <si>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</si>
  <si>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</si>
  <si>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</si>
  <si>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</si>
  <si>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</si>
  <si>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</si>
  <si>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</si>
  <si>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</si>
  <si>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</si>
  <si>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</si>
  <si>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</si>
  <si>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</si>
  <si>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</si>
  <si>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</si>
  <si>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</si>
  <si>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</si>
  <si>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</si>
  <si>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</si>
  <si>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</si>
  <si>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</si>
  <si>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</si>
  <si>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</si>
  <si>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</si>
  <si>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</si>
  <si>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</si>
  <si>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</si>
  <si>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</si>
  <si>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</si>
  <si>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</si>
  <si>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</si>
  <si>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</si>
  <si>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</si>
  <si>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</si>
  <si>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</si>
  <si>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</si>
  <si>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</si>
  <si>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</si>
  <si>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</si>
  <si>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</si>
  <si>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</si>
  <si>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</si>
  <si>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</si>
  <si>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</si>
  <si>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</si>
  <si>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</si>
  <si>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</si>
  <si>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</si>
  <si>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</si>
  <si>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</si>
  <si>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</si>
  <si>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</si>
  <si>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</si>
  <si>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</si>
  <si>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</si>
  <si>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</si>
  <si>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</si>
  <si>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</si>
  <si>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</si>
  <si>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</si>
  <si>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</si>
  <si>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</si>
  <si>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</si>
  <si>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</si>
  <si>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</si>
  <si>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</si>
  <si>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</si>
  <si>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</si>
  <si>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</si>
  <si>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</si>
  <si>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</si>
  <si>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</si>
  <si>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</si>
  <si>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</si>
  <si>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</si>
  <si>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</si>
  <si>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</si>
  <si>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</si>
  <si>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</si>
  <si>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</si>
  <si>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</si>
  <si>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</si>
  <si>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</si>
  <si>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</si>
  <si>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</si>
  <si>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</si>
  <si>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</si>
  <si>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</si>
  <si>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</si>
  <si>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</si>
  <si>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</si>
  <si>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</si>
  <si>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</si>
  <si>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</si>
  <si>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</si>
  <si>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</si>
  <si>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</si>
  <si>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</si>
  <si>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</si>
  <si>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</si>
  <si>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</si>
  <si>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</si>
  <si>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</si>
  <si>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</si>
  <si>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</si>
  <si>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</si>
  <si>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</si>
  <si>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</si>
  <si>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</si>
  <si>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</si>
  <si>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</si>
  <si>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</si>
  <si>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</si>
  <si>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</si>
  <si>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</si>
  <si>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</si>
  <si>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</si>
  <si>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</si>
  <si>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</si>
  <si>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</si>
  <si>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</si>
  <si>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</si>
  <si>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</si>
  <si>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</si>
  <si>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</si>
  <si>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</si>
  <si>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</si>
  <si>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</si>
  <si>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</si>
  <si>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</si>
  <si>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</si>
  <si>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</si>
  <si>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</si>
  <si>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</si>
  <si>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</si>
  <si>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Medición del IFC de Vectorworks del 27-oct-2026 (cotas definitivas +3,42 / +6,48 / +9,64)</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</si>
  <si>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</si>
  <si>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</si>
  <si>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</si>
  <si>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</si>
  <si>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</si>
  <si>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</si>
  <si>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</si>
  <si>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</si>
  <si>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</si>
  <si>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</si>
  <si>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</si>
  <si>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</si>
  <si>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</si>
  <si>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</si>
  <si>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</si>
  <si>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</si>
  <si>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</si>
  <si>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</si>
  <si>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</si>
  <si>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</si>
  <si>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</si>
  <si>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</si>
  <si>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</si>
  <si>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</si>
  <si>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</si>
  <si>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</si>
  <si>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</si>
  <si>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</si>
  <si>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</si>
  <si>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</si>
  <si>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DE 10 MM SOBRE ZANCAS LATERALES</t>
  </si>
  <si>
    <t xml:space="preserve">Peldaño y meseta de chapa lisa de acero S275 de 10 mm, de 0,93 m de largo entre zancas y 27 cm de huella, atornillado a los angulares soldados a las zancas laterales, con acabado antideslizante de clase 2, imprimación y lacado; sin empotrar en los muros (plano LO-E3). Contrahuella de 18 cm: 19 de planta baja a primera y 17 de primera a segunda.</t>
  </si>
  <si>
    <t xml:space="preserve">Planta baja a primera: 17 peldaños (5 + 12) y meseta de 0,93 × 0,96 m (3,5 peldaños)</t>
  </si>
  <si>
    <t xml:space="preserve">Planta primera a segunda: 15 peldaños (3 + 12) y meseta de 0,93 × 0,96 m (3,5 peldaños)</t>
  </si>
  <si>
    <t xml:space="preserve">Chapa de 10 mm (≈ 20 kg por peldaño) cortada, soldada a angulares y lacada; Precio de referencia de mercado (Navarra, 2026); contrastar con el aparejador</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</si>
  <si>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</si>
  <si>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</si>
  <si>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</si>
  <si>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</si>
  <si>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</si>
  <si>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</si>
  <si>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laterales de la escalera de pletina de acero S275 de 200×12 mm, dos por tramo (la del muro, adosada sin empotrar), con placas de apoyo ancladas a los brochales del hueco, angulares de apoyo de los peldaños, imprimación anticorrosiva y montaje (plano LO-E3).</t>
  </si>
  <si>
    <t xml:space="preserve">Medidas en pendiente en el BIM: planta baja a primera 2 × 1,62 + 2 × 3,89 m; primera a segunda 2 × 0,97 + 2 × 3,89 m = 20,76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</si>
  <si>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</si>
  <si>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</si>
  <si>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</si>
  <si>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</si>
  <si>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</si>
  <si>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05.02.12</t>
  </si>
  <si>
    <t xml:space="preserve">PIEZA DE POLICARBONATO RÍGIDO BAJO PELDAÑO</t>
  </si>
  <si>
    <t xml:space="preserve">Pieza de policarbonato compacto incoloro de 10 mm de espesor, 7 cm de alto y 0,93 m de largo, atornillada con tornillería de acero inoxidable bajo el borde de cada peldaño y de cada meseta, para que el hueco libre entre peldaños quede en 10 cm (tabica abierta de 17 cm bajo la chapa de 10 mm).</t>
  </si>
  <si>
    <t xml:space="preserve">Bajo los 32 peldaños y el borde de las 2 mesetas</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</si>
  <si>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</si>
  <si>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</si>
  <si>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</si>
  <si>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</si>
  <si>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</si>
  <si>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</si>
  <si>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</si>
  <si>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Medición del IFC final de Vectorworks, opción 3 de cubiertas (21-oct-2026)</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</si>
  <si>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</si>
  <si>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</si>
  <si>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</si>
  <si>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</si>
  <si>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</si>
  <si>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</si>
  <si>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</si>
  <si>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</si>
  <si>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</si>
  <si>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</si>
  <si>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</si>
  <si>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</si>
  <si>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</si>
  <si>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</si>
  <si>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</si>
  <si>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</si>
  <si>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</si>
  <si>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</si>
  <si>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</si>
  <si>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</si>
  <si>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</si>
  <si>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</si>
  <si>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</si>
  <si>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</si>
  <si>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</si>
  <si>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</si>
  <si>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</si>
  <si>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</si>
  <si>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</si>
  <si>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</si>
  <si>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</si>
  <si>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</si>
  <si>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</si>
  <si>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</si>
  <si>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</si>
  <si>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</si>
  <si>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</si>
  <si>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</si>
  <si>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</si>
  <si>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</si>
  <si>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</si>
  <si>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</si>
  <si>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</si>
  <si>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</si>
  <si>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</si>
  <si>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</si>
  <si>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</si>
  <si>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</si>
  <si>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</si>
  <si>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</si>
  <si>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</si>
  <si>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</si>
  <si>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</si>
  <si>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</si>
  <si>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</si>
  <si>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</si>
  <si>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</si>
  <si>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</si>
  <si>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</si>
  <si>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</si>
  <si>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</si>
  <si>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</si>
  <si>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</si>
  <si>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</si>
  <si>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</si>
  <si>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</si>
  <si>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</si>
  <si>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</si>
  <si>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</si>
  <si>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</si>
  <si>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</si>
  <si>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</si>
  <si>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10 CM EN CUBIERTA PLANA</t>
  </si>
  <si>
    <t xml:space="preserve">Aislamiento de poliestireno extruido de 10 cm sobre el forjado de la cubierta plana, bajo la lámina antiimpacto y el mortero de pendientes; se completa con 4 cm de lana mineral sobre el falso techo de planta segunda bajo la terraza (09.04). No hay cubierta invertida: patio, porche, terraza y cubierta plana son forjado de viguetas + XPS + lámina antiimpacto + mortero de pendientes + lámina de betún modificado + mortero de protección + microcemento exterior (Enrique, 14-oct).</t>
  </si>
  <si>
    <t xml:space="preserve">Mismo precio que el 07.01 (XPS 10 cm)</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</si>
  <si>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</si>
  <si>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</si>
  <si>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</si>
  <si>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</si>
  <si>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</si>
  <si>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</si>
  <si>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</si>
  <si>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</si>
  <si>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</si>
  <si>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</si>
  <si>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 3 cm en la terraza en cubierta),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</si>
  <si>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</si>
  <si>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</si>
  <si>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</si>
  <si>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</si>
  <si>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</si>
  <si>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</si>
  <si>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</si>
  <si>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</si>
  <si>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</si>
  <si>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</si>
  <si>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</si>
  <si>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</si>
  <si>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</si>
  <si>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</si>
  <si>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</si>
  <si>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</si>
  <si>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</si>
  <si>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</si>
  <si>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</si>
  <si>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</si>
  <si>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</si>
  <si>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</si>
  <si>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</si>
  <si>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</si>
  <si>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</si>
  <si>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</si>
  <si>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</si>
  <si>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</si>
  <si>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</si>
  <si>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</si>
  <si>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</si>
  <si>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</si>
  <si>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</si>
  <si>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</si>
  <si>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</si>
  <si>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</si>
  <si>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</si>
  <si>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</si>
  <si>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</si>
  <si>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</si>
  <si>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</si>
  <si>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</si>
  <si>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</si>
  <si>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</si>
  <si>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09.04</t>
  </si>
  <si>
    <t xml:space="preserve">LANA MINERAL DE 4 CM SOBRE EL FALSO TECHO BAJO LA TERRAZA EN CUBIERTA</t>
  </si>
  <si>
    <t xml:space="preserve">Panel de lana mineral de 40 mm (λ ≤ 0,035 W/mK, UNE-EN 13162) sobre la placa del falso techo de planta segunda bajo la terraza en cubierta, colocado sin juntas abiertas y continuo hasta los muros; completa el aislamiento de la cubierta plana (XPS 10 cm, 07.09).</t>
  </si>
  <si>
    <t xml:space="preserve">Igual que el XPS de la cubierta plana (07.09)</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</si>
  <si>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</si>
  <si>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</si>
  <si>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</si>
  <si>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</si>
  <si>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</si>
  <si>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</si>
  <si>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</si>
  <si>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</si>
  <si>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</si>
  <si>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</si>
  <si>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</si>
  <si>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</si>
  <si>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</si>
  <si>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</si>
  <si>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</si>
  <si>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</si>
  <si>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</si>
  <si>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</si>
  <si>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</si>
  <si>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</si>
  <si>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</si>
  <si>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</si>
  <si>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</si>
  <si>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</si>
  <si>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</si>
  <si>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</si>
  <si>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</si>
  <si>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</si>
  <si>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</si>
  <si>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</si>
  <si>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</si>
  <si>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</si>
  <si>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</si>
  <si>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</si>
  <si>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</si>
  <si>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</si>
  <si>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</si>
  <si>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</si>
  <si>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</si>
  <si>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</si>
  <si>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</si>
  <si>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</si>
  <si>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</si>
  <si>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</si>
  <si>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</si>
  <si>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</si>
  <si>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</si>
  <si>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</si>
  <si>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</si>
  <si>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</si>
  <si>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</si>
  <si>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</si>
  <si>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</si>
  <si>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</si>
  <si>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</si>
  <si>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</si>
  <si>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</si>
  <si>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</si>
  <si>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</si>
  <si>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</si>
  <si>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</si>
  <si>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</si>
  <si>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</si>
  <si>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</si>
  <si>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</si>
  <si>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</si>
  <si>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</si>
  <si>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</si>
  <si>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</si>
  <si>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</si>
  <si>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</si>
  <si>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</si>
  <si>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</si>
  <si>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</si>
  <si>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</si>
  <si>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</si>
  <si>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</si>
  <si>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</si>
  <si>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</si>
  <si>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</si>
  <si>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</si>
  <si>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</si>
  <si>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</si>
  <si>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</si>
  <si>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</si>
  <si>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</si>
  <si>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</si>
  <si>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</si>
  <si>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</si>
  <si>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</si>
  <si>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</si>
  <si>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</si>
  <si>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</si>
  <si>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</si>
  <si>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</si>
  <si>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</si>
  <si>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</si>
  <si>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</si>
  <si>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</si>
  <si>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</si>
  <si>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</si>
  <si>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</si>
  <si>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</si>
  <si>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</si>
  <si>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</si>
  <si>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</si>
  <si>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</si>
  <si>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</si>
  <si>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</si>
  <si>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</si>
  <si>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</si>
  <si>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</si>
  <si>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</si>
  <si>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</si>
  <si>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</si>
  <si>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</si>
  <si>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</si>
  <si>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</si>
  <si>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</si>
  <si>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</si>
  <si>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</si>
  <si>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</si>
  <si>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</si>
  <si>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</si>
  <si>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</si>
  <si>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</si>
  <si>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</si>
  <si>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</si>
  <si>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de la escalera de 1,10 m de altura sobre la línea de peldaños, de acero lacado, con barrotes redondos macizos verticales de Ø 15 mm cada 11,5 cm (hueco ≤ 10 cm) soldados a la zanca libre y pasamanos de chapa angular L 40 × 40 × 5 mm (plano LO-E3).</t>
  </si>
  <si>
    <t xml:space="preserve">Medida en pendiente en el BIM: tramo de planta baja a primera 3,89 m + arranque en planta baja 0,65 m + tramo de primera a segunda 3,89 m</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</si>
  <si>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</si>
  <si>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</si>
  <si>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</si>
  <si>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</si>
  <si>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</si>
  <si>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</si>
  <si>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</si>
  <si>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</si>
  <si>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</si>
  <si>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</si>
  <si>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</si>
  <si>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</si>
  <si>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</si>
  <si>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</si>
  <si>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</si>
  <si>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</si>
  <si>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</si>
  <si>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</si>
  <si>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</si>
  <si>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</si>
  <si>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</si>
  <si>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</si>
  <si>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</si>
  <si>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</si>
  <si>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</si>
  <si>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</si>
  <si>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</si>
  <si>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</si>
  <si>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</si>
  <si>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</si>
  <si>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</si>
  <si>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</si>
  <si>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</si>
  <si>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</si>
  <si>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</si>
  <si>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</si>
  <si>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</si>
  <si>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</si>
  <si>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</si>
  <si>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</si>
  <si>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</si>
  <si>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</si>
  <si>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</si>
  <si>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</si>
  <si>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</si>
  <si>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</si>
  <si>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</si>
  <si>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</si>
  <si>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</si>
  <si>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</si>
  <si>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</si>
  <si>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</si>
  <si>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</si>
  <si>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</si>
  <si>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</si>
  <si>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</si>
  <si>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</si>
  <si>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</si>
  <si>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</si>
  <si>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</si>
  <si>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</si>
  <si>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</si>
  <si>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</si>
  <si>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</si>
  <si>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</si>
  <si>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</si>
  <si>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</si>
  <si>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</si>
  <si>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</si>
  <si>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</si>
  <si>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</si>
  <si>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</si>
  <si>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</si>
  <si>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</si>
  <si>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</si>
  <si>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</si>
  <si>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</si>
  <si>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</si>
  <si>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</si>
  <si>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</si>
  <si>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</si>
  <si>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</si>
  <si>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</si>
  <si>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</si>
  <si>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</si>
  <si>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</si>
  <si>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</si>
  <si>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</si>
  <si>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</si>
  <si>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</si>
  <si>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</si>
  <si>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</si>
  <si>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</si>
  <si>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</si>
  <si>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</si>
  <si>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</si>
  <si>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</si>
  <si>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</si>
  <si>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</si>
  <si>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</si>
  <si>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</si>
  <si>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</si>
  <si>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</si>
  <si>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</si>
  <si>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</si>
  <si>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</si>
  <si>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</si>
  <si>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</si>
  <si>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</si>
  <si>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</si>
  <si>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</si>
  <si>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</si>
  <si>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</si>
  <si>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</si>
  <si>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</si>
  <si>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</si>
  <si>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</si>
  <si>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</si>
  <si>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</si>
  <si>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</si>
  <si>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</si>
  <si>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</si>
  <si>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</si>
  <si>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</si>
  <si>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</si>
  <si>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</si>
  <si>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</si>
  <si>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</si>
  <si>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</si>
  <si>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</si>
  <si>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</si>
  <si>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</si>
  <si>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</si>
  <si>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</si>
  <si>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</si>
  <si>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</si>
  <si>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</si>
  <si>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</si>
  <si>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</si>
  <si>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</si>
  <si>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</si>
  <si>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</si>
  <si>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</si>
  <si>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</si>
  <si>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</si>
  <si>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</si>
  <si>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</si>
  <si>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</si>
  <si>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</si>
  <si>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</si>
  <si>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</si>
  <si>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</si>
  <si>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</si>
  <si>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</si>
  <si>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</si>
  <si>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</si>
  <si>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</si>
  <si>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</si>
  <si>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</si>
  <si>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</si>
  <si>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</si>
  <si>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</si>
  <si>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</si>
  <si>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</si>
  <si>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</si>
  <si>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</si>
  <si>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</si>
  <si>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</si>
  <si>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</si>
  <si>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</si>
  <si>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</si>
  <si>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</si>
  <si>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</si>
  <si>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</si>
  <si>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</si>
  <si>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</si>
  <si>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</si>
  <si>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</si>
  <si>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</si>
  <si>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</si>
  <si>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</si>
  <si>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</si>
  <si>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</si>
  <si>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</si>
  <si>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</si>
  <si>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</si>
  <si>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</si>
  <si>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</si>
  <si>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</si>
  <si>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</si>
  <si>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</si>
  <si>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</si>
  <si>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</si>
  <si>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</si>
  <si>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</si>
  <si>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</si>
  <si>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</si>
  <si>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</si>
  <si>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</si>
  <si>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</si>
  <si>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</si>
  <si>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</si>
  <si>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</si>
  <si>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</si>
  <si>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</si>
  <si>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</si>
  <si>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</si>
  <si>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</si>
  <si>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</si>
  <si>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</si>
  <si>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</si>
  <si>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</si>
  <si>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</si>
  <si>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</si>
  <si>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</si>
  <si>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</si>
  <si>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</si>
  <si>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</si>
  <si>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</si>
  <si>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</si>
  <si>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</si>
  <si>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</si>
  <si>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</si>
  <si>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</si>
  <si>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</si>
  <si>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</si>
  <si>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</si>
  <si>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</si>
  <si>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</si>
  <si>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</si>
  <si>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</si>
  <si>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</si>
  <si>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</si>
  <si>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</si>
  <si>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</si>
  <si>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</si>
  <si>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</si>
  <si>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</si>
  <si>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</si>
  <si>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</si>
  <si>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</si>
  <si>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</si>
  <si>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</si>
  <si>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</si>
  <si>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</si>
  <si>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</si>
  <si>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</si>
  <si>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</si>
  <si>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</si>
  <si>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</si>
  <si>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</si>
  <si>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</si>
  <si>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</si>
  <si>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</si>
  <si>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</si>
  <si>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</si>
  <si>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</si>
  <si>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</si>
  <si>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</si>
  <si>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</si>
  <si>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</si>
  <si>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</si>
  <si>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</si>
  <si>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</si>
  <si>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</si>
  <si>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</si>
  <si>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</si>
  <si>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</si>
  <si>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</si>
  <si>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</si>
  <si>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</si>
  <si>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</si>
  <si>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</si>
  <si>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</si>
  <si>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</si>
  <si>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</si>
  <si>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</si>
  <si>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</si>
  <si>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</si>
  <si>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</si>
  <si>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</si>
  <si>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</si>
  <si>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</si>
  <si>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</si>
  <si>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</si>
  <si>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</si>
  <si>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</si>
  <si>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</si>
  <si>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</si>
  <si>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</si>
  <si>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</si>
  <si>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</si>
  <si>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</si>
  <si>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</si>
  <si>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</si>
  <si>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</si>
  <si>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</si>
  <si>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</si>
  <si>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</si>
  <si>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</si>
  <si>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</si>
  <si>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</si>
  <si>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</si>
  <si>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</si>
  <si>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</si>
  <si>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</si>
  <si>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</si>
  <si>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</si>
  <si>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</si>
  <si>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</si>
  <si>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</si>
  <si>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</si>
  <si>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</si>
  <si>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</si>
  <si>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</si>
  <si>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</si>
  <si>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</si>
  <si>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</si>
  <si>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</si>
  <si>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</si>
  <si>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</si>
  <si>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</si>
  <si>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</si>
  <si>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</si>
  <si>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</si>
  <si>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</si>
  <si>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</si>
  <si>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</si>
  <si>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</si>
  <si>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</si>
  <si>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</si>
  <si>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</si>
  <si>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</si>
  <si>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</si>
  <si>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</si>
  <si>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</si>
  <si>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</si>
  <si>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</si>
  <si>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</si>
  <si>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</si>
  <si>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</si>
  <si>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</si>
  <si>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</si>
  <si>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</si>
  <si>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</si>
  <si>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</si>
  <si>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</si>
  <si>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</si>
  <si>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</si>
  <si>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</si>
  <si>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</si>
  <si>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</si>
  <si>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</si>
  <si>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</si>
  <si>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</si>
  <si>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</si>
  <si>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</si>
  <si>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</si>
  <si>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</si>
  <si>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</si>
  <si>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</si>
  <si>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</si>
  <si>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</si>
  <si>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</si>
  <si>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</si>
  <si>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</si>
  <si>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</si>
  <si>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</si>
  <si>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</si>
  <si>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</si>
  <si>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</si>
  <si>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</si>
  <si>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</si>
  <si>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</si>
  <si>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</si>
  <si>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</si>
  <si>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</si>
  <si>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</si>
  <si>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</si>
  <si>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</si>
  <si>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</si>
  <si>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</si>
  <si>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</si>
  <si>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</si>
  <si>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</si>
  <si>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</si>
  <si>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</si>
  <si>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</si>
  <si>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</si>
  <si>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</si>
  <si>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</si>
  <si>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</si>
  <si>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</si>
  <si>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</si>
  <si>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</si>
  <si>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</si>
  <si>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</si>
  <si>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</si>
  <si>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</si>
  <si>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</si>
  <si>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</si>
  <si>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</si>
  <si>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</si>
  <si>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</si>
  <si>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</si>
  <si>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</si>
  <si>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</si>
  <si>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</si>
  <si>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</si>
  <si>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</si>
  <si>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</si>
  <si>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</si>
  <si>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</si>
  <si>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</si>
  <si>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</si>
  <si>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</si>
  <si>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</si>
  <si>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</si>
  <si>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</si>
  <si>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</si>
  <si>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</si>
  <si>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</si>
  <si>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</si>
  <si>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</si>
  <si>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</si>
  <si>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</si>
  <si>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</si>
  <si>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</si>
  <si>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</si>
  <si>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</si>
  <si>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</si>
  <si>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</si>
  <si>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</si>
  <si>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</si>
  <si>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</si>
  <si>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</si>
  <si>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</si>
  <si>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</si>
  <si>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</si>
  <si>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</si>
  <si>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</si>
  <si>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</si>
  <si>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</si>
  <si>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</si>
  <si>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</si>
  <si>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</si>
  <si>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</si>
  <si>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</si>
  <si>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</si>
  <si>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</si>
  <si>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</si>
  <si>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</si>
  <si>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</si>
  <si>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</si>
  <si>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</si>
  <si>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</si>
  <si>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</si>
  <si>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</si>
  <si>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</si>
  <si>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</si>
  <si>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</si>
  <si>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</si>
  <si>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</si>
  <si>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</si>
  <si>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</si>
  <si>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</si>
  <si>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</si>
  <si>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</si>
  <si>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</si>
  <si>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</si>
  <si>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</si>
  <si>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</si>
  <si>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</si>
  <si>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</si>
  <si>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</si>
  <si>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</si>
  <si>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</si>
  <si>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</si>
  <si>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</si>
  <si>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</si>
  <si>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</si>
  <si>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</si>
  <si>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</si>
  <si>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</si>
  <si>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</si>
  <si>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</si>
  <si>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</si>
  <si>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</si>
  <si>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</si>
  <si>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</si>
  <si>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</si>
  <si>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</si>
  <si>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</si>
  <si>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</si>
  <si>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</si>
  <si>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</si>
  <si>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</si>
  <si>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</si>
  <si>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</si>
  <si>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</si>
  <si>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</si>
  <si>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</si>
  <si>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</si>
  <si>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</si>
  <si>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</si>
  <si>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</si>
  <si>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</si>
  <si>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</si>
  <si>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</si>
  <si>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</si>
  <si>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</si>
  <si>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</si>
  <si>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</si>
  <si>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</si>
  <si>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</si>
  <si>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</si>
  <si>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</si>
  <si>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</si>
  <si>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</si>
  <si>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</si>
  <si>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</si>
  <si>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</si>
  <si>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</si>
  <si>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</si>
  <si>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</si>
  <si>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</si>
  <si>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</si>
  <si>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</si>
  <si>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</si>
  <si>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</si>
  <si>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</si>
  <si>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</si>
  <si>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</si>
  <si>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</si>
  <si>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</si>
  <si>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</si>
  <si>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</si>
  <si>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</si>
  <si>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</si>
  <si>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</si>
  <si>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</si>
  <si>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</si>
  <si>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</si>
  <si>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</si>
  <si>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</si>
  <si>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</si>
  <si>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</si>
  <si>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</si>
  <si>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</si>
  <si>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</si>
  <si>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</si>
  <si>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</si>
  <si>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</si>
  <si>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</si>
  <si>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</si>
  <si>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</si>
  <si>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</si>
  <si>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</si>
  <si>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</si>
  <si>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</si>
  <si>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</si>
  <si>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</si>
  <si>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</si>
  <si>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</si>
  <si>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</si>
  <si>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</si>
  <si>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</si>
  <si>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</si>
  <si>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</si>
  <si>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</si>
  <si>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</si>
  <si>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</si>
  <si>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</si>
  <si>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</si>
  <si>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</si>
  <si>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</si>
  <si>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</si>
  <si>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</si>
  <si>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</si>
  <si>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</si>
  <si>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</si>
  <si>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</si>
  <si>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</si>
  <si>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</si>
  <si>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</si>
  <si>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</si>
  <si>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</si>
  <si>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</si>
  <si>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</si>
  <si>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</si>
  <si>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</si>
  <si>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</si>
  <si>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</si>
  <si>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</si>
  <si>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</si>
  <si>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</si>
  <si>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</si>
  <si>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</si>
  <si>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</si>
  <si>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</si>
  <si>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</si>
  <si>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</si>
  <si>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</si>
  <si>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</si>
  <si>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</si>
  <si>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</si>
  <si>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</si>
  <si>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</si>
  <si>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</si>
  <si>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</si>
  <si>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</si>
  <si>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</si>
  <si>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</si>
  <si>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</si>
  <si>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</si>
  <si>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</si>
  <si>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</si>
  <si>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</si>
  <si>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</si>
  <si>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</si>
  <si>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</si>
  <si>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</si>
  <si>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</si>
  <si>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</si>
  <si>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</si>
  <si>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</si>
  <si>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</si>
  <si>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</si>
  <si>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</si>
  <si>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</si>
  <si>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</si>
  <si>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</si>
  <si>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</si>
  <si>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</si>
  <si>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10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</si>
  <si>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</si>
  <si>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</si>
  <si>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</si>
  <si>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</si>
  <si>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</si>
  <si>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</si>
  <si>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</si>
  <si>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</si>
  <si>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 · BIM 24-oct: + muros de hormigón bajo rasante (MC) de la cara superior de la cimentación al suelo de planta baja, 23 tramos, 74,05 m de eje: 14.37 m³ (al precio del zócalo)</t>
  </si>
  <si>
    <t xml:space="preserve">Superficie de estancias y escalera de planta baja (garaje incluido) · Cotas definitivas (+3,42 / +6,48 / +9,64) y modelo del 27-oct (IFC 20261027-2215): -0,28</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</si>
  <si>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 · Cotas definitivas (+3,42 / +6,48 / +9,64) y modelo del 27-oct (IFC 20261027-2215): +0,80</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</si>
  <si>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</si>
  <si>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 · Cotas definitivas (+3,42 / +6,48 / +9,64) y modelo del 27-oct (IFC 20261027-2215): -0,46</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</si>
  <si>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 · Cotas definitivas (+3,42 / +6,48 / +9,64) y modelo del 27-oct (IFC 20261027-2215): +0,07</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</si>
  <si>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</si>
  <si>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 · Cotas definitivas (+3,42 / +6,48 / +9,64) y modelo del 27-oct (IFC 20261027-2215): +0,02</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</si>
  <si>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 · Cotas definitivas (+3,42 / +6,48 / +9,64) y modelo del 27-oct (IFC 20261027-2215): +2,27</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</si>
  <si>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</si>
  <si>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 · Cotas definitivas (+3,42 / +6,48 / +9,64) y modelo del 27-oct (IFC 20261027-2215): -5,45</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</si>
  <si>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 · Cotas definitivas (+3,42 / +6,48 / +9,64) y modelo del 27-oct (IFC 20261027-2215): -1,69</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</si>
  <si>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 · Cotas definitivas (+3,42 / +6,48 / +9,64) y modelo del 27-oct (IFC 20261027-2215): -2,69</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</si>
  <si>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 · Cotas definitivas (+3,42 / +6,48 / +9,64) y modelo del 27-oct (IFC 20261027-2215): -8,26</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</si>
  <si>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</si>
  <si>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 · Cotas definitivas (+3,42 / +6,48 / +9,64) y modelo del 27-oct (IFC 20261027-2215): +0,07</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</si>
  <si>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 · Cotas definitivas (+3,42 / +6,48 / +9,64) y modelo del 27-oct (IFC 20261027-2215): +0,07</t>
  </si>
  <si>
    <t xml:space="preserve">XPS 10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 · Cotas definitivas (+3,42 / +6,48 / +9,64) y modelo del 27-oct (IFC 20261027-2215): +0,13</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</si>
  <si>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</si>
  <si>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 · Cotas definitivas (+3,42 / +6,48 / +9,64) y modelo del 27-oct (IFC 20261027-2215): +0,10</t>
  </si>
  <si>
    <t xml:space="preserve">Suelo de planta baja dentro de la envolvente (sin garaje) · Cotas definitivas (+3,42 / +6,48 / +9,64) y modelo del 27-oct (IFC 20261027-2215): -0,27</t>
  </si>
  <si>
    <t xml:space="preserve">XPS 4 cm en todos los forjados: interiores, patio y porche y terraza (la cubierta plana lleva 10 cm, ver 07.09, y lana mineral de 4 cm en el falso techo, 09.04) · Cotas definitivas (+3,42 / +6,48 / +9,64) y modelo del 27-oct (IFC 20261027-2215): -0,63</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</si>
  <si>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 · Cotas definitivas (+3,42 / +6,48 / +9,64) y modelo del 27-oct (IFC 20261027-2215): -0,50</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</si>
  <si>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</si>
  <si>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 · Cotas definitivas (+3,42 / +6,48 / +9,64) y modelo del 27-oct (IFC 20261027-2215): +0,27</t>
  </si>
  <si>
    <t xml:space="preserve">Longitud de los bordes libres del falso techo en el BIM × altura hasta la cara inferior del forjado (0,86 m en baja, 0,42 m en primera y 0,41 m en segunda) · Partida nueva · Opción 3 de cubiertas, IFC final (21-oct): tabicas del IFC: 22,30 m², sin cambios · Cotas definitivas (+3,42 / +6,48 / +9,64) y modelo del 27-oct (IFC 20261027-2215): -0,95</t>
  </si>
  <si>
    <t xml:space="preserve">Forjados interiores y suelo de planta baja (sin garaje) · Cotas definitivas (+3,42 / +6,48 / +9,64) y modelo del 27-oct (IFC 20261027-2215): -0,90</t>
  </si>
  <si>
    <t xml:space="preserve">Suelos interiores sin baños ni aseos · Cotas definitivas (+3,42 / +6,48 / +9,64) y modelo del 27-oct (IFC 20261027-2215): -0,89</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</si>
  <si>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 · Cotas definitivas (+3,42 / +6,48 / +9,64) y modelo del 27-oct (IFC 20261027-2215): +0,13</t>
  </si>
  <si>
    <t xml:space="preserve">Baños y aseos · Cotas definitivas (+3,42 / +6,48 / +9,64) y modelo del 27-oct (IFC 20261027-2215): -0,01</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</si>
  <si>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</si>
  <si>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 · IFC 24-oct 11:33–11:50 (captura «mortero»): revoco de la cámara bajo el faldón C. del Peso (5,39 m²), esquinas cerradas y pared del patio en un solo paño: 316.10 m² · Cotas definitivas (+3,42 / +6,48 / +9,64) y modelo del 27-oct (IFC 20261027-2215): +1,01</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</si>
  <si>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 · Cotas definitivas (+3,42 / +6,48 / +9,64) y modelo del 27-oct (IFC 20261027-2215): -25,08</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</si>
  <si>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 · Cotas definitivas (+3,42 / +6,48 / +9,64) y modelo del 27-oct (IFC 20261027-2215): +0,04</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</si>
  <si>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</si>
  <si>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</si>
  <si>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</si>
  <si>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</si>
  <si>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</si>
  <si>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</si>
  <si>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</si>
  <si>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</si>
  <si>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</si>
  <si>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</si>
  <si>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</si>
  <si>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</si>
  <si>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</si>
  <si>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</si>
  <si>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 · Cotas definitivas (+3,42 / +6,48 / +9,64) y modelo del 27-oct (IFC 20261027-2215): -24,81</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</si>
  <si>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 · IFC 24-oct 11:33–11:50 (captura «mortero»): revoco de la cámara bajo el faldón C. del Peso (5,39 m²), esquinas cerradas y pared del patio en un solo paño: 316.10 m² · Cotas definitivas (+3,42 / +6,48 / +9,64) y modelo del 27-oct (IFC 20261027-2215): +1,01</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</si>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</sst>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5" fontId="5" fillId="0" borderId="2"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2"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2"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70" fontId="5" fillId="0" borderId="3" xfId="0" applyFont="true" applyBorder="true" applyAlignment="true" applyProtection="true">
      <alignment horizontal="general" vertical="bottom" textRotation="0" wrapText="false" indent="0" shrinkToFit="false"/>
      <protection locked="true" hidden="false"/>
    </xf>
    <xf numFmtId="170" fontId="11"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70" fontId="13" fillId="0" borderId="0" xfId="0" applyFont="true" applyBorder="false" applyAlignment="true" applyProtection="true">
      <alignment horizontal="general" vertical="bottom" textRotation="0" wrapText="false" indent="0" shrinkToFit="false"/>
      <protection locked="true" hidden="false"/>
    </xf>
    <xf numFmtId="171"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0" fontId="11" fillId="0" borderId="0" xfId="0" applyFont="true" applyBorder="false" applyAlignment="true" applyProtection="true">
      <alignment horizontal="general" vertical="bottom" textRotation="0" wrapText="false" indent="0" shrinkToFit="false"/>
      <protection locked="true" hidden="false"/>
    </xf>
    <xf numFmtId="172" fontId="9" fillId="0" borderId="0" xfId="0" applyFont="true" applyBorder="false" applyAlignment="true" applyProtection="true">
      <alignment horizontal="general" vertical="bottom" textRotation="0" wrapText="false" indent="0" shrinkToFit="false"/>
      <protection locked="true" hidden="false"/>
    </xf>
    <xf numFmtId="170" fontId="10"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0.00237749995105074</v>
      </c>
    </row>
    <row r="8" customFormat="false" ht="15" hidden="false" customHeight="true" outlineLevel="0" collapsed="false">
      <c r="A8" s="3" t="s">
        <v>11</v>
      </c>
      <c r="B8" s="3" t="s">
        <v>12</v>
      </c>
      <c r="C8" s="8" t="n">
        <f aca="false">Presupuesto!K61</f>
        <v>9292.58</v>
      </c>
      <c r="D8" s="9" t="n">
        <f aca="false">IF($C$50=0,0,C8/$C$50)</f>
        <v>0.0231778309852445</v>
      </c>
    </row>
    <row r="9" customFormat="false" ht="15" hidden="false" customHeight="true" outlineLevel="0" collapsed="false">
      <c r="A9" s="3" t="s">
        <v>13</v>
      </c>
      <c r="B9" s="3" t="s">
        <v>14</v>
      </c>
      <c r="C9" s="8" t="n">
        <f aca="false">Presupuesto!K88</f>
        <v>9643.5</v>
      </c>
      <c r="D9" s="9" t="n">
        <f aca="false">IF($C$50=0,0,C9/$C$50)</f>
        <v>0.0240531061455705</v>
      </c>
    </row>
    <row r="10" customFormat="false" ht="15" hidden="false" customHeight="true" outlineLevel="0" collapsed="false">
      <c r="A10" s="3" t="s">
        <v>15</v>
      </c>
      <c r="B10" s="3" t="s">
        <v>16</v>
      </c>
      <c r="C10" s="8" t="n">
        <f aca="false">Presupuesto!K112</f>
        <v>1450</v>
      </c>
      <c r="D10" s="9" t="n">
        <f aca="false">IF($C$50=0,0,C10/$C$50)</f>
        <v>0.00361663337077588</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0.00381841657056607</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0.0125358249359887</v>
      </c>
    </row>
    <row r="17" customFormat="false" ht="15" hidden="false" customHeight="true" outlineLevel="0" collapsed="false">
      <c r="A17" s="3" t="s">
        <v>26</v>
      </c>
      <c r="B17" s="3" t="s">
        <v>27</v>
      </c>
      <c r="C17" s="8" t="n">
        <f aca="false">Presupuesto!K212</f>
        <v>6481.94</v>
      </c>
      <c r="D17" s="9" t="n">
        <f aca="false">IF($C$50=0,0,C17/$C$50)</f>
        <v>0.016167448628529</v>
      </c>
    </row>
    <row r="18" customFormat="false" ht="15" hidden="false" customHeight="true" outlineLevel="0" collapsed="false">
      <c r="A18" s="3" t="s">
        <v>28</v>
      </c>
      <c r="B18" s="3" t="s">
        <v>29</v>
      </c>
      <c r="C18" s="8" t="n">
        <f aca="false">Presupuesto!K290</f>
        <v>88997.73</v>
      </c>
      <c r="D18" s="9" t="n">
        <f aca="false">IF($C$50=0,0,C18/$C$50)</f>
        <v>0.221980800166415</v>
      </c>
    </row>
    <row r="19" customFormat="false" ht="15" hidden="false" customHeight="true" outlineLevel="0" collapsed="false">
      <c r="A19" s="11" t="s">
        <v>30</v>
      </c>
      <c r="B19" s="11" t="s">
        <v>31</v>
      </c>
      <c r="C19" s="12" t="n">
        <f aca="false">SUMIFS(Presupuesto!$K$5:$K$1407,Presupuesto!$M$5:$M$1407,"P",Presupuesto!$O$5:$O$1407,"05.01")</f>
        <v>23789.17</v>
      </c>
    </row>
    <row r="20" customFormat="false" ht="15" hidden="false" customHeight="true" outlineLevel="0" collapsed="false">
      <c r="A20" s="11" t="s">
        <v>32</v>
      </c>
      <c r="B20" s="11" t="s">
        <v>33</v>
      </c>
      <c r="C20" s="12" t="n">
        <f aca="false">SUMIFS(Presupuesto!$K$5:$K$1407,Presupuesto!$M$5:$M$1407,"P",Presupuesto!$O$5:$O$1407,"05.02")</f>
        <v>65208.56</v>
      </c>
    </row>
    <row r="21" customFormat="false" ht="15" hidden="false" customHeight="true" outlineLevel="0" collapsed="false">
      <c r="A21" s="3" t="s">
        <v>34</v>
      </c>
      <c r="B21" s="3" t="s">
        <v>35</v>
      </c>
      <c r="C21" s="8" t="n">
        <f aca="false">Presupuesto!K369</f>
        <v>55551</v>
      </c>
      <c r="D21" s="9" t="n">
        <f aca="false">IF($C$50=0,0,C21/$C$50)</f>
        <v>0.13855696577929</v>
      </c>
    </row>
    <row r="22" customFormat="false" ht="15" hidden="false" customHeight="true" outlineLevel="0" collapsed="false">
      <c r="A22" s="3" t="s">
        <v>36</v>
      </c>
      <c r="B22" s="3" t="s">
        <v>37</v>
      </c>
      <c r="C22" s="8" t="n">
        <f aca="false">Presupuesto!K426</f>
        <v>14192.06</v>
      </c>
      <c r="D22" s="9" t="n">
        <f aca="false">IF($C$50=0,0,C22/$C$50)</f>
        <v>0.0353982605490025</v>
      </c>
    </row>
    <row r="23" customFormat="false" ht="15" hidden="false" customHeight="true" outlineLevel="0" collapsed="false">
      <c r="A23" s="3" t="s">
        <v>38</v>
      </c>
      <c r="B23" s="3" t="s">
        <v>39</v>
      </c>
      <c r="C23" s="8" t="n">
        <f aca="false">Presupuesto!K462</f>
        <v>7522.95</v>
      </c>
      <c r="D23" s="9" t="n">
        <f aca="false">IF($C$50=0,0,C23/$C$50)</f>
        <v>0.0187639669080541</v>
      </c>
    </row>
    <row r="24" customFormat="false" ht="15" hidden="false" customHeight="true" outlineLevel="0" collapsed="false">
      <c r="A24" s="3" t="s">
        <v>40</v>
      </c>
      <c r="B24" s="3" t="s">
        <v>41</v>
      </c>
      <c r="C24" s="8" t="n">
        <f aca="false">Presupuesto!K481</f>
        <v>3915.38</v>
      </c>
      <c r="D24" s="9" t="n">
        <f aca="false">IF($C$50=0,0,C24/$C$50)</f>
        <v>0.00976585790846101</v>
      </c>
    </row>
    <row r="25" customFormat="false" ht="15" hidden="false" customHeight="true" outlineLevel="0" collapsed="false">
      <c r="A25" s="3" t="s">
        <v>42</v>
      </c>
      <c r="B25" s="3" t="s">
        <v>43</v>
      </c>
      <c r="C25" s="8" t="n">
        <f aca="false">Presupuesto!K522</f>
        <v>21717.17</v>
      </c>
      <c r="D25" s="9" t="n">
        <f aca="false">IF($C$50=0,0,C25/$C$50)</f>
        <v>0.054167614993664</v>
      </c>
    </row>
    <row r="26" customFormat="false" ht="15" hidden="false" customHeight="true" outlineLevel="0" collapsed="false">
      <c r="A26" s="3" t="s">
        <v>44</v>
      </c>
      <c r="B26" s="3" t="s">
        <v>45</v>
      </c>
      <c r="C26" s="8" t="n">
        <f aca="false">Presupuesto!K553</f>
        <v>28419.03</v>
      </c>
      <c r="D26" s="9" t="n">
        <f aca="false">IF($C$50=0,0,C26/$C$50)</f>
        <v>0.0708835946641937</v>
      </c>
    </row>
    <row r="27" customFormat="false" ht="15" hidden="false" customHeight="true" outlineLevel="0" collapsed="false">
      <c r="A27" s="3" t="s">
        <v>46</v>
      </c>
      <c r="B27" s="3" t="s">
        <v>47</v>
      </c>
      <c r="C27" s="8" t="n">
        <f aca="false">Presupuesto!K572</f>
        <v>10570.72</v>
      </c>
      <c r="D27" s="9" t="n">
        <f aca="false">IF($C$50=0,0,C27/$C$50)</f>
        <v>0.0263658060035366</v>
      </c>
    </row>
    <row r="28" customFormat="false" ht="15" hidden="false" customHeight="true" outlineLevel="0" collapsed="false">
      <c r="A28" s="3" t="s">
        <v>48</v>
      </c>
      <c r="B28" s="3" t="s">
        <v>49</v>
      </c>
      <c r="C28" s="8" t="n">
        <f aca="false">Presupuesto!K640</f>
        <v>52569.01</v>
      </c>
      <c r="D28" s="9" t="n">
        <f aca="false">IF($C$50=0,0,C28/$C$50)</f>
        <v>0.131119197127346</v>
      </c>
    </row>
    <row r="29" customFormat="false" ht="15" hidden="false" customHeight="true" outlineLevel="0" collapsed="false">
      <c r="A29" s="3" t="s">
        <v>50</v>
      </c>
      <c r="B29" s="3" t="s">
        <v>51</v>
      </c>
      <c r="C29" s="8" t="n">
        <f aca="false">Presupuesto!K672</f>
        <v>19920.45</v>
      </c>
      <c r="D29" s="9" t="n">
        <f aca="false">IF($C$50=0,0,C29/$C$50)</f>
        <v>0.0496861822281879</v>
      </c>
    </row>
    <row r="30" customFormat="false" ht="15" hidden="false" customHeight="true" outlineLevel="0" collapsed="false">
      <c r="A30" s="3" t="s">
        <v>52</v>
      </c>
      <c r="B30" s="3" t="s">
        <v>53</v>
      </c>
      <c r="C30" s="8" t="n">
        <f aca="false">Presupuesto!K684</f>
        <v>8852.15</v>
      </c>
      <c r="D30" s="9" t="n">
        <f aca="false">IF($C$50=0,0,C30/$C$50)</f>
        <v>0.0220792973055957</v>
      </c>
    </row>
    <row r="31" customFormat="false" ht="15" hidden="false" customHeight="true" outlineLevel="0" collapsed="false">
      <c r="A31" s="3" t="s">
        <v>54</v>
      </c>
      <c r="B31" s="3" t="s">
        <v>55</v>
      </c>
      <c r="C31" s="8" t="n">
        <f aca="false">Presupuesto!K1081</f>
        <v>45949.51</v>
      </c>
      <c r="D31" s="9" t="n">
        <f aca="false">IF($C$50=0,0,C31/$C$50)</f>
        <v>0.114608642232276</v>
      </c>
    </row>
    <row r="32" customFormat="false" ht="15" hidden="false" customHeight="true" outlineLevel="0" collapsed="false">
      <c r="A32" s="11" t="s">
        <v>56</v>
      </c>
      <c r="B32" s="11" t="s">
        <v>57</v>
      </c>
      <c r="C32" s="12" t="n">
        <f aca="false">SUMIFS(Presupuesto!$K$5:$K$1407,Presupuesto!$M$5:$M$1407,"P",Presupuesto!$O$5:$O$1407,"16.01")</f>
        <v>8549.61</v>
      </c>
    </row>
    <row r="33" customFormat="false" ht="15" hidden="false" customHeight="true" outlineLevel="0" collapsed="false">
      <c r="A33" s="11" t="s">
        <v>58</v>
      </c>
      <c r="B33" s="11" t="s">
        <v>59</v>
      </c>
      <c r="C33" s="12" t="n">
        <f aca="false">SUMIFS(Presupuesto!$K$5:$K$1407,Presupuesto!$M$5:$M$1407,"P",Presupuesto!$O$5:$O$1407,"16.02")</f>
        <v>149.49</v>
      </c>
    </row>
    <row r="34" customFormat="false" ht="15" hidden="false" customHeight="true" outlineLevel="0" collapsed="false">
      <c r="A34" s="11" t="s">
        <v>60</v>
      </c>
      <c r="B34" s="11" t="s">
        <v>61</v>
      </c>
      <c r="C34" s="12" t="n">
        <f aca="false">SUMIFS(Presupuesto!$K$5:$K$1407,Presupuesto!$M$5:$M$1407,"P",Presupuesto!$O$5:$O$1407,"16.03")</f>
        <v>18015.07</v>
      </c>
    </row>
    <row r="35" customFormat="false" ht="15" hidden="false" customHeight="true" outlineLevel="0" collapsed="false">
      <c r="A35" s="11" t="s">
        <v>62</v>
      </c>
      <c r="B35" s="11" t="s">
        <v>63</v>
      </c>
      <c r="C35" s="12" t="n">
        <f aca="false">SUMIFS(Presupuesto!$K$5:$K$1407,Presupuesto!$M$5:$M$1407,"P",Presupuesto!$O$5:$O$1407,"16.04")</f>
        <v>4031.5</v>
      </c>
    </row>
    <row r="36" customFormat="false" ht="15" hidden="false" customHeight="true" outlineLevel="0" collapsed="false">
      <c r="A36" s="11" t="s">
        <v>64</v>
      </c>
      <c r="B36" s="11" t="s">
        <v>65</v>
      </c>
      <c r="C36" s="12" t="n">
        <f aca="false">SUMIFS(Presupuesto!$K$5:$K$1407,Presupuesto!$M$5:$M$1407,"P",Presupuesto!$O$5:$O$1407,"16.05")</f>
        <v>12525.53</v>
      </c>
    </row>
    <row r="37" customFormat="false" ht="15" hidden="false" customHeight="true" outlineLevel="0" collapsed="false">
      <c r="A37" s="11" t="s">
        <v>66</v>
      </c>
      <c r="B37" s="11" t="s">
        <v>67</v>
      </c>
      <c r="C37" s="12" t="n">
        <f aca="false">SUMIFS(Presupuesto!$K$5:$K$1407,Presupuesto!$M$5:$M$1407,"P",Presupuesto!$O$5:$O$1407,"16.06")</f>
        <v>2678.31</v>
      </c>
    </row>
    <row r="38" customFormat="false" ht="15" hidden="false" customHeight="true" outlineLevel="0" collapsed="false">
      <c r="A38" s="3" t="s">
        <v>68</v>
      </c>
      <c r="B38" s="3" t="s">
        <v>69</v>
      </c>
      <c r="C38" s="8" t="n">
        <f aca="false">Presupuesto!K1098</f>
        <v>1524.5</v>
      </c>
      <c r="D38" s="9" t="n">
        <f aca="false">IF($C$50=0,0,C38/$C$50)</f>
        <v>0.00380245349913644</v>
      </c>
    </row>
    <row r="39" customFormat="false" ht="15" hidden="false" customHeight="true" outlineLevel="0" collapsed="false">
      <c r="A39" s="11" t="s">
        <v>70</v>
      </c>
      <c r="B39" s="11" t="s">
        <v>71</v>
      </c>
      <c r="C39" s="12" t="n">
        <f aca="false">SUMIFS(Presupuesto!$K$5:$K$1407,Presupuesto!$M$5:$M$1407,"P",Presupuesto!$O$5:$O$1407,"18.01")</f>
        <v>500</v>
      </c>
    </row>
    <row r="40" customFormat="false" ht="15" hidden="false" customHeight="true" outlineLevel="0" collapsed="false">
      <c r="A40" s="11" t="s">
        <v>72</v>
      </c>
      <c r="B40" s="11" t="s">
        <v>73</v>
      </c>
      <c r="C40" s="12" t="n">
        <f aca="false">SUMIFS(Presupuesto!$K$5:$K$1407,Presupuesto!$M$5:$M$1407,"P",Presupuesto!$O$5:$O$1407,"18.02")</f>
        <v>1024.5</v>
      </c>
    </row>
    <row r="41" customFormat="false" ht="15" hidden="false" customHeight="true" outlineLevel="0" collapsed="false">
      <c r="A41" s="3" t="s">
        <v>74</v>
      </c>
      <c r="B41" s="3" t="s">
        <v>14</v>
      </c>
      <c r="C41" s="8" t="n">
        <f aca="false">Presupuesto!K1133</f>
        <v>2750.04</v>
      </c>
      <c r="D41" s="9" t="n">
        <f aca="false">IF($C$50=0,0,C41/$C$50)</f>
        <v>0.00685923202411621</v>
      </c>
    </row>
    <row r="42" customFormat="false" ht="15" hidden="false" customHeight="true" outlineLevel="0" collapsed="false">
      <c r="A42" s="3" t="s">
        <v>75</v>
      </c>
      <c r="B42" s="3" t="s">
        <v>16</v>
      </c>
      <c r="C42" s="8" t="n">
        <f aca="false">Presupuesto!K1405</f>
        <v>4095.6</v>
      </c>
      <c r="D42" s="9" t="n">
        <f aca="false">IF($C$50=0,0,C42/$C$50)</f>
        <v>0.0102153680229998</v>
      </c>
    </row>
    <row r="43" customFormat="false" ht="15" hidden="false" customHeight="true" outlineLevel="0" collapsed="false">
      <c r="A43" s="11" t="s">
        <v>76</v>
      </c>
      <c r="B43" s="11" t="s">
        <v>77</v>
      </c>
      <c r="C43" s="12" t="n">
        <f aca="false">SUMIFS(Presupuesto!$K$5:$K$1407,Presupuesto!$M$5:$M$1407,"P",Presupuesto!$O$5:$O$1407,"20.01")</f>
        <v>3346.11</v>
      </c>
    </row>
    <row r="44" customFormat="false" ht="15" hidden="false" customHeight="true" outlineLevel="0" collapsed="false">
      <c r="A44" s="11" t="s">
        <v>78</v>
      </c>
      <c r="B44" s="11" t="s">
        <v>79</v>
      </c>
      <c r="C44" s="12" t="n">
        <f aca="false">SUMIFS(Presupuesto!$K$5:$K$1407,Presupuesto!$M$5:$M$1407,"P",Presupuesto!$O$5:$O$1407,"20.02")</f>
        <v>113.7</v>
      </c>
    </row>
    <row r="45" customFormat="false" ht="15" hidden="false" customHeight="true" outlineLevel="0" collapsed="false">
      <c r="A45" s="11" t="s">
        <v>80</v>
      </c>
      <c r="B45" s="11" t="s">
        <v>81</v>
      </c>
      <c r="C45" s="12" t="n">
        <f aca="false">SUMIFS(Presupuesto!$K$5:$K$1407,Presupuesto!$M$5:$M$1407,"P",Presupuesto!$O$5:$O$1407,"20.03")</f>
        <v>333.5</v>
      </c>
    </row>
    <row r="46" customFormat="false" ht="15" hidden="false" customHeight="true" outlineLevel="0" collapsed="false">
      <c r="A46" s="11" t="s">
        <v>82</v>
      </c>
      <c r="B46" s="11" t="s">
        <v>83</v>
      </c>
      <c r="C46" s="12" t="n">
        <f aca="false">SUMIFS(Presupuesto!$K$5:$K$1407,Presupuesto!$M$5:$M$1407,"P",Presupuesto!$O$5:$O$1407,"20.04")</f>
        <v>122.3</v>
      </c>
    </row>
    <row r="47" customFormat="false" ht="15" hidden="false" customHeight="true" outlineLevel="0" collapsed="false">
      <c r="A47" s="11" t="s">
        <v>84</v>
      </c>
      <c r="B47" s="11" t="s">
        <v>85</v>
      </c>
      <c r="C47" s="12" t="n">
        <f aca="false">SUMIFS(Presupuesto!$K$5:$K$1407,Presupuesto!$M$5:$M$1407,"P",Presupuesto!$O$5:$O$1407,"20.05")</f>
        <v>179.99</v>
      </c>
    </row>
    <row r="48" customFormat="false" ht="15" hidden="false" customHeight="true" outlineLevel="0" collapsed="false">
      <c r="B48" s="3" t="s">
        <v>86</v>
      </c>
      <c r="C48" s="10" t="n">
        <f aca="false">C14+C15+C16+C17+C18+C21+C22+C23+C24+C25+C26+C27+C28+C29+C30+C31+C38+C41+C42</f>
        <v>379586.07</v>
      </c>
    </row>
    <row r="50" customFormat="false" ht="15" hidden="false" customHeight="true" outlineLevel="0" collapsed="false">
      <c r="B50" s="13" t="s">
        <v>87</v>
      </c>
      <c r="C50" s="14" t="n">
        <f aca="false">C11+C48</f>
        <v>400925.35</v>
      </c>
    </row>
    <row r="52" customFormat="false" ht="15" hidden="false" customHeight="true" outlineLevel="0" collapsed="false">
      <c r="B52" s="11" t="s">
        <v>88</v>
      </c>
      <c r="C52" s="15" t="n">
        <f aca="false">ROUND(C50*D52,2)</f>
        <v>20046.27</v>
      </c>
      <c r="D52" s="16" t="n">
        <v>0.05</v>
      </c>
    </row>
    <row r="53" customFormat="false" ht="15" hidden="false" customHeight="true" outlineLevel="0" collapsed="false">
      <c r="B53" s="11" t="s">
        <v>89</v>
      </c>
      <c r="C53" s="15" t="n">
        <f aca="false">ROUND(C50*D53,2)</f>
        <v>20046.27</v>
      </c>
      <c r="D53" s="16" t="n">
        <v>0.05</v>
      </c>
    </row>
    <row r="54" customFormat="false" ht="15" hidden="false" customHeight="true" outlineLevel="0" collapsed="false">
      <c r="B54" s="3" t="s">
        <v>90</v>
      </c>
      <c r="C54" s="17" t="n">
        <f aca="false">C50+C52+C53</f>
        <v>441017.89</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41754.47</v>
      </c>
      <c r="D56" s="16" t="n">
        <v>0.1</v>
      </c>
    </row>
    <row r="57" customFormat="false" ht="15" hidden="false" customHeight="true" outlineLevel="0" collapsed="false">
      <c r="B57" s="13" t="s">
        <v>93</v>
      </c>
      <c r="C57" s="14" t="n">
        <f aca="false">C54+C55+C56</f>
        <v>487701.73</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1141.65200182243</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56.51</v>
      </c>
      <c r="F218" s="28"/>
      <c r="G218" s="28" t="n">
        <v>0.1</v>
      </c>
      <c r="H218" s="29" t="n">
        <f aca="false">IF(COUNT(D218:G218)=0,0,D218*IF(E218="",1,E218)*IF(F218="",1,F218)*IF(G218="",1,G218))</f>
        <v>5.651</v>
      </c>
      <c r="M218" s="23"/>
      <c r="N218" s="23"/>
      <c r="O218" s="23"/>
    </row>
    <row r="219" customFormat="false" ht="18.75" hidden="false" customHeight="true" outlineLevel="0" collapsed="false">
      <c r="H219" s="30"/>
      <c r="I219" s="31" t="n">
        <f aca="false">ROUND(SUM(H218:H218),2)</f>
        <v>5.65</v>
      </c>
      <c r="J219" s="32" t="n">
        <v>98</v>
      </c>
      <c r="K219" s="31" t="n">
        <f aca="false">ROUND(I219*J219,2)</f>
        <v>553.7</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26.57</v>
      </c>
      <c r="F222" s="28"/>
      <c r="G222" s="28"/>
      <c r="H222" s="29" t="n">
        <f aca="false">IF(COUNT(D222:G222)=0,0,D222*IF(E222="",1,E222)*IF(F222="",1,F222)*IF(G222="",1,G222))</f>
        <v>26.57</v>
      </c>
      <c r="M222" s="23"/>
      <c r="N222" s="23"/>
      <c r="O222" s="23"/>
    </row>
    <row r="223" customFormat="false" ht="27.75" hidden="false" customHeight="true" outlineLevel="0" collapsed="false">
      <c r="H223" s="30"/>
      <c r="I223" s="31" t="n">
        <f aca="false">ROUND(SUM(H222:H222),2)</f>
        <v>26.57</v>
      </c>
      <c r="J223" s="32" t="n">
        <v>185</v>
      </c>
      <c r="K223" s="31" t="n">
        <f aca="false">ROUND(I223*J223,2)</f>
        <v>4915.45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27.71</v>
      </c>
      <c r="F226" s="28"/>
      <c r="G226" s="28"/>
      <c r="H226" s="29" t="n">
        <f aca="false">IF(COUNT(D226:G226)=0,0,D226*IF(E226="",1,E226)*IF(F226="",1,F226)*IF(G226="",1,G226))</f>
        <v>27.71</v>
      </c>
      <c r="M226" s="23"/>
      <c r="N226" s="23"/>
      <c r="O226" s="23"/>
    </row>
    <row r="227" customFormat="false" ht="15" hidden="false" customHeight="true" outlineLevel="0" collapsed="false">
      <c r="H227" s="30"/>
      <c r="I227" s="31" t="n">
        <f aca="false">ROUND(SUM(H226:H226),2)</f>
        <v>27.71</v>
      </c>
      <c r="J227" s="32" t="n">
        <v>365.9</v>
      </c>
      <c r="K227" s="31" t="n">
        <f aca="false">ROUND(I227*J227,2)</f>
        <v>10139.09</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311</v>
      </c>
      <c r="D234" s="28" t="n">
        <v>1</v>
      </c>
      <c r="E234" s="35" t="n">
        <f aca="false">'Mediciones BIM'!E7</f>
        <v>109.16</v>
      </c>
      <c r="H234" s="29" t="n">
        <f aca="false">IF(COUNT(D234:G234)=0,0,D234*IF(E234="",1,E234)*IF(F234="",1,F234)*IF(G234="",1,G234))</f>
        <v>109.16</v>
      </c>
      <c r="M234" s="23"/>
      <c r="N234" s="23"/>
      <c r="O234" s="23"/>
    </row>
    <row r="235" customFormat="false" ht="15" hidden="false" customHeight="true" outlineLevel="0" collapsed="false">
      <c r="H235" s="30"/>
      <c r="I235" s="31" t="n">
        <f aca="false">ROUND(SUM(H234:H234),2)</f>
        <v>109.16</v>
      </c>
      <c r="J235" s="32" t="n">
        <v>60.2</v>
      </c>
      <c r="K235" s="31" t="n">
        <f aca="false">ROUND(I235*J235,2)</f>
        <v>6571.43</v>
      </c>
      <c r="L235" s="33" t="s">
        <v>212</v>
      </c>
      <c r="M235" s="23" t="s">
        <v>123</v>
      </c>
      <c r="N235" s="23" t="s">
        <v>28</v>
      </c>
      <c r="O235" s="23" t="s">
        <v>289</v>
      </c>
    </row>
    <row r="236" customFormat="false" ht="15" hidden="false" customHeight="true" outlineLevel="0" collapsed="false">
      <c r="A236" s="3" t="s">
        <v>312</v>
      </c>
      <c r="C236" s="3" t="s">
        <v>313</v>
      </c>
      <c r="M236" s="23" t="s">
        <v>291</v>
      </c>
      <c r="N236" s="23" t="s">
        <v>28</v>
      </c>
      <c r="O236" s="23" t="s">
        <v>312</v>
      </c>
    </row>
    <row r="237" customFormat="false" ht="15" hidden="false" customHeight="true" outlineLevel="0" collapsed="false">
      <c r="A237" s="3" t="s">
        <v>314</v>
      </c>
      <c r="B237" s="3" t="s">
        <v>117</v>
      </c>
      <c r="C237" s="3" t="s">
        <v>315</v>
      </c>
      <c r="M237" s="23"/>
      <c r="N237" s="23"/>
      <c r="O237" s="23"/>
    </row>
    <row r="238" customFormat="false" ht="36" hidden="false" customHeight="true" outlineLevel="0" collapsed="false">
      <c r="C238" s="26" t="s">
        <v>316</v>
      </c>
      <c r="M238" s="23"/>
      <c r="N238" s="23"/>
      <c r="O238" s="23"/>
    </row>
    <row r="239" customFormat="false" ht="15" hidden="false" customHeight="true" outlineLevel="0" collapsed="false">
      <c r="C239" s="27" t="s">
        <v>311</v>
      </c>
      <c r="D239" s="28" t="n">
        <v>1</v>
      </c>
      <c r="E239" s="35" t="n">
        <f aca="false">'Mediciones BIM'!E8</f>
        <v>244.83</v>
      </c>
      <c r="H239" s="29" t="n">
        <f aca="false">IF(COUNT(D239:G239)=0,0,D239*IF(E239="",1,E239)*IF(F239="",1,F239)*IF(G239="",1,G239))</f>
        <v>244.83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244.83</v>
      </c>
      <c r="J242" s="32" t="n">
        <v>74</v>
      </c>
      <c r="K242" s="31" t="n">
        <f aca="false">ROUND(I242*J242,2)</f>
        <v>18117.42</v>
      </c>
      <c r="L242" s="33" t="s">
        <v>238</v>
      </c>
      <c r="M242" s="23" t="s">
        <v>123</v>
      </c>
      <c r="N242" s="23" t="s">
        <v>28</v>
      </c>
      <c r="O242" s="23" t="s">
        <v>312</v>
      </c>
    </row>
    <row r="243" customFormat="false" ht="15" hidden="false" customHeight="true" outlineLevel="0" collapsed="false">
      <c r="A243" s="3" t="s">
        <v>317</v>
      </c>
      <c r="B243" s="3" t="s">
        <v>152</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320</v>
      </c>
      <c r="D245" s="28" t="n">
        <v>1</v>
      </c>
      <c r="E245" s="35" t="n">
        <v>19.17</v>
      </c>
      <c r="H245" s="29" t="n">
        <f aca="false">IF(COUNT(D245:G245)=0,0,D245*IF(E245="",1,E245)*IF(F245="",1,F245)*IF(G245="",1,G245))</f>
        <v>19.17</v>
      </c>
      <c r="M245" s="23"/>
      <c r="N245" s="23"/>
      <c r="O245" s="23"/>
    </row>
    <row r="246" customFormat="false" ht="18.75" hidden="false" customHeight="true" outlineLevel="0" collapsed="false">
      <c r="H246" s="30"/>
      <c r="I246" s="31" t="n">
        <f aca="false">ROUND(SUM(H245:H245),2)</f>
        <v>19.17</v>
      </c>
      <c r="J246" s="32" t="n">
        <v>420</v>
      </c>
      <c r="K246" s="31" t="n">
        <f aca="false">ROUND(I246*J246,2)</f>
        <v>8051.4</v>
      </c>
      <c r="L246" s="33" t="s">
        <v>321</v>
      </c>
      <c r="M246" s="23" t="s">
        <v>123</v>
      </c>
      <c r="N246" s="23" t="s">
        <v>28</v>
      </c>
      <c r="O246" s="23" t="s">
        <v>312</v>
      </c>
    </row>
    <row r="247" customFormat="false" ht="15" hidden="false" customHeight="true" outlineLevel="0" collapsed="false">
      <c r="A247" s="3" t="s">
        <v>322</v>
      </c>
      <c r="B247" s="3" t="s">
        <v>323</v>
      </c>
      <c r="C247" s="3" t="s">
        <v>324</v>
      </c>
      <c r="M247" s="23"/>
      <c r="N247" s="23"/>
      <c r="O247" s="23"/>
    </row>
    <row r="248" customFormat="false" ht="24" hidden="false" customHeight="true" outlineLevel="0" collapsed="false">
      <c r="C248" s="26" t="s">
        <v>325</v>
      </c>
      <c r="M248" s="23"/>
      <c r="N248" s="23"/>
      <c r="O248" s="23"/>
    </row>
    <row r="249" customFormat="false" ht="15" hidden="false" customHeight="true" outlineLevel="0" collapsed="false">
      <c r="C249" s="27" t="s">
        <v>326</v>
      </c>
      <c r="D249" s="28" t="n">
        <v>1</v>
      </c>
      <c r="E249" s="28" t="n">
        <v>1842</v>
      </c>
      <c r="F249" s="28"/>
      <c r="G249" s="28"/>
      <c r="H249" s="29" t="n">
        <f aca="false">IF(COUNT(D249:G249)=0,0,D249*IF(E249="",1,E249)*IF(F249="",1,F249)*IF(G249="",1,G249))</f>
        <v>1842</v>
      </c>
      <c r="M249" s="23"/>
      <c r="N249" s="23"/>
      <c r="O249" s="23"/>
    </row>
    <row r="250" customFormat="false" ht="18.75" hidden="false" customHeight="true" outlineLevel="0" collapsed="false">
      <c r="H250" s="30"/>
      <c r="I250" s="31" t="n">
        <f aca="false">ROUND(SUM(H249:H249),2)</f>
        <v>1842</v>
      </c>
      <c r="J250" s="32" t="n">
        <v>2.7</v>
      </c>
      <c r="K250" s="31" t="n">
        <f aca="false">ROUND(I250*J250,2)</f>
        <v>4973.4</v>
      </c>
      <c r="L250" s="33" t="s">
        <v>321</v>
      </c>
      <c r="M250" s="23" t="s">
        <v>123</v>
      </c>
      <c r="N250" s="23" t="s">
        <v>28</v>
      </c>
      <c r="O250" s="23" t="s">
        <v>312</v>
      </c>
    </row>
    <row r="251" customFormat="false" ht="15" hidden="false" customHeight="true" outlineLevel="0" collapsed="false">
      <c r="A251" s="3" t="s">
        <v>327</v>
      </c>
      <c r="B251" s="3" t="s">
        <v>140</v>
      </c>
      <c r="C251" s="3" t="s">
        <v>328</v>
      </c>
      <c r="M251" s="23"/>
      <c r="N251" s="23"/>
      <c r="O251" s="23"/>
    </row>
    <row r="252" customFormat="false" ht="24" hidden="false" customHeight="true" outlineLevel="0" collapsed="false">
      <c r="C252" s="26" t="s">
        <v>329</v>
      </c>
      <c r="M252" s="23"/>
      <c r="N252" s="23"/>
      <c r="O252" s="23"/>
    </row>
    <row r="253" customFormat="false" ht="15" hidden="false" customHeight="true" outlineLevel="0" collapsed="false">
      <c r="C253" s="27" t="s">
        <v>311</v>
      </c>
      <c r="D253" s="28" t="n">
        <v>1</v>
      </c>
      <c r="E253" s="35" t="n">
        <f aca="false">'Mediciones BIM'!E10</f>
        <v>217.53</v>
      </c>
      <c r="H253" s="29" t="n">
        <f aca="false">IF(COUNT(D253:G253)=0,0,D253*IF(E253="",1,E253)*IF(F253="",1,F253)*IF(G253="",1,G253))</f>
        <v>217.53</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217.53</v>
      </c>
      <c r="J256" s="32" t="n">
        <v>46</v>
      </c>
      <c r="K256" s="31" t="n">
        <f aca="false">ROUND(I256*J256,2)</f>
        <v>10006.38</v>
      </c>
      <c r="L256" s="33" t="s">
        <v>238</v>
      </c>
      <c r="M256" s="23" t="s">
        <v>123</v>
      </c>
      <c r="N256" s="23" t="s">
        <v>28</v>
      </c>
      <c r="O256" s="23" t="s">
        <v>312</v>
      </c>
    </row>
    <row r="257" customFormat="false" ht="15" hidden="false" customHeight="true" outlineLevel="0" collapsed="false">
      <c r="A257" s="3" t="s">
        <v>330</v>
      </c>
      <c r="B257" s="3" t="s">
        <v>140</v>
      </c>
      <c r="C257" s="3" t="s">
        <v>331</v>
      </c>
      <c r="M257" s="23"/>
      <c r="N257" s="23"/>
      <c r="O257" s="23"/>
    </row>
    <row r="258" customFormat="false" ht="24" hidden="false" customHeight="true" outlineLevel="0" collapsed="false">
      <c r="C258" s="26" t="s">
        <v>332</v>
      </c>
      <c r="M258" s="23"/>
      <c r="N258" s="23"/>
      <c r="O258" s="23"/>
    </row>
    <row r="259" customFormat="false" ht="15" hidden="false" customHeight="true" outlineLevel="0" collapsed="false">
      <c r="C259" s="27" t="s">
        <v>333</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312</v>
      </c>
    </row>
    <row r="261" customFormat="false" ht="15" hidden="false" customHeight="true" outlineLevel="0" collapsed="false">
      <c r="A261" s="3" t="s">
        <v>334</v>
      </c>
      <c r="B261" s="3" t="s">
        <v>152</v>
      </c>
      <c r="C261" s="3" t="s">
        <v>335</v>
      </c>
      <c r="M261" s="23"/>
      <c r="N261" s="23"/>
      <c r="O261" s="23"/>
    </row>
    <row r="262" customFormat="false" ht="24" hidden="false" customHeight="true" outlineLevel="0" collapsed="false">
      <c r="C262" s="26" t="s">
        <v>336</v>
      </c>
      <c r="M262" s="23"/>
      <c r="N262" s="23"/>
      <c r="O262" s="23"/>
    </row>
    <row r="263" customFormat="false" ht="15" hidden="false" customHeight="true" outlineLevel="0" collapsed="false">
      <c r="C263" s="27" t="s">
        <v>337</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312</v>
      </c>
    </row>
    <row r="265" customFormat="false" ht="15" hidden="false" customHeight="true" outlineLevel="0" collapsed="false">
      <c r="A265" s="3" t="s">
        <v>338</v>
      </c>
      <c r="B265" s="3" t="s">
        <v>117</v>
      </c>
      <c r="C265" s="3" t="s">
        <v>339</v>
      </c>
      <c r="M265" s="23"/>
      <c r="N265" s="23"/>
      <c r="O265" s="23"/>
    </row>
    <row r="266" customFormat="false" ht="24" hidden="false" customHeight="true" outlineLevel="0" collapsed="false">
      <c r="C266" s="26" t="s">
        <v>340</v>
      </c>
      <c r="M266" s="23"/>
      <c r="N266" s="23"/>
      <c r="O266" s="23"/>
    </row>
    <row r="267" customFormat="false" ht="15" hidden="false" customHeight="true" outlineLevel="0" collapsed="false">
      <c r="C267" s="27" t="s">
        <v>311</v>
      </c>
      <c r="D267" s="28" t="n">
        <v>1</v>
      </c>
      <c r="E267" s="35" t="n">
        <f aca="false">'Mediciones BIM'!E11</f>
        <v>82.13</v>
      </c>
      <c r="H267" s="29" t="n">
        <f aca="false">IF(COUNT(D267:G267)=0,0,D267*IF(E267="",1,E267)*IF(F267="",1,F267)*IF(G267="",1,G267))</f>
        <v>82.13</v>
      </c>
      <c r="M267" s="23"/>
      <c r="N267" s="23"/>
      <c r="O267" s="23"/>
    </row>
    <row r="268" customFormat="false" ht="18.75" hidden="false" customHeight="true" outlineLevel="0" collapsed="false">
      <c r="H268" s="30"/>
      <c r="I268" s="31" t="n">
        <f aca="false">ROUND(SUM(H267:H267),2)</f>
        <v>82.13</v>
      </c>
      <c r="J268" s="32" t="n">
        <v>108</v>
      </c>
      <c r="K268" s="31" t="n">
        <f aca="false">ROUND(I268*J268,2)</f>
        <v>8870.04</v>
      </c>
      <c r="L268" s="33" t="s">
        <v>238</v>
      </c>
      <c r="M268" s="23" t="s">
        <v>123</v>
      </c>
      <c r="N268" s="23" t="s">
        <v>28</v>
      </c>
      <c r="O268" s="23" t="s">
        <v>312</v>
      </c>
    </row>
    <row r="269" customFormat="false" ht="15" hidden="false" customHeight="true" outlineLevel="0" collapsed="false">
      <c r="A269" s="3" t="s">
        <v>341</v>
      </c>
      <c r="B269" s="3" t="s">
        <v>129</v>
      </c>
      <c r="C269" s="3" t="s">
        <v>342</v>
      </c>
      <c r="M269" s="23"/>
      <c r="N269" s="23"/>
      <c r="O269" s="23"/>
    </row>
    <row r="270" customFormat="false" ht="24" hidden="false" customHeight="true" outlineLevel="0" collapsed="false">
      <c r="C270" s="26" t="s">
        <v>343</v>
      </c>
      <c r="M270" s="23"/>
      <c r="N270" s="23"/>
      <c r="O270" s="23"/>
    </row>
    <row r="271" customFormat="false" ht="15" hidden="false" customHeight="true" outlineLevel="0" collapsed="false">
      <c r="C271" s="27" t="s">
        <v>344</v>
      </c>
      <c r="D271" s="28" t="n">
        <v>20.5</v>
      </c>
      <c r="H271" s="29" t="n">
        <f aca="false">IF(COUNT(D271:G271)=0,0,D271*IF(E271="",1,E271)*IF(F271="",1,F271)*IF(G271="",1,G271))</f>
        <v>20.5</v>
      </c>
      <c r="M271" s="23"/>
      <c r="N271" s="23"/>
      <c r="O271" s="23"/>
    </row>
    <row r="272" customFormat="false" ht="15" hidden="false" customHeight="true" outlineLevel="0" collapsed="false">
      <c r="C272" s="27" t="s">
        <v>345</v>
      </c>
      <c r="D272" s="28" t="n">
        <v>18.5</v>
      </c>
      <c r="H272" s="29" t="n">
        <f aca="false">IF(COUNT(D272:G272)=0,0,D272*IF(E272="",1,E272)*IF(F272="",1,F272)*IF(G272="",1,G272))</f>
        <v>18.5</v>
      </c>
      <c r="M272" s="23"/>
      <c r="N272" s="23"/>
      <c r="O272" s="23"/>
    </row>
    <row r="273" customFormat="false" ht="18.75" hidden="false" customHeight="true" outlineLevel="0" collapsed="false">
      <c r="H273" s="30"/>
      <c r="I273" s="31" t="n">
        <f aca="false">ROUND(SUM(H271:H272),2)</f>
        <v>39</v>
      </c>
      <c r="J273" s="32" t="n">
        <v>150</v>
      </c>
      <c r="K273" s="31" t="n">
        <f aca="false">ROUND(I273*J273,2)</f>
        <v>5850</v>
      </c>
      <c r="L273" s="33" t="s">
        <v>346</v>
      </c>
      <c r="M273" s="23" t="s">
        <v>123</v>
      </c>
      <c r="N273" s="23" t="s">
        <v>28</v>
      </c>
      <c r="O273" s="23" t="s">
        <v>312</v>
      </c>
    </row>
    <row r="274" customFormat="false" ht="15" hidden="false" customHeight="true" outlineLevel="0" collapsed="false">
      <c r="A274" s="3" t="s">
        <v>347</v>
      </c>
      <c r="B274" s="3" t="s">
        <v>117</v>
      </c>
      <c r="C274" s="3" t="s">
        <v>348</v>
      </c>
      <c r="M274" s="23"/>
      <c r="N274" s="23"/>
      <c r="O274" s="23"/>
    </row>
    <row r="275" customFormat="false" ht="36" hidden="false" customHeight="true" outlineLevel="0" collapsed="false">
      <c r="C275" s="26" t="s">
        <v>349</v>
      </c>
      <c r="M275" s="23"/>
      <c r="N275" s="23"/>
      <c r="O275" s="23"/>
    </row>
    <row r="276" customFormat="false" ht="15" hidden="false" customHeight="true" outlineLevel="0" collapsed="false">
      <c r="C276" s="27" t="s">
        <v>350</v>
      </c>
      <c r="D276" s="28" t="n">
        <v>1</v>
      </c>
      <c r="E276" s="28" t="n">
        <v>49.52</v>
      </c>
      <c r="H276" s="29" t="n">
        <f aca="false">IF(COUNT(D276:G276)=0,0,D276*IF(E276="",1,E276)*IF(F276="",1,F276)*IF(G276="",1,G276))</f>
        <v>49.52</v>
      </c>
      <c r="M276" s="23"/>
      <c r="N276" s="23"/>
      <c r="O276" s="23"/>
    </row>
    <row r="277" customFormat="false" ht="27.75" hidden="false" customHeight="true" outlineLevel="0" collapsed="false">
      <c r="H277" s="30"/>
      <c r="I277" s="31" t="n">
        <f aca="false">ROUND(SUM(H276:H276),2)</f>
        <v>49.52</v>
      </c>
      <c r="J277" s="32" t="n">
        <v>24</v>
      </c>
      <c r="K277" s="31" t="n">
        <f aca="false">ROUND(I277*J277,2)</f>
        <v>1188.48</v>
      </c>
      <c r="L277" s="33" t="s">
        <v>321</v>
      </c>
      <c r="M277" s="23" t="s">
        <v>123</v>
      </c>
      <c r="N277" s="23" t="s">
        <v>28</v>
      </c>
      <c r="O277" s="23" t="s">
        <v>312</v>
      </c>
    </row>
    <row r="278" customFormat="false" ht="15" hidden="false" customHeight="true" outlineLevel="0" collapsed="false">
      <c r="A278" s="3" t="s">
        <v>351</v>
      </c>
      <c r="B278" s="3" t="s">
        <v>323</v>
      </c>
      <c r="C278" s="3" t="s">
        <v>352</v>
      </c>
      <c r="M278" s="23"/>
      <c r="N278" s="23"/>
      <c r="O278" s="23"/>
    </row>
    <row r="279" customFormat="false" ht="24" hidden="false" customHeight="true" outlineLevel="0" collapsed="false">
      <c r="C279" s="26" t="s">
        <v>353</v>
      </c>
      <c r="M279" s="23"/>
      <c r="N279" s="23"/>
      <c r="O279" s="23"/>
    </row>
    <row r="280" customFormat="false" ht="15" hidden="false" customHeight="true" outlineLevel="0" collapsed="false">
      <c r="C280" s="27" t="s">
        <v>354</v>
      </c>
      <c r="D280" s="28" t="n">
        <v>1</v>
      </c>
      <c r="E280" s="35" t="n">
        <v>430</v>
      </c>
      <c r="F280" s="28"/>
      <c r="G280" s="28"/>
      <c r="H280" s="29" t="n">
        <f aca="false">IF(COUNT(D280:G280)=0,0,D280*IF(E280="",1,E280)*IF(F280="",1,F280)*IF(G280="",1,G280))</f>
        <v>430</v>
      </c>
      <c r="M280" s="23"/>
      <c r="N280" s="23"/>
      <c r="O280" s="23"/>
    </row>
    <row r="281" customFormat="false" ht="15" hidden="false" customHeight="true" outlineLevel="0" collapsed="false">
      <c r="H281" s="30"/>
      <c r="I281" s="31" t="n">
        <f aca="false">ROUND(SUM(H280:H280),2)</f>
        <v>430</v>
      </c>
      <c r="J281" s="32" t="n">
        <v>3.2</v>
      </c>
      <c r="K281" s="31" t="n">
        <f aca="false">ROUND(I281*J281,2)</f>
        <v>1376</v>
      </c>
      <c r="L281" s="33" t="s">
        <v>355</v>
      </c>
      <c r="M281" s="23" t="s">
        <v>123</v>
      </c>
      <c r="N281" s="23" t="s">
        <v>28</v>
      </c>
      <c r="O281" s="23" t="s">
        <v>312</v>
      </c>
    </row>
    <row r="282" customFormat="false" ht="15" hidden="false" customHeight="true" outlineLevel="0" collapsed="false">
      <c r="A282" s="3" t="s">
        <v>356</v>
      </c>
      <c r="B282" s="3" t="s">
        <v>117</v>
      </c>
      <c r="C282" s="3" t="s">
        <v>357</v>
      </c>
      <c r="M282" s="23"/>
      <c r="N282" s="23"/>
      <c r="O282" s="23"/>
    </row>
    <row r="283" customFormat="false" ht="36" hidden="false" customHeight="true" outlineLevel="0" collapsed="false">
      <c r="C283" s="26" t="s">
        <v>358</v>
      </c>
      <c r="M283" s="23"/>
      <c r="N283" s="23"/>
      <c r="O283" s="23"/>
    </row>
    <row r="284" customFormat="false" ht="15" hidden="false" customHeight="true" outlineLevel="0" collapsed="false">
      <c r="C284" s="27" t="s">
        <v>311</v>
      </c>
      <c r="D284" s="28" t="n">
        <v>1</v>
      </c>
      <c r="E284" s="35" t="n">
        <f aca="false">'Mediciones BIM'!E13</f>
        <v>11.08</v>
      </c>
      <c r="H284" s="29" t="n">
        <f aca="false">IF(COUNT(D284:G284)=0,0,D284*IF(E284="",1,E284)*IF(F284="",1,F284)*IF(G284="",1,G284))</f>
        <v>11.08</v>
      </c>
      <c r="M284" s="23"/>
      <c r="N284" s="23"/>
      <c r="O284" s="23"/>
    </row>
    <row r="285" customFormat="false" ht="15" hidden="false" customHeight="true" outlineLevel="0" collapsed="false">
      <c r="C285" s="27"/>
      <c r="D285" s="28"/>
      <c r="E285" s="28"/>
      <c r="H285" s="29"/>
      <c r="I285" s="1" t="n">
        <f aca="false">ROUND(SUM(H284:H284),2)</f>
        <v>11.08</v>
      </c>
      <c r="J285" s="1" t="n">
        <v>68</v>
      </c>
      <c r="K285" s="1" t="n">
        <f aca="false">ROUND(I285*J285,2)</f>
        <v>753.44</v>
      </c>
      <c r="L285" s="1" t="s">
        <v>359</v>
      </c>
      <c r="M285" s="23" t="s">
        <v>123</v>
      </c>
      <c r="N285" s="23" t="s">
        <v>28</v>
      </c>
      <c r="O285" s="23" t="s">
        <v>312</v>
      </c>
    </row>
    <row r="286" customFormat="false" ht="15" hidden="false" customHeight="true" outlineLevel="0" collapsed="false">
      <c r="A286" s="3" t="s">
        <v>360</v>
      </c>
      <c r="B286" s="3" t="s">
        <v>129</v>
      </c>
      <c r="C286" s="3" t="s">
        <v>361</v>
      </c>
      <c r="M286" s="23"/>
      <c r="N286" s="23"/>
      <c r="O286" s="23"/>
    </row>
    <row r="287" customFormat="false" ht="15" hidden="false" customHeight="true" outlineLevel="0" collapsed="false">
      <c r="C287" s="26" t="s">
        <v>362</v>
      </c>
      <c r="M287" s="23"/>
      <c r="N287" s="23"/>
      <c r="O287" s="23"/>
    </row>
    <row r="288" customFormat="false" ht="15" hidden="false" customHeight="true" outlineLevel="0" collapsed="false">
      <c r="C288" s="27" t="s">
        <v>363</v>
      </c>
      <c r="D288" s="28" t="n">
        <v>34</v>
      </c>
      <c r="E288" s="35"/>
      <c r="F288" s="28"/>
      <c r="G288" s="28"/>
      <c r="H288" s="29" t="n">
        <f aca="false">IF(COUNT(D288:G288)=0,0,D288*IF(E288="",1,E288)*IF(F288="",1,F288)*IF(G288="",1,G288))</f>
        <v>34</v>
      </c>
      <c r="M288" s="23"/>
      <c r="N288" s="23"/>
      <c r="O288" s="23"/>
    </row>
    <row r="289" customFormat="false" ht="15" hidden="false" customHeight="true" outlineLevel="0" collapsed="false">
      <c r="H289" s="30"/>
      <c r="I289" s="31" t="n">
        <f aca="false">ROUND(SUM(H288:H288),2)</f>
        <v>34</v>
      </c>
      <c r="J289" s="32" t="n">
        <v>35</v>
      </c>
      <c r="K289" s="31" t="n">
        <f aca="false">ROUND(I289*J289,2)</f>
        <v>1190</v>
      </c>
      <c r="L289" s="33" t="s">
        <v>321</v>
      </c>
      <c r="M289" s="23" t="s">
        <v>123</v>
      </c>
      <c r="N289" s="23" t="s">
        <v>28</v>
      </c>
      <c r="O289" s="23" t="s">
        <v>312</v>
      </c>
    </row>
    <row r="290" customFormat="false" ht="15" hidden="false" customHeight="true" outlineLevel="0" collapsed="false">
      <c r="C290" s="34" t="s">
        <v>364</v>
      </c>
      <c r="K290" s="14" t="n">
        <f aca="false">SUMIFS($K$5:$K$289,$M$5:$M$289,"P",$N$5:$N$289,"05")</f>
        <v>88997.73</v>
      </c>
      <c r="M290" s="23"/>
      <c r="N290" s="23"/>
      <c r="O290" s="23"/>
    </row>
    <row r="291" customFormat="false" ht="15" hidden="false" customHeight="true" outlineLevel="0" collapsed="false">
      <c r="M291" s="23"/>
      <c r="N291" s="23"/>
      <c r="O291" s="23"/>
    </row>
    <row r="292" customFormat="false" ht="15" hidden="false" customHeight="true" outlineLevel="0" collapsed="false">
      <c r="A292" s="24" t="s">
        <v>34</v>
      </c>
      <c r="B292" s="25"/>
      <c r="C292" s="24" t="s">
        <v>35</v>
      </c>
      <c r="D292" s="25"/>
      <c r="E292" s="25"/>
      <c r="F292" s="25"/>
      <c r="G292" s="25"/>
      <c r="H292" s="25"/>
      <c r="I292" s="25"/>
      <c r="J292" s="25"/>
      <c r="K292" s="25"/>
      <c r="L292" s="25"/>
      <c r="M292" s="23" t="s">
        <v>115</v>
      </c>
      <c r="N292" s="23" t="s">
        <v>34</v>
      </c>
      <c r="O292" s="23"/>
    </row>
    <row r="293" customFormat="false" ht="15" hidden="false" customHeight="true" outlineLevel="0" collapsed="false">
      <c r="A293" s="3" t="s">
        <v>365</v>
      </c>
      <c r="B293" s="3" t="s">
        <v>117</v>
      </c>
      <c r="C293" s="3" t="s">
        <v>366</v>
      </c>
      <c r="M293" s="23"/>
      <c r="N293" s="23"/>
      <c r="O293" s="23"/>
    </row>
    <row r="294" customFormat="false" ht="36" hidden="false" customHeight="true" outlineLevel="0" collapsed="false">
      <c r="C294" s="26" t="s">
        <v>367</v>
      </c>
      <c r="M294" s="23"/>
      <c r="N294" s="23"/>
      <c r="O294" s="23"/>
    </row>
    <row r="295" customFormat="false" ht="15" hidden="false" customHeight="true" outlineLevel="0" collapsed="false">
      <c r="C295" s="27" t="s">
        <v>311</v>
      </c>
      <c r="D295" s="28" t="n">
        <v>1</v>
      </c>
      <c r="E295" s="35" t="n">
        <f aca="false">'Mediciones BIM'!E14</f>
        <v>83.88</v>
      </c>
      <c r="G295" s="28"/>
      <c r="H295" s="29" t="n">
        <f aca="false">IF(COUNT(D295:G295)=0,0,D295*IF(E295="",1,E295)*IF(F295="",1,F295)*IF(G295="",1,G295))</f>
        <v>83.88</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5" hidden="false" customHeight="true" outlineLevel="0" collapsed="false">
      <c r="C299" s="27"/>
      <c r="D299" s="28"/>
      <c r="E299" s="28"/>
      <c r="H299" s="29" t="n">
        <f aca="false">IF(COUNT(D299:G299)=0,0,D299*IF(E299="",1,E299)*IF(F299="",1,F299)*IF(G299="",1,G299))</f>
        <v>0</v>
      </c>
      <c r="M299" s="23"/>
      <c r="N299" s="23"/>
      <c r="O299" s="23"/>
    </row>
    <row r="300" customFormat="false" ht="15" hidden="false" customHeight="true" outlineLevel="0" collapsed="false">
      <c r="C300" s="27"/>
      <c r="D300" s="28"/>
      <c r="E300" s="28"/>
      <c r="G300" s="28"/>
      <c r="H300" s="29" t="n">
        <f aca="false">IF(COUNT(D300:G300)=0,0,D300*IF(E300="",1,E300)*IF(F300="",1,F300)*IF(G300="",1,G300))</f>
        <v>0</v>
      </c>
      <c r="M300" s="23"/>
      <c r="N300" s="23"/>
      <c r="O300" s="23"/>
    </row>
    <row r="301" customFormat="false" ht="15" hidden="false" customHeight="true" outlineLevel="0" collapsed="false">
      <c r="C301" s="27"/>
      <c r="D301" s="28"/>
      <c r="E301" s="28"/>
      <c r="G301" s="28"/>
      <c r="H301" s="29" t="n">
        <f aca="false">IF(COUNT(D301:G301)=0,0,D301*IF(E301="",1,E301)*IF(F301="",1,F301)*IF(G301="",1,G301))</f>
        <v>0</v>
      </c>
      <c r="M301" s="23"/>
      <c r="N301" s="23"/>
      <c r="O301" s="23"/>
    </row>
    <row r="302" customFormat="false" ht="15" hidden="false" customHeight="true" outlineLevel="0" collapsed="false">
      <c r="C302" s="27"/>
      <c r="D302" s="28"/>
      <c r="E302" s="28"/>
      <c r="H302" s="29" t="n">
        <f aca="false">IF(COUNT(D302:G302)=0,0,D302*IF(E302="",1,E302)*IF(F302="",1,F302)*IF(G302="",1,G302))</f>
        <v>0</v>
      </c>
      <c r="M302" s="23"/>
      <c r="N302" s="23"/>
      <c r="O302" s="23"/>
    </row>
    <row r="303" customFormat="false" ht="18.75" hidden="false" customHeight="true" outlineLevel="0" collapsed="false">
      <c r="H303" s="30"/>
      <c r="I303" s="31" t="n">
        <f aca="false">ROUND(SUM(H295:H302),2)</f>
        <v>83.88</v>
      </c>
      <c r="J303" s="32" t="n">
        <v>82</v>
      </c>
      <c r="K303" s="31" t="n">
        <f aca="false">ROUND(I303*J303,2)</f>
        <v>6878.16</v>
      </c>
      <c r="L303" s="33" t="s">
        <v>238</v>
      </c>
      <c r="M303" s="23" t="s">
        <v>123</v>
      </c>
      <c r="N303" s="23" t="s">
        <v>34</v>
      </c>
      <c r="O303" s="23"/>
    </row>
    <row r="304" customFormat="false" ht="15" hidden="false" customHeight="true" outlineLevel="0" collapsed="false">
      <c r="A304" s="3" t="s">
        <v>368</v>
      </c>
      <c r="B304" s="3" t="s">
        <v>117</v>
      </c>
      <c r="C304" s="3" t="s">
        <v>369</v>
      </c>
      <c r="M304" s="23"/>
      <c r="N304" s="23"/>
      <c r="O304" s="23"/>
    </row>
    <row r="305" customFormat="false" ht="36" hidden="false" customHeight="true" outlineLevel="0" collapsed="false">
      <c r="C305" s="26" t="s">
        <v>370</v>
      </c>
      <c r="M305" s="23"/>
      <c r="N305" s="23"/>
      <c r="O305" s="23"/>
    </row>
    <row r="306" customFormat="false" ht="15" hidden="false" customHeight="true" outlineLevel="0" collapsed="false">
      <c r="C306" s="27" t="s">
        <v>371</v>
      </c>
      <c r="D306" s="28" t="n">
        <v>1</v>
      </c>
      <c r="E306" s="35" t="n">
        <f aca="false">'Mediciones BIM'!E15</f>
        <v>83.8</v>
      </c>
      <c r="G306" s="28"/>
      <c r="H306" s="29" t="n">
        <f aca="false">IF(COUNT(D306:G306)=0,0,D306*IF(E306="",1,E306)*IF(F306="",1,F306)*IF(G306="",1,G306))</f>
        <v>83.8</v>
      </c>
      <c r="M306" s="23"/>
      <c r="N306" s="23"/>
      <c r="O306" s="23"/>
    </row>
    <row r="307" customFormat="false" ht="15" hidden="false" customHeight="true" outlineLevel="0" collapsed="false">
      <c r="C307" s="27"/>
      <c r="D307" s="28"/>
      <c r="E307" s="28"/>
      <c r="G307" s="28"/>
      <c r="H307" s="29" t="n">
        <f aca="false">IF(COUNT(D307:G307)=0,0,D307*IF(E307="",1,E307)*IF(F307="",1,F307)*IF(G307="",1,G307))</f>
        <v>0</v>
      </c>
      <c r="M307" s="23"/>
      <c r="N307" s="23"/>
      <c r="O307" s="23"/>
    </row>
    <row r="308" customFormat="false" ht="15" hidden="false" customHeight="true" outlineLevel="0" collapsed="false">
      <c r="C308" s="27"/>
      <c r="D308" s="28"/>
      <c r="E308" s="28"/>
      <c r="G308" s="28"/>
      <c r="H308" s="29" t="n">
        <f aca="false">IF(COUNT(D308:G308)=0,0,D308*IF(E308="",1,E308)*IF(F308="",1,F308)*IF(G308="",1,G308))</f>
        <v>0</v>
      </c>
      <c r="M308" s="23"/>
      <c r="N308" s="23"/>
      <c r="O308" s="23"/>
    </row>
    <row r="309" customFormat="false" ht="15" hidden="false" customHeight="true" outlineLevel="0" collapsed="false">
      <c r="C309" s="27"/>
      <c r="D309" s="28"/>
      <c r="E309" s="28"/>
      <c r="H309" s="29" t="n">
        <f aca="false">IF(COUNT(D309:G309)=0,0,D309*IF(E309="",1,E309)*IF(F309="",1,F309)*IF(G309="",1,G309))</f>
        <v>0</v>
      </c>
      <c r="M309" s="23"/>
      <c r="N309" s="23"/>
      <c r="O309" s="23"/>
    </row>
    <row r="310" customFormat="false" ht="18.75" hidden="false" customHeight="true" outlineLevel="0" collapsed="false">
      <c r="H310" s="30"/>
      <c r="I310" s="31" t="n">
        <f aca="false">ROUND(SUM(H306:H309),2)</f>
        <v>83.8</v>
      </c>
      <c r="J310" s="32" t="n">
        <v>58</v>
      </c>
      <c r="K310" s="31" t="n">
        <f aca="false">ROUND(I310*J310,2)</f>
        <v>4860.4</v>
      </c>
      <c r="L310" s="33" t="s">
        <v>238</v>
      </c>
      <c r="M310" s="23" t="s">
        <v>123</v>
      </c>
      <c r="N310" s="23" t="s">
        <v>34</v>
      </c>
      <c r="O310" s="23"/>
    </row>
    <row r="311" customFormat="false" ht="15" hidden="false" customHeight="true" outlineLevel="0" collapsed="false">
      <c r="A311" s="3" t="s">
        <v>372</v>
      </c>
      <c r="B311" s="3" t="s">
        <v>117</v>
      </c>
      <c r="C311" s="3" t="s">
        <v>373</v>
      </c>
      <c r="M311" s="23"/>
      <c r="N311" s="23"/>
      <c r="O311" s="23"/>
    </row>
    <row r="312" customFormat="false" ht="36" hidden="false" customHeight="true" outlineLevel="0" collapsed="false">
      <c r="C312" s="26" t="s">
        <v>374</v>
      </c>
      <c r="M312" s="23"/>
      <c r="N312" s="23"/>
      <c r="O312" s="23"/>
    </row>
    <row r="313" customFormat="false" ht="15" hidden="false" customHeight="true" outlineLevel="0" collapsed="false">
      <c r="C313" s="27" t="s">
        <v>311</v>
      </c>
      <c r="D313" s="28" t="n">
        <v>1</v>
      </c>
      <c r="E313" s="35" t="n">
        <f aca="false">'Mediciones BIM'!E16</f>
        <v>369.19</v>
      </c>
      <c r="G313" s="28"/>
      <c r="H313" s="29" t="n">
        <f aca="false">IF(COUNT(D313:G313)=0,0,D313*IF(E313="",1,E313)*IF(F313="",1,F313)*IF(G313="",1,G313))</f>
        <v>369.19</v>
      </c>
      <c r="M313" s="23"/>
      <c r="N313" s="23"/>
      <c r="O313" s="23"/>
    </row>
    <row r="314" customFormat="false" ht="15" hidden="false" customHeight="true" outlineLevel="0" collapsed="false">
      <c r="C314" s="27"/>
      <c r="D314" s="28"/>
      <c r="E314" s="28"/>
      <c r="G314" s="28"/>
      <c r="H314" s="29" t="n">
        <f aca="false">IF(COUNT(D314:G314)=0,0,D314*IF(E314="",1,E314)*IF(F314="",1,F314)*IF(G314="",1,G314))</f>
        <v>0</v>
      </c>
      <c r="M314" s="23"/>
      <c r="N314" s="23"/>
      <c r="O314" s="23"/>
    </row>
    <row r="315" customFormat="false" ht="15" hidden="false" customHeight="true" outlineLevel="0" collapsed="false">
      <c r="C315" s="27"/>
      <c r="D315" s="28"/>
      <c r="E315" s="28"/>
      <c r="G315" s="28"/>
      <c r="H315" s="29" t="n">
        <f aca="false">IF(COUNT(D315:G315)=0,0,D315*IF(E315="",1,E315)*IF(F315="",1,F315)*IF(G315="",1,G315))</f>
        <v>0</v>
      </c>
      <c r="M315" s="23"/>
      <c r="N315" s="23"/>
      <c r="O315" s="23"/>
    </row>
    <row r="316" customFormat="false" ht="15" hidden="false" customHeight="true" outlineLevel="0" collapsed="false">
      <c r="C316" s="27"/>
      <c r="D316" s="28"/>
      <c r="E316" s="28"/>
      <c r="G316" s="28"/>
      <c r="H316" s="29" t="n">
        <f aca="false">IF(COUNT(D316:G316)=0,0,D316*IF(E316="",1,E316)*IF(F316="",1,F316)*IF(G316="",1,G316))</f>
        <v>0</v>
      </c>
      <c r="M316" s="23"/>
      <c r="N316" s="23"/>
      <c r="O316" s="23"/>
    </row>
    <row r="317" customFormat="false" ht="15" hidden="false" customHeight="true" outlineLevel="0" collapsed="false">
      <c r="C317" s="27"/>
      <c r="D317" s="28"/>
      <c r="E317" s="28"/>
      <c r="G317" s="28"/>
      <c r="H317" s="29" t="n">
        <f aca="false">IF(COUNT(D317:G317)=0,0,D317*IF(E317="",1,E317)*IF(F317="",1,F317)*IF(G317="",1,G317))</f>
        <v>0</v>
      </c>
      <c r="M317" s="23"/>
      <c r="N317" s="23"/>
      <c r="O317" s="23"/>
    </row>
    <row r="318" customFormat="false" ht="18.75" hidden="false" customHeight="true" outlineLevel="0" collapsed="false">
      <c r="H318" s="30"/>
      <c r="I318" s="31" t="n">
        <f aca="false">ROUND(SUM(H313:H317),2)</f>
        <v>369.19</v>
      </c>
      <c r="J318" s="32" t="n">
        <v>54</v>
      </c>
      <c r="K318" s="31" t="n">
        <f aca="false">ROUND(I318*J318,2)</f>
        <v>19936.26</v>
      </c>
      <c r="L318" s="33" t="s">
        <v>238</v>
      </c>
      <c r="M318" s="23" t="s">
        <v>123</v>
      </c>
      <c r="N318" s="23" t="s">
        <v>34</v>
      </c>
      <c r="O318" s="23"/>
    </row>
    <row r="319" customFormat="false" ht="15" hidden="false" customHeight="true" outlineLevel="0" collapsed="false">
      <c r="A319" s="3" t="s">
        <v>375</v>
      </c>
      <c r="B319" s="3" t="s">
        <v>117</v>
      </c>
      <c r="C319" s="3" t="s">
        <v>376</v>
      </c>
      <c r="M319" s="23"/>
      <c r="N319" s="23"/>
      <c r="O319" s="23"/>
    </row>
    <row r="320" customFormat="false" ht="24" hidden="false" customHeight="true" outlineLevel="0" collapsed="false">
      <c r="C320" s="26" t="s">
        <v>377</v>
      </c>
      <c r="M320" s="23"/>
      <c r="N320" s="23"/>
      <c r="O320" s="23"/>
    </row>
    <row r="321" customFormat="false" ht="15" hidden="false" customHeight="true" outlineLevel="0" collapsed="false">
      <c r="C321" s="27" t="s">
        <v>311</v>
      </c>
      <c r="D321" s="28" t="n">
        <v>1</v>
      </c>
      <c r="E321" s="35" t="n">
        <f aca="false">'Mediciones BIM'!E17</f>
        <v>326.37</v>
      </c>
      <c r="G321" s="28"/>
      <c r="H321" s="29" t="n">
        <f aca="false">IF(COUNT(D321:G321)=0,0,D321*IF(E321="",1,E321)*IF(F321="",1,F321)*IF(G321="",1,G321))</f>
        <v>326.37</v>
      </c>
      <c r="M321" s="23"/>
      <c r="N321" s="23"/>
      <c r="O321" s="23"/>
    </row>
    <row r="322" customFormat="false" ht="15" hidden="false" customHeight="true" outlineLevel="0" collapsed="false">
      <c r="C322" s="27"/>
      <c r="D322" s="28"/>
      <c r="E322" s="28"/>
      <c r="G322" s="28"/>
      <c r="H322" s="29" t="n">
        <f aca="false">IF(COUNT(D322:G322)=0,0,D322*IF(E322="",1,E322)*IF(F322="",1,F322)*IF(G322="",1,G322))</f>
        <v>0</v>
      </c>
      <c r="M322" s="23"/>
      <c r="N322" s="23"/>
      <c r="O322" s="23"/>
    </row>
    <row r="323" customFormat="false" ht="15" hidden="false" customHeight="true" outlineLevel="0" collapsed="false">
      <c r="C323" s="27"/>
      <c r="D323" s="28"/>
      <c r="E323" s="28"/>
      <c r="G323" s="28"/>
      <c r="H323" s="29" t="n">
        <f aca="false">IF(COUNT(D323:G323)=0,0,D323*IF(E323="",1,E323)*IF(F323="",1,F323)*IF(G323="",1,G323))</f>
        <v>0</v>
      </c>
      <c r="M323" s="23"/>
      <c r="N323" s="23"/>
      <c r="O323" s="23"/>
    </row>
    <row r="324" customFormat="false" ht="18.75" hidden="false" customHeight="true" outlineLevel="0" collapsed="false">
      <c r="H324" s="30"/>
      <c r="I324" s="31" t="n">
        <f aca="false">ROUND(SUM(H321:H323),2)</f>
        <v>326.37</v>
      </c>
      <c r="J324" s="32" t="n">
        <v>4.8</v>
      </c>
      <c r="K324" s="31" t="n">
        <f aca="false">ROUND(I324*J324,2)</f>
        <v>1566.58</v>
      </c>
      <c r="L324" s="33" t="s">
        <v>238</v>
      </c>
      <c r="M324" s="23" t="s">
        <v>123</v>
      </c>
      <c r="N324" s="23" t="s">
        <v>34</v>
      </c>
      <c r="O324" s="23"/>
    </row>
    <row r="325" customFormat="false" ht="15" hidden="false" customHeight="true" outlineLevel="0" collapsed="false">
      <c r="A325" s="3" t="s">
        <v>378</v>
      </c>
      <c r="B325" s="3" t="s">
        <v>117</v>
      </c>
      <c r="C325" s="3" t="s">
        <v>379</v>
      </c>
      <c r="M325" s="23"/>
      <c r="N325" s="23"/>
      <c r="O325" s="23"/>
    </row>
    <row r="326" customFormat="false" ht="24" hidden="false" customHeight="true" outlineLevel="0" collapsed="false">
      <c r="C326" s="26" t="s">
        <v>380</v>
      </c>
      <c r="M326" s="23"/>
      <c r="N326" s="23"/>
      <c r="O326" s="23"/>
    </row>
    <row r="327" customFormat="false" ht="15" hidden="false" customHeight="true" outlineLevel="0" collapsed="false">
      <c r="C327" s="27" t="s">
        <v>311</v>
      </c>
      <c r="D327" s="28" t="n">
        <v>1</v>
      </c>
      <c r="E327" s="35" t="n">
        <f aca="false">'Mediciones BIM'!E18</f>
        <v>96.78</v>
      </c>
      <c r="G327" s="28"/>
      <c r="H327" s="29" t="n">
        <f aca="false">IF(COUNT(D327:G327)=0,0,D327*IF(E327="",1,E327)*IF(F327="",1,F327)*IF(G327="",1,G327))</f>
        <v>96.78</v>
      </c>
      <c r="M327" s="23"/>
      <c r="N327" s="23"/>
      <c r="O327" s="23"/>
    </row>
    <row r="328" customFormat="false" ht="15" hidden="false" customHeight="true" outlineLevel="0" collapsed="false">
      <c r="C328" s="27"/>
      <c r="D328" s="28"/>
      <c r="E328" s="28"/>
      <c r="G328" s="28"/>
      <c r="H328" s="29" t="n">
        <f aca="false">IF(COUNT(D328:G328)=0,0,D328*IF(E328="",1,E328)*IF(F328="",1,F328)*IF(G328="",1,G328))</f>
        <v>0</v>
      </c>
      <c r="M328" s="23"/>
      <c r="N328" s="23"/>
      <c r="O328" s="23"/>
    </row>
    <row r="329" customFormat="false" ht="15" hidden="false" customHeight="true" outlineLevel="0" collapsed="false">
      <c r="C329" s="27"/>
      <c r="D329" s="28"/>
      <c r="E329" s="28"/>
      <c r="G329" s="28"/>
      <c r="H329" s="29" t="n">
        <f aca="false">IF(COUNT(D329:G329)=0,0,D329*IF(E329="",1,E329)*IF(F329="",1,F329)*IF(G329="",1,G329))</f>
        <v>0</v>
      </c>
      <c r="M329" s="23"/>
      <c r="N329" s="23"/>
      <c r="O329" s="23"/>
    </row>
    <row r="330" customFormat="false" ht="18.75" hidden="false" customHeight="true" outlineLevel="0" collapsed="false">
      <c r="H330" s="30"/>
      <c r="I330" s="31" t="n">
        <f aca="false">ROUND(SUM(H327:H329),2)</f>
        <v>96.78</v>
      </c>
      <c r="J330" s="32" t="n">
        <v>34</v>
      </c>
      <c r="K330" s="31" t="n">
        <f aca="false">ROUND(I330*J330,2)</f>
        <v>3290.52</v>
      </c>
      <c r="L330" s="33" t="s">
        <v>238</v>
      </c>
      <c r="M330" s="23" t="s">
        <v>123</v>
      </c>
      <c r="N330" s="23" t="s">
        <v>34</v>
      </c>
      <c r="O330" s="23"/>
    </row>
    <row r="331" customFormat="false" ht="15" hidden="false" customHeight="true" outlineLevel="0" collapsed="false">
      <c r="A331" s="3" t="s">
        <v>381</v>
      </c>
      <c r="B331" s="3" t="s">
        <v>117</v>
      </c>
      <c r="C331" s="3" t="s">
        <v>382</v>
      </c>
      <c r="M331" s="23"/>
      <c r="N331" s="23"/>
      <c r="O331" s="23"/>
    </row>
    <row r="332" customFormat="false" ht="24" hidden="false" customHeight="true" outlineLevel="0" collapsed="false">
      <c r="C332" s="26" t="s">
        <v>383</v>
      </c>
      <c r="M332" s="23"/>
      <c r="N332" s="23"/>
      <c r="O332" s="23"/>
    </row>
    <row r="333" customFormat="false" ht="15" hidden="false" customHeight="true" outlineLevel="0" collapsed="false">
      <c r="C333" s="27" t="s">
        <v>311</v>
      </c>
      <c r="D333" s="28" t="n">
        <v>1</v>
      </c>
      <c r="E333" s="35" t="n">
        <f aca="false">'Mediciones BIM'!E19</f>
        <v>103.72</v>
      </c>
      <c r="G333" s="28"/>
      <c r="H333" s="29" t="n">
        <f aca="false">IF(COUNT(D333:G333)=0,0,D333*IF(E333="",1,E333)*IF(F333="",1,F333)*IF(G333="",1,G333))</f>
        <v>103.72</v>
      </c>
      <c r="M333" s="23"/>
      <c r="N333" s="23"/>
      <c r="O333" s="23"/>
    </row>
    <row r="334" customFormat="false" ht="15" hidden="false" customHeight="true" outlineLevel="0" collapsed="false">
      <c r="C334" s="27"/>
      <c r="D334" s="28"/>
      <c r="E334" s="28"/>
      <c r="G334" s="28"/>
      <c r="H334" s="29" t="n">
        <f aca="false">IF(COUNT(D334:G334)=0,0,D334*IF(E334="",1,E334)*IF(F334="",1,F334)*IF(G334="",1,G334))</f>
        <v>0</v>
      </c>
      <c r="M334" s="23"/>
      <c r="N334" s="23"/>
      <c r="O334" s="23"/>
    </row>
    <row r="335" customFormat="false" ht="15" hidden="false" customHeight="true" outlineLevel="0" collapsed="false">
      <c r="C335" s="27"/>
      <c r="D335" s="28"/>
      <c r="E335" s="28"/>
      <c r="G335" s="28"/>
      <c r="H335" s="29" t="n">
        <f aca="false">IF(COUNT(D335:G335)=0,0,D335*IF(E335="",1,E335)*IF(F335="",1,F335)*IF(G335="",1,G335))</f>
        <v>0</v>
      </c>
      <c r="M335" s="23"/>
      <c r="N335" s="23"/>
      <c r="O335" s="23"/>
    </row>
    <row r="336" customFormat="false" ht="18.75" hidden="false" customHeight="true" outlineLevel="0" collapsed="false">
      <c r="H336" s="30"/>
      <c r="I336" s="31" t="n">
        <f aca="false">ROUND(SUM(H333:H335),2)</f>
        <v>103.72</v>
      </c>
      <c r="J336" s="32" t="n">
        <v>33</v>
      </c>
      <c r="K336" s="31" t="n">
        <f aca="false">ROUND(I336*J336,2)</f>
        <v>3422.76</v>
      </c>
      <c r="L336" s="33" t="s">
        <v>238</v>
      </c>
      <c r="M336" s="23" t="s">
        <v>123</v>
      </c>
      <c r="N336" s="23" t="s">
        <v>34</v>
      </c>
      <c r="O336" s="23"/>
    </row>
    <row r="337" customFormat="false" ht="15" hidden="false" customHeight="true" outlineLevel="0" collapsed="false">
      <c r="A337" s="3" t="s">
        <v>384</v>
      </c>
      <c r="B337" s="3" t="s">
        <v>140</v>
      </c>
      <c r="C337" s="3" t="s">
        <v>385</v>
      </c>
      <c r="M337" s="23"/>
      <c r="N337" s="23"/>
      <c r="O337" s="23"/>
    </row>
    <row r="338" customFormat="false" ht="24" hidden="false" customHeight="true" outlineLevel="0" collapsed="false">
      <c r="C338" s="26" t="s">
        <v>386</v>
      </c>
      <c r="M338" s="23"/>
      <c r="N338" s="23"/>
      <c r="O338" s="23"/>
    </row>
    <row r="339" customFormat="false" ht="15" hidden="false" customHeight="true" outlineLevel="0" collapsed="false">
      <c r="C339" s="27" t="s">
        <v>387</v>
      </c>
      <c r="D339" s="28" t="n">
        <v>4</v>
      </c>
      <c r="E339" s="28" t="n">
        <v>1.35</v>
      </c>
      <c r="H339" s="29" t="n">
        <f aca="false">IF(COUNT(D339:G339)=0,0,D339*IF(E339="",1,E339)*IF(F339="",1,F339)*IF(G339="",1,G339))</f>
        <v>5.4</v>
      </c>
      <c r="M339" s="23"/>
      <c r="N339" s="23"/>
      <c r="O339" s="23"/>
    </row>
    <row r="340" customFormat="false" ht="15" hidden="false" customHeight="true" outlineLevel="0" collapsed="false">
      <c r="C340" s="27" t="s">
        <v>388</v>
      </c>
      <c r="D340" s="28" t="n">
        <v>3</v>
      </c>
      <c r="E340" s="28" t="n">
        <v>1.35</v>
      </c>
      <c r="H340" s="29" t="n">
        <f aca="false">IF(COUNT(D340:G340)=0,0,D340*IF(E340="",1,E340)*IF(F340="",1,F340)*IF(G340="",1,G340))</f>
        <v>4.05</v>
      </c>
      <c r="M340" s="23"/>
      <c r="N340" s="23"/>
      <c r="O340" s="23"/>
    </row>
    <row r="341" customFormat="false" ht="15" hidden="false" customHeight="true" outlineLevel="0" collapsed="false">
      <c r="C341" s="27" t="s">
        <v>389</v>
      </c>
      <c r="D341" s="28" t="n">
        <v>1</v>
      </c>
      <c r="E341" s="28" t="n">
        <v>2.05</v>
      </c>
      <c r="H341" s="29" t="n">
        <f aca="false">IF(COUNT(D341:G341)=0,0,D341*IF(E341="",1,E341)*IF(F341="",1,F341)*IF(G341="",1,G341))</f>
        <v>2.05</v>
      </c>
      <c r="M341" s="23"/>
      <c r="N341" s="23"/>
      <c r="O341" s="23"/>
    </row>
    <row r="342" customFormat="false" ht="15" hidden="false" customHeight="true" outlineLevel="0" collapsed="false">
      <c r="C342" s="27" t="s">
        <v>390</v>
      </c>
      <c r="D342" s="28" t="n">
        <v>1</v>
      </c>
      <c r="E342" s="28" t="n">
        <v>5.6</v>
      </c>
      <c r="H342" s="29" t="n">
        <f aca="false">IF(COUNT(D342:G342)=0,0,D342*IF(E342="",1,E342)*IF(F342="",1,F342)*IF(G342="",1,G342))</f>
        <v>5.6</v>
      </c>
      <c r="M342" s="23"/>
      <c r="N342" s="23"/>
      <c r="O342" s="23"/>
    </row>
    <row r="343" customFormat="false" ht="18.75" hidden="false" customHeight="true" outlineLevel="0" collapsed="false">
      <c r="H343" s="30"/>
      <c r="I343" s="31" t="n">
        <f aca="false">ROUND(SUM(H339:H342),2)</f>
        <v>17.1</v>
      </c>
      <c r="J343" s="32" t="n">
        <v>52</v>
      </c>
      <c r="K343" s="31" t="n">
        <f aca="false">ROUND(I343*J343,2)</f>
        <v>889.2</v>
      </c>
      <c r="L343" s="33" t="s">
        <v>238</v>
      </c>
      <c r="M343" s="23" t="s">
        <v>123</v>
      </c>
      <c r="N343" s="23" t="s">
        <v>34</v>
      </c>
      <c r="O343" s="23"/>
    </row>
    <row r="344" customFormat="false" ht="15" hidden="false" customHeight="true" outlineLevel="0" collapsed="false">
      <c r="A344" s="3" t="s">
        <v>391</v>
      </c>
      <c r="B344" s="3" t="s">
        <v>140</v>
      </c>
      <c r="C344" s="3" t="s">
        <v>392</v>
      </c>
      <c r="M344" s="23"/>
      <c r="N344" s="23"/>
      <c r="O344" s="23"/>
    </row>
    <row r="345" customFormat="false" ht="24" hidden="false" customHeight="true" outlineLevel="0" collapsed="false">
      <c r="C345" s="26" t="s">
        <v>393</v>
      </c>
      <c r="M345" s="23"/>
      <c r="N345" s="23"/>
      <c r="O345" s="23"/>
    </row>
    <row r="346" customFormat="false" ht="15" hidden="false" customHeight="true" outlineLevel="0" collapsed="false">
      <c r="C346" s="27" t="s">
        <v>371</v>
      </c>
      <c r="D346" s="28" t="n">
        <v>1</v>
      </c>
      <c r="E346" s="35" t="n">
        <f aca="false">'Mediciones BIM'!E20</f>
        <v>43.78</v>
      </c>
      <c r="H346" s="29" t="n">
        <f aca="false">IF(COUNT(D346:G346)=0,0,D346*IF(E346="",1,E346)*IF(F346="",1,F346)*IF(G346="",1,G346))</f>
        <v>43.78</v>
      </c>
      <c r="M346" s="23"/>
      <c r="N346" s="23"/>
      <c r="O346" s="23"/>
    </row>
    <row r="347" customFormat="false" ht="15" hidden="false" customHeight="true" outlineLevel="0" collapsed="false">
      <c r="C347" s="27"/>
      <c r="D347" s="28"/>
      <c r="E347" s="28"/>
      <c r="H347" s="29" t="n">
        <f aca="false">IF(COUNT(D347:G347)=0,0,D347*IF(E347="",1,E347)*IF(F347="",1,F347)*IF(G347="",1,G347))</f>
        <v>0</v>
      </c>
      <c r="M347" s="23"/>
      <c r="N347" s="23"/>
      <c r="O347" s="23"/>
    </row>
    <row r="348" customFormat="false" ht="18.75" hidden="false" customHeight="true" outlineLevel="0" collapsed="false">
      <c r="H348" s="30"/>
      <c r="I348" s="31" t="n">
        <f aca="false">ROUND(SUM(H346:H347),2)</f>
        <v>43.78</v>
      </c>
      <c r="J348" s="32" t="n">
        <v>29</v>
      </c>
      <c r="K348" s="31" t="n">
        <f aca="false">ROUND(I348*J348,2)</f>
        <v>1269.62</v>
      </c>
      <c r="L348" s="33" t="s">
        <v>238</v>
      </c>
      <c r="M348" s="23" t="s">
        <v>123</v>
      </c>
      <c r="N348" s="23" t="s">
        <v>34</v>
      </c>
      <c r="O348" s="23"/>
    </row>
    <row r="349" customFormat="false" ht="15" hidden="false" customHeight="true" outlineLevel="0" collapsed="false">
      <c r="A349" s="3" t="s">
        <v>394</v>
      </c>
      <c r="B349" s="3" t="s">
        <v>129</v>
      </c>
      <c r="C349" s="3" t="s">
        <v>395</v>
      </c>
      <c r="M349" s="23"/>
      <c r="N349" s="23"/>
      <c r="O349" s="23"/>
    </row>
    <row r="350" customFormat="false" ht="12" hidden="false" customHeight="true" outlineLevel="0" collapsed="false">
      <c r="C350" s="26" t="s">
        <v>396</v>
      </c>
      <c r="M350" s="23"/>
      <c r="N350" s="23"/>
      <c r="O350" s="23"/>
    </row>
    <row r="351" customFormat="false" ht="15" hidden="false" customHeight="true" outlineLevel="0" collapsed="false">
      <c r="C351" s="27" t="s">
        <v>397</v>
      </c>
      <c r="D351" s="28" t="n">
        <v>25</v>
      </c>
      <c r="H351" s="29" t="n">
        <f aca="false">IF(COUNT(D351:G351)=0,0,D351*IF(E351="",1,E351)*IF(F351="",1,F351)*IF(G351="",1,G351))</f>
        <v>25</v>
      </c>
      <c r="M351" s="23"/>
      <c r="N351" s="23"/>
      <c r="O351" s="23"/>
    </row>
    <row r="352" customFormat="false" ht="15" hidden="false" customHeight="true" outlineLevel="0" collapsed="false">
      <c r="H352" s="30"/>
      <c r="I352" s="31" t="n">
        <f aca="false">ROUND(SUM(H351:H351),2)</f>
        <v>25</v>
      </c>
      <c r="J352" s="32" t="n">
        <v>27.01</v>
      </c>
      <c r="K352" s="31" t="n">
        <f aca="false">ROUND(I352*J352,2)</f>
        <v>675.25</v>
      </c>
      <c r="L352" s="33" t="s">
        <v>212</v>
      </c>
      <c r="M352" s="23" t="s">
        <v>123</v>
      </c>
      <c r="N352" s="23" t="s">
        <v>34</v>
      </c>
      <c r="O352" s="23"/>
    </row>
    <row r="353" customFormat="false" ht="15" hidden="false" customHeight="true" outlineLevel="0" collapsed="false">
      <c r="A353" s="3" t="s">
        <v>398</v>
      </c>
      <c r="B353" s="3" t="s">
        <v>129</v>
      </c>
      <c r="C353" s="3" t="s">
        <v>399</v>
      </c>
      <c r="M353" s="23"/>
      <c r="N353" s="23"/>
      <c r="O353" s="23"/>
    </row>
    <row r="354" customFormat="false" ht="12" hidden="false" customHeight="true" outlineLevel="0" collapsed="false">
      <c r="C354" s="26" t="s">
        <v>400</v>
      </c>
      <c r="M354" s="23"/>
      <c r="N354" s="23"/>
      <c r="O354" s="23"/>
    </row>
    <row r="355" customFormat="false" ht="15" hidden="false" customHeight="true" outlineLevel="0" collapsed="false">
      <c r="C355" s="27" t="s">
        <v>401</v>
      </c>
      <c r="D355" s="28" t="n">
        <v>10</v>
      </c>
      <c r="H355" s="29" t="n">
        <f aca="false">IF(COUNT(D355:G355)=0,0,D355*IF(E355="",1,E355)*IF(F355="",1,F355)*IF(G355="",1,G355))</f>
        <v>10</v>
      </c>
      <c r="M355" s="23"/>
      <c r="N355" s="23"/>
      <c r="O355" s="23"/>
    </row>
    <row r="356" customFormat="false" ht="15" hidden="false" customHeight="true" outlineLevel="0" collapsed="false">
      <c r="H356" s="30"/>
      <c r="I356" s="31" t="n">
        <f aca="false">ROUND(SUM(H355:H355),2)</f>
        <v>10</v>
      </c>
      <c r="J356" s="32" t="n">
        <v>21.55</v>
      </c>
      <c r="K356" s="31" t="n">
        <f aca="false">ROUND(I356*J356,2)</f>
        <v>215.5</v>
      </c>
      <c r="L356" s="33" t="s">
        <v>212</v>
      </c>
      <c r="M356" s="23" t="s">
        <v>123</v>
      </c>
      <c r="N356" s="23" t="s">
        <v>34</v>
      </c>
      <c r="O356" s="23"/>
    </row>
    <row r="357" customFormat="false" ht="15" hidden="false" customHeight="true" outlineLevel="0" collapsed="false">
      <c r="A357" s="3" t="s">
        <v>402</v>
      </c>
      <c r="B357" s="3" t="s">
        <v>129</v>
      </c>
      <c r="C357" s="3" t="s">
        <v>403</v>
      </c>
      <c r="M357" s="23"/>
      <c r="N357" s="23"/>
      <c r="O357" s="23"/>
    </row>
    <row r="358" customFormat="false" ht="12" hidden="false" customHeight="true" outlineLevel="0" collapsed="false">
      <c r="C358" s="26" t="s">
        <v>404</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3936.24</v>
      </c>
      <c r="K360" s="31" t="n">
        <f aca="false">ROUND(I360*J360,2)</f>
        <v>3936.24</v>
      </c>
      <c r="L360" s="33" t="s">
        <v>212</v>
      </c>
      <c r="M360" s="23" t="s">
        <v>123</v>
      </c>
      <c r="N360" s="23" t="s">
        <v>34</v>
      </c>
      <c r="O360" s="23"/>
    </row>
    <row r="361" customFormat="false" ht="15" hidden="false" customHeight="true" outlineLevel="0" collapsed="false">
      <c r="A361" s="3" t="s">
        <v>405</v>
      </c>
      <c r="B361" s="3" t="s">
        <v>129</v>
      </c>
      <c r="C361" s="3" t="s">
        <v>406</v>
      </c>
      <c r="M361" s="23"/>
      <c r="N361" s="23"/>
      <c r="O361" s="23"/>
    </row>
    <row r="362" customFormat="false" ht="12" hidden="false" customHeight="true" outlineLevel="0" collapsed="false">
      <c r="C362" s="26" t="s">
        <v>407</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3690.22</v>
      </c>
      <c r="K364" s="31" t="n">
        <f aca="false">ROUND(I364*J364,2)</f>
        <v>3690.22</v>
      </c>
      <c r="L364" s="33" t="s">
        <v>212</v>
      </c>
      <c r="M364" s="23" t="s">
        <v>123</v>
      </c>
      <c r="N364" s="23" t="s">
        <v>34</v>
      </c>
      <c r="O364" s="23"/>
    </row>
    <row r="365" customFormat="false" ht="15" hidden="false" customHeight="true" outlineLevel="0" collapsed="false">
      <c r="A365" s="3" t="s">
        <v>408</v>
      </c>
      <c r="B365" s="3" t="s">
        <v>129</v>
      </c>
      <c r="C365" s="3" t="s">
        <v>409</v>
      </c>
      <c r="M365" s="23"/>
      <c r="N365" s="23"/>
      <c r="O365" s="23"/>
    </row>
    <row r="366" customFormat="false" ht="24" hidden="false" customHeight="true" outlineLevel="0" collapsed="false">
      <c r="C366" s="26" t="s">
        <v>410</v>
      </c>
      <c r="M366" s="23"/>
      <c r="N366" s="23"/>
      <c r="O366" s="23"/>
    </row>
    <row r="367" customFormat="false" ht="15" hidden="false" customHeight="true" outlineLevel="0" collapsed="false">
      <c r="C367" s="27" t="s">
        <v>132</v>
      </c>
      <c r="D367" s="28" t="n">
        <v>1</v>
      </c>
      <c r="H367" s="29" t="n">
        <f aca="false">IF(COUNT(D367:G367)=0,0,D367*IF(E367="",1,E367)*IF(F367="",1,F367)*IF(G367="",1,G367))</f>
        <v>1</v>
      </c>
      <c r="M367" s="23"/>
      <c r="N367" s="23"/>
      <c r="O367" s="23"/>
    </row>
    <row r="368" customFormat="false" ht="15" hidden="false" customHeight="true" outlineLevel="0" collapsed="false">
      <c r="H368" s="30"/>
      <c r="I368" s="31" t="n">
        <f aca="false">ROUND(SUM(H367:H367),2)</f>
        <v>1</v>
      </c>
      <c r="J368" s="32" t="n">
        <v>4920.29</v>
      </c>
      <c r="K368" s="31" t="n">
        <f aca="false">ROUND(I368*J368,2)</f>
        <v>4920.29</v>
      </c>
      <c r="L368" s="33" t="s">
        <v>212</v>
      </c>
      <c r="M368" s="23" t="s">
        <v>123</v>
      </c>
      <c r="N368" s="23" t="s">
        <v>34</v>
      </c>
      <c r="O368" s="23"/>
    </row>
    <row r="369" customFormat="false" ht="15" hidden="false" customHeight="true" outlineLevel="0" collapsed="false">
      <c r="C369" s="34" t="s">
        <v>411</v>
      </c>
      <c r="K369" s="14" t="n">
        <f aca="false">SUMIFS($K$5:$K$368,$M$5:$M$368,"P",$N$5:$N$368,"06")</f>
        <v>55551</v>
      </c>
      <c r="M369" s="23"/>
      <c r="N369" s="23"/>
      <c r="O369" s="23"/>
    </row>
    <row r="370" customFormat="false" ht="15" hidden="false" customHeight="true" outlineLevel="0" collapsed="false">
      <c r="M370" s="23"/>
      <c r="N370" s="23"/>
      <c r="O370" s="23"/>
    </row>
    <row r="371" customFormat="false" ht="15" hidden="false" customHeight="true" outlineLevel="0" collapsed="false">
      <c r="A371" s="24" t="s">
        <v>36</v>
      </c>
      <c r="B371" s="25"/>
      <c r="C371" s="24" t="s">
        <v>37</v>
      </c>
      <c r="D371" s="25"/>
      <c r="E371" s="25"/>
      <c r="F371" s="25"/>
      <c r="G371" s="25"/>
      <c r="H371" s="25"/>
      <c r="I371" s="25"/>
      <c r="J371" s="25"/>
      <c r="K371" s="25"/>
      <c r="L371" s="25"/>
      <c r="M371" s="23" t="s">
        <v>115</v>
      </c>
      <c r="N371" s="23" t="s">
        <v>36</v>
      </c>
      <c r="O371" s="23"/>
    </row>
    <row r="372" customFormat="false" ht="15" hidden="false" customHeight="true" outlineLevel="0" collapsed="false">
      <c r="A372" s="3" t="s">
        <v>412</v>
      </c>
      <c r="B372" s="3" t="s">
        <v>117</v>
      </c>
      <c r="C372" s="3" t="s">
        <v>413</v>
      </c>
      <c r="M372" s="23"/>
      <c r="N372" s="23"/>
      <c r="O372" s="23"/>
    </row>
    <row r="373" customFormat="false" ht="24" hidden="false" customHeight="true" outlineLevel="0" collapsed="false">
      <c r="C373" s="26" t="s">
        <v>414</v>
      </c>
      <c r="M373" s="23"/>
      <c r="N373" s="23"/>
      <c r="O373" s="23"/>
    </row>
    <row r="374" customFormat="false" ht="15" hidden="false" customHeight="true" outlineLevel="0" collapsed="false">
      <c r="C374" s="27" t="s">
        <v>311</v>
      </c>
      <c r="D374" s="28" t="n">
        <v>1</v>
      </c>
      <c r="E374" s="35" t="n">
        <f aca="false">'Mediciones BIM'!E21</f>
        <v>82.13</v>
      </c>
      <c r="H374" s="29" t="n">
        <f aca="false">IF(COUNT(D374:G374)=0,0,D374*IF(E374="",1,E374)*IF(F374="",1,F374)*IF(G374="",1,G374))</f>
        <v>82.13</v>
      </c>
      <c r="M374" s="23"/>
      <c r="N374" s="23"/>
      <c r="O374" s="23"/>
    </row>
    <row r="375" customFormat="false" ht="18.75" hidden="false" customHeight="true" outlineLevel="0" collapsed="false">
      <c r="H375" s="30"/>
      <c r="I375" s="31" t="n">
        <f aca="false">ROUND(SUM(H374:H374),2)</f>
        <v>82.13</v>
      </c>
      <c r="J375" s="32" t="n">
        <v>17.5</v>
      </c>
      <c r="K375" s="31" t="n">
        <f aca="false">ROUND(I375*J375,2)</f>
        <v>1437.28</v>
      </c>
      <c r="L375" s="33" t="s">
        <v>238</v>
      </c>
      <c r="M375" s="23" t="s">
        <v>123</v>
      </c>
      <c r="N375" s="23" t="s">
        <v>36</v>
      </c>
      <c r="O375" s="23"/>
    </row>
    <row r="376" customFormat="false" ht="15" hidden="false" customHeight="true" outlineLevel="0" collapsed="false">
      <c r="A376" s="3" t="s">
        <v>415</v>
      </c>
      <c r="B376" s="3" t="s">
        <v>117</v>
      </c>
      <c r="C376" s="3" t="s">
        <v>416</v>
      </c>
      <c r="M376" s="23"/>
      <c r="N376" s="23"/>
      <c r="O376" s="23"/>
    </row>
    <row r="377" customFormat="false" ht="12" hidden="false" customHeight="true" outlineLevel="0" collapsed="false">
      <c r="C377" s="26" t="s">
        <v>417</v>
      </c>
      <c r="M377" s="23"/>
      <c r="N377" s="23"/>
      <c r="O377" s="23"/>
    </row>
    <row r="378" customFormat="false" ht="15" hidden="false" customHeight="true" outlineLevel="0" collapsed="false">
      <c r="C378" s="27" t="s">
        <v>418</v>
      </c>
      <c r="D378" s="28" t="n">
        <v>1</v>
      </c>
      <c r="E378" s="28" t="n">
        <f aca="false">'Mediciones BIM'!E22</f>
        <v>88.44</v>
      </c>
      <c r="H378" s="29" t="n">
        <f aca="false">IF(COUNT(D378:G378)=0,0,D378*IF(E378="",1,E378)*IF(F378="",1,F378)*IF(G378="",1,G378))</f>
        <v>88.44</v>
      </c>
      <c r="M378" s="23"/>
      <c r="N378" s="23"/>
      <c r="O378" s="23"/>
    </row>
    <row r="379" customFormat="false" ht="18.75" hidden="false" customHeight="true" outlineLevel="0" collapsed="false">
      <c r="H379" s="30"/>
      <c r="I379" s="31" t="n">
        <f aca="false">ROUND(SUM(H378:H378),2)</f>
        <v>88.44</v>
      </c>
      <c r="J379" s="32" t="n">
        <v>19.5</v>
      </c>
      <c r="K379" s="31" t="n">
        <f aca="false">ROUND(I379*J379,2)</f>
        <v>1724.58</v>
      </c>
      <c r="L379" s="33" t="s">
        <v>238</v>
      </c>
      <c r="M379" s="23" t="s">
        <v>123</v>
      </c>
      <c r="N379" s="23" t="s">
        <v>36</v>
      </c>
      <c r="O379" s="23"/>
    </row>
    <row r="380" customFormat="false" ht="15" hidden="false" customHeight="true" outlineLevel="0" collapsed="false">
      <c r="A380" s="3" t="s">
        <v>419</v>
      </c>
      <c r="B380" s="3" t="s">
        <v>117</v>
      </c>
      <c r="C380" s="3" t="s">
        <v>420</v>
      </c>
      <c r="M380" s="23"/>
      <c r="N380" s="23"/>
      <c r="O380" s="23"/>
    </row>
    <row r="381" customFormat="false" ht="48" hidden="false" customHeight="true" outlineLevel="0" collapsed="false">
      <c r="C381" s="26" t="s">
        <v>421</v>
      </c>
      <c r="M381" s="23"/>
      <c r="N381" s="23"/>
      <c r="O381" s="23"/>
    </row>
    <row r="382" customFormat="false" ht="15" hidden="false" customHeight="true" outlineLevel="0" collapsed="false">
      <c r="C382" s="27" t="s">
        <v>418</v>
      </c>
      <c r="D382" s="28" t="n">
        <v>1</v>
      </c>
      <c r="E382" s="28" t="n">
        <f aca="false">'Mediciones BIM'!E22</f>
        <v>88.44</v>
      </c>
      <c r="H382" s="29" t="n">
        <f aca="false">IF(COUNT(D382:G382)=0,0,D382*IF(E382="",1,E382)*IF(F382="",1,F382)*IF(G382="",1,G382))</f>
        <v>88.44</v>
      </c>
      <c r="M382" s="23"/>
      <c r="N382" s="23"/>
      <c r="O382" s="23"/>
    </row>
    <row r="383" customFormat="false" ht="15" hidden="false" customHeight="true" outlineLevel="0" collapsed="false">
      <c r="H383" s="30"/>
      <c r="I383" s="31" t="n">
        <f aca="false">ROUND(SUM(H382:H382),2)</f>
        <v>88.44</v>
      </c>
      <c r="J383" s="32" t="n">
        <v>3.9</v>
      </c>
      <c r="K383" s="31" t="n">
        <f aca="false">ROUND(I383*J383,2)</f>
        <v>344.92</v>
      </c>
      <c r="L383" s="33" t="s">
        <v>212</v>
      </c>
      <c r="M383" s="23" t="s">
        <v>123</v>
      </c>
      <c r="N383" s="23" t="s">
        <v>36</v>
      </c>
      <c r="O383" s="23"/>
    </row>
    <row r="384" customFormat="false" ht="15" hidden="false" customHeight="true" outlineLevel="0" collapsed="false">
      <c r="A384" s="3" t="s">
        <v>422</v>
      </c>
      <c r="B384" s="3" t="s">
        <v>117</v>
      </c>
      <c r="C384" s="3" t="s">
        <v>423</v>
      </c>
      <c r="M384" s="23"/>
      <c r="N384" s="23"/>
      <c r="O384" s="23"/>
    </row>
    <row r="385" customFormat="false" ht="24" hidden="false" customHeight="true" outlineLevel="0" collapsed="false">
      <c r="C385" s="26" t="s">
        <v>424</v>
      </c>
      <c r="M385" s="23"/>
      <c r="N385" s="23"/>
      <c r="O385" s="23"/>
    </row>
    <row r="386" customFormat="false" ht="15" hidden="false" customHeight="true" outlineLevel="0" collapsed="false">
      <c r="C386" s="27" t="s">
        <v>418</v>
      </c>
      <c r="D386" s="28" t="n">
        <v>1</v>
      </c>
      <c r="E386" s="28" t="n">
        <f aca="false">'Mediciones BIM'!E22</f>
        <v>88.44</v>
      </c>
      <c r="H386" s="29" t="n">
        <f aca="false">IF(COUNT(D386:G386)=0,0,D386*IF(E386="",1,E386)*IF(F386="",1,F386)*IF(G386="",1,G386))</f>
        <v>88.44</v>
      </c>
      <c r="M386" s="23"/>
      <c r="N386" s="23"/>
      <c r="O386" s="23"/>
    </row>
    <row r="387" customFormat="false" ht="18.75" hidden="false" customHeight="true" outlineLevel="0" collapsed="false">
      <c r="H387" s="30"/>
      <c r="I387" s="31" t="n">
        <f aca="false">ROUND(SUM(H386:H386),2)</f>
        <v>88.44</v>
      </c>
      <c r="J387" s="32" t="n">
        <v>9.5</v>
      </c>
      <c r="K387" s="31" t="n">
        <f aca="false">ROUND(I387*J387,2)</f>
        <v>840.18</v>
      </c>
      <c r="L387" s="33" t="s">
        <v>238</v>
      </c>
      <c r="M387" s="23" t="s">
        <v>123</v>
      </c>
      <c r="N387" s="23" t="s">
        <v>36</v>
      </c>
      <c r="O387" s="23"/>
    </row>
    <row r="388" customFormat="false" ht="15" hidden="false" customHeight="true" outlineLevel="0" collapsed="false">
      <c r="A388" s="3" t="s">
        <v>425</v>
      </c>
      <c r="B388" s="3" t="s">
        <v>426</v>
      </c>
      <c r="C388" s="3" t="s">
        <v>427</v>
      </c>
      <c r="M388" s="23"/>
      <c r="N388" s="23"/>
      <c r="O388" s="23"/>
    </row>
    <row r="389" customFormat="false" ht="24" hidden="false" customHeight="true" outlineLevel="0" collapsed="false">
      <c r="C389" s="26" t="s">
        <v>428</v>
      </c>
      <c r="M389" s="23"/>
      <c r="N389" s="23"/>
      <c r="O389" s="23"/>
    </row>
    <row r="390" customFormat="false" ht="15" hidden="false" customHeight="true" outlineLevel="0" collapsed="false">
      <c r="C390" s="27" t="s">
        <v>311</v>
      </c>
      <c r="D390" s="28" t="n">
        <v>1</v>
      </c>
      <c r="E390" s="35" t="n">
        <f aca="false">'Mediciones BIM'!E22</f>
        <v>88.44</v>
      </c>
      <c r="H390" s="29" t="n">
        <f aca="false">IF(COUNT(D390:G390)=0,0,D390*IF(E390="",1,E390)*IF(F390="",1,F390)*IF(G390="",1,G390))</f>
        <v>88.44</v>
      </c>
      <c r="M390" s="23"/>
      <c r="N390" s="23"/>
      <c r="O390" s="23"/>
    </row>
    <row r="391" customFormat="false" ht="15" hidden="false" customHeight="true" outlineLevel="0" collapsed="false">
      <c r="H391" s="30"/>
      <c r="I391" s="31" t="n">
        <f aca="false">ROUND(SUM(H390:H390),2)</f>
        <v>88.44</v>
      </c>
      <c r="J391" s="32" t="n">
        <v>36.12</v>
      </c>
      <c r="K391" s="31" t="n">
        <f aca="false">ROUND(I391*J391,2)</f>
        <v>3194.45</v>
      </c>
      <c r="L391" s="33" t="s">
        <v>212</v>
      </c>
      <c r="M391" s="23" t="s">
        <v>123</v>
      </c>
      <c r="N391" s="23" t="s">
        <v>36</v>
      </c>
      <c r="O391" s="23"/>
    </row>
    <row r="392" customFormat="false" ht="15" hidden="false" customHeight="true" outlineLevel="0" collapsed="false">
      <c r="A392" s="3" t="s">
        <v>429</v>
      </c>
      <c r="B392" s="3" t="s">
        <v>140</v>
      </c>
      <c r="C392" s="3" t="s">
        <v>430</v>
      </c>
      <c r="M392" s="23"/>
      <c r="N392" s="23"/>
      <c r="O392" s="23"/>
    </row>
    <row r="393" customFormat="false" ht="72" hidden="false" customHeight="true" outlineLevel="0" collapsed="false">
      <c r="C393" s="26" t="s">
        <v>431</v>
      </c>
      <c r="M393" s="23"/>
      <c r="N393" s="23"/>
      <c r="O393" s="23"/>
    </row>
    <row r="394" customFormat="false" ht="15" hidden="false" customHeight="true" outlineLevel="0" collapsed="false">
      <c r="C394" s="27" t="s">
        <v>432</v>
      </c>
      <c r="D394" s="28" t="n">
        <v>1</v>
      </c>
      <c r="E394" s="28" t="n">
        <v>29.67</v>
      </c>
      <c r="H394" s="29" t="n">
        <f aca="false">IF(COUNT(D394:G394)=0,0,D394*IF(E394="",1,E394)*IF(F394="",1,F394)*IF(G394="",1,G394))</f>
        <v>29.67</v>
      </c>
      <c r="M394" s="23"/>
      <c r="N394" s="23"/>
      <c r="O394" s="23"/>
    </row>
    <row r="395" customFormat="false" ht="15" hidden="false" customHeight="true" outlineLevel="0" collapsed="false">
      <c r="H395" s="30"/>
      <c r="I395" s="31" t="n">
        <f aca="false">ROUND(SUM(H394:H394),2)</f>
        <v>29.67</v>
      </c>
      <c r="J395" s="32" t="n">
        <v>48.79</v>
      </c>
      <c r="K395" s="31" t="n">
        <f aca="false">ROUND(I395*J395,2)</f>
        <v>1447.6</v>
      </c>
      <c r="L395" s="33" t="s">
        <v>212</v>
      </c>
      <c r="M395" s="23" t="s">
        <v>123</v>
      </c>
      <c r="N395" s="23" t="s">
        <v>36</v>
      </c>
      <c r="O395" s="23"/>
    </row>
    <row r="396" customFormat="false" ht="15" hidden="false" customHeight="true" outlineLevel="0" collapsed="false">
      <c r="A396" s="3" t="s">
        <v>433</v>
      </c>
      <c r="B396" s="3" t="s">
        <v>140</v>
      </c>
      <c r="C396" s="3" t="s">
        <v>434</v>
      </c>
      <c r="M396" s="23"/>
      <c r="N396" s="23"/>
      <c r="O396" s="23"/>
    </row>
    <row r="397" customFormat="false" ht="24" hidden="false" customHeight="true" outlineLevel="0" collapsed="false">
      <c r="C397" s="26" t="s">
        <v>435</v>
      </c>
      <c r="M397" s="23"/>
      <c r="N397" s="23"/>
      <c r="O397" s="23"/>
    </row>
    <row r="398" customFormat="false" ht="15" hidden="false" customHeight="true" outlineLevel="0" collapsed="false">
      <c r="C398" s="27" t="s">
        <v>436</v>
      </c>
      <c r="D398" s="28" t="n">
        <v>1</v>
      </c>
      <c r="E398" s="28" t="n">
        <v>9.5</v>
      </c>
      <c r="H398" s="29" t="n">
        <f aca="false">IF(COUNT(D398:G398)=0,0,D398*IF(E398="",1,E398)*IF(F398="",1,F398)*IF(G398="",1,G398))</f>
        <v>9.5</v>
      </c>
      <c r="M398" s="23"/>
      <c r="N398" s="23"/>
      <c r="O398" s="23"/>
    </row>
    <row r="399" customFormat="false" ht="15" hidden="false" customHeight="true" outlineLevel="0" collapsed="false">
      <c r="C399" s="27" t="s">
        <v>437</v>
      </c>
      <c r="D399" s="28" t="n">
        <v>1</v>
      </c>
      <c r="E399" s="28" t="n">
        <v>9.5</v>
      </c>
      <c r="H399" s="29" t="n">
        <f aca="false">IF(COUNT(D399:G399)=0,0,D399*IF(E399="",1,E399)*IF(F399="",1,F399)*IF(G399="",1,G399))</f>
        <v>9.5</v>
      </c>
      <c r="M399" s="23"/>
      <c r="N399" s="23"/>
      <c r="O399" s="23"/>
    </row>
    <row r="400" customFormat="false" ht="15" hidden="false" customHeight="true" outlineLevel="0" collapsed="false">
      <c r="C400" s="27" t="s">
        <v>438</v>
      </c>
      <c r="D400" s="28" t="n">
        <v>1</v>
      </c>
      <c r="E400" s="28" t="n">
        <v>8</v>
      </c>
      <c r="H400" s="29" t="n">
        <f aca="false">IF(COUNT(D400:G400)=0,0,D400*IF(E400="",1,E400)*IF(F400="",1,F400)*IF(G400="",1,G400))</f>
        <v>8</v>
      </c>
      <c r="M400" s="23"/>
      <c r="N400" s="23"/>
      <c r="O400" s="23"/>
    </row>
    <row r="401" customFormat="false" ht="18.75" hidden="false" customHeight="true" outlineLevel="0" collapsed="false">
      <c r="H401" s="30"/>
      <c r="I401" s="31" t="n">
        <f aca="false">ROUND(SUM(H398:H400),2)</f>
        <v>27</v>
      </c>
      <c r="J401" s="32" t="n">
        <v>44</v>
      </c>
      <c r="K401" s="31" t="n">
        <f aca="false">ROUND(I401*J401,2)</f>
        <v>1188</v>
      </c>
      <c r="L401" s="33" t="s">
        <v>238</v>
      </c>
      <c r="M401" s="23" t="s">
        <v>123</v>
      </c>
      <c r="N401" s="23" t="s">
        <v>36</v>
      </c>
      <c r="O401" s="23"/>
    </row>
    <row r="402" customFormat="false" ht="15" hidden="false" customHeight="true" outlineLevel="0" collapsed="false">
      <c r="A402" s="3" t="s">
        <v>439</v>
      </c>
      <c r="B402" s="3" t="s">
        <v>140</v>
      </c>
      <c r="C402" s="3" t="s">
        <v>440</v>
      </c>
      <c r="M402" s="23"/>
      <c r="N402" s="23"/>
      <c r="O402" s="23"/>
    </row>
    <row r="403" customFormat="false" ht="24" hidden="false" customHeight="true" outlineLevel="0" collapsed="false">
      <c r="C403" s="26" t="s">
        <v>441</v>
      </c>
      <c r="M403" s="23"/>
      <c r="N403" s="23"/>
      <c r="O403" s="23"/>
    </row>
    <row r="404" customFormat="false" ht="15" hidden="false" customHeight="true" outlineLevel="0" collapsed="false">
      <c r="C404" s="27" t="s">
        <v>442</v>
      </c>
      <c r="D404" s="28" t="n">
        <v>1</v>
      </c>
      <c r="E404" s="28" t="n">
        <v>45.59</v>
      </c>
      <c r="H404" s="29" t="n">
        <f aca="false">IF(COUNT(D404:G404)=0,0,D404*IF(E404="",1,E404)*IF(F404="",1,F404)*IF(G404="",1,G404))</f>
        <v>45.59</v>
      </c>
      <c r="M404" s="23"/>
      <c r="N404" s="23"/>
      <c r="O404" s="23"/>
    </row>
    <row r="405" customFormat="false" ht="18.75" hidden="false" customHeight="true" outlineLevel="0" collapsed="false">
      <c r="H405" s="30"/>
      <c r="I405" s="31" t="n">
        <f aca="false">ROUND(SUM(H404:H404),2)</f>
        <v>45.59</v>
      </c>
      <c r="J405" s="32" t="n">
        <v>40</v>
      </c>
      <c r="K405" s="31" t="n">
        <f aca="false">ROUND(I405*J405,2)</f>
        <v>1823.6</v>
      </c>
      <c r="L405" s="33" t="s">
        <v>238</v>
      </c>
      <c r="M405" s="23" t="s">
        <v>123</v>
      </c>
      <c r="N405" s="23" t="s">
        <v>36</v>
      </c>
      <c r="O405" s="23"/>
    </row>
    <row r="406" customFormat="false" ht="15" hidden="false" customHeight="true" outlineLevel="0" collapsed="false">
      <c r="A406" s="3" t="s">
        <v>443</v>
      </c>
      <c r="B406" s="3" t="s">
        <v>117</v>
      </c>
      <c r="C406" s="3" t="s">
        <v>444</v>
      </c>
      <c r="M406" s="23"/>
      <c r="N406" s="23"/>
      <c r="O406" s="23"/>
    </row>
    <row r="407" customFormat="false" ht="36" hidden="false" customHeight="true" outlineLevel="0" collapsed="false">
      <c r="C407" s="26" t="s">
        <v>445</v>
      </c>
      <c r="M407" s="23"/>
      <c r="N407" s="23"/>
      <c r="O407" s="23"/>
    </row>
    <row r="408" customFormat="false" ht="15" hidden="false" customHeight="true" outlineLevel="0" collapsed="false">
      <c r="C408" s="27" t="s">
        <v>311</v>
      </c>
      <c r="D408" s="28" t="n">
        <v>1</v>
      </c>
      <c r="E408" s="35" t="n">
        <f aca="false">'Mediciones BIM'!E23</f>
        <v>29.44</v>
      </c>
      <c r="H408" s="29" t="n">
        <f aca="false">IF(COUNT(D408:G408)=0,0,D408*IF(E408="",1,E408)*IF(F408="",1,F408)*IF(G408="",1,G408))</f>
        <v>29.44</v>
      </c>
      <c r="M408" s="23"/>
      <c r="N408" s="23"/>
      <c r="O408" s="23"/>
    </row>
    <row r="409" customFormat="false" ht="18.75" hidden="false" customHeight="true" outlineLevel="0" collapsed="false">
      <c r="H409" s="30"/>
      <c r="I409" s="31" t="n">
        <f aca="false">ROUND(SUM(H408:H408),2)</f>
        <v>29.44</v>
      </c>
      <c r="J409" s="32" t="n">
        <v>17.5</v>
      </c>
      <c r="K409" s="31" t="n">
        <f aca="false">ROUND(I409*J409,2)</f>
        <v>515.2</v>
      </c>
      <c r="L409" s="33" t="s">
        <v>446</v>
      </c>
      <c r="M409" s="23" t="s">
        <v>123</v>
      </c>
      <c r="N409" s="23" t="s">
        <v>36</v>
      </c>
      <c r="O409" s="23"/>
    </row>
    <row r="410" customFormat="false" ht="15" hidden="false" customHeight="true" outlineLevel="0" collapsed="false">
      <c r="A410" s="3" t="s">
        <v>447</v>
      </c>
      <c r="B410" s="3" t="s">
        <v>129</v>
      </c>
      <c r="C410" s="3" t="s">
        <v>448</v>
      </c>
      <c r="M410" s="23"/>
      <c r="N410" s="23"/>
      <c r="O410" s="23"/>
    </row>
    <row r="411" customFormat="false" ht="24" hidden="false" customHeight="true" outlineLevel="0" collapsed="false">
      <c r="C411" s="26" t="s">
        <v>449</v>
      </c>
      <c r="M411" s="23"/>
      <c r="N411" s="23"/>
      <c r="O411" s="23"/>
    </row>
    <row r="412" customFormat="false" ht="15" hidden="false" customHeight="true" outlineLevel="0" collapsed="false">
      <c r="C412" s="27" t="s">
        <v>450</v>
      </c>
      <c r="D412" s="28" t="n">
        <v>4</v>
      </c>
      <c r="H412" s="29" t="n">
        <f aca="false">IF(COUNT(D412:G412)=0,0,D412*IF(E412="",1,E412)*IF(F412="",1,F412)*IF(G412="",1,G412))</f>
        <v>4</v>
      </c>
      <c r="M412" s="23"/>
      <c r="N412" s="23"/>
      <c r="O412" s="23"/>
    </row>
    <row r="413" customFormat="false" ht="18.75" hidden="false" customHeight="true" outlineLevel="0" collapsed="false">
      <c r="H413" s="30"/>
      <c r="I413" s="31" t="n">
        <f aca="false">ROUND(SUM(H412:H412),2)</f>
        <v>4</v>
      </c>
      <c r="J413" s="32" t="n">
        <v>135</v>
      </c>
      <c r="K413" s="31" t="n">
        <f aca="false">ROUND(I413*J413,2)</f>
        <v>540</v>
      </c>
      <c r="L413" s="33" t="s">
        <v>238</v>
      </c>
      <c r="M413" s="23" t="s">
        <v>123</v>
      </c>
      <c r="N413" s="23" t="s">
        <v>36</v>
      </c>
      <c r="O413" s="23"/>
    </row>
    <row r="414" customFormat="false" ht="15" hidden="false" customHeight="true" outlineLevel="0" collapsed="false">
      <c r="A414" s="3" t="s">
        <v>451</v>
      </c>
      <c r="B414" s="3" t="s">
        <v>129</v>
      </c>
      <c r="C414" s="3" t="s">
        <v>452</v>
      </c>
      <c r="M414" s="23"/>
      <c r="N414" s="23"/>
      <c r="O414" s="23"/>
    </row>
    <row r="415" customFormat="false" ht="24" hidden="false" customHeight="true" outlineLevel="0" collapsed="false">
      <c r="C415" s="26" t="s">
        <v>453</v>
      </c>
      <c r="M415" s="23"/>
      <c r="N415" s="23"/>
      <c r="O415" s="23"/>
    </row>
    <row r="416" customFormat="false" ht="15" hidden="false" customHeight="true" outlineLevel="0" collapsed="false">
      <c r="C416" s="27" t="s">
        <v>454</v>
      </c>
      <c r="D416" s="28" t="n">
        <v>0</v>
      </c>
      <c r="H416" s="29" t="n">
        <f aca="false">IF(COUNT(D416:G416)=0,0,D416*IF(E416="",1,E416)*IF(F416="",1,F416)*IF(G416="",1,G416))</f>
        <v>0</v>
      </c>
      <c r="M416" s="23"/>
      <c r="N416" s="23"/>
      <c r="O416" s="23"/>
    </row>
    <row r="417" customFormat="false" ht="18.75" hidden="false" customHeight="true" outlineLevel="0" collapsed="false">
      <c r="H417" s="30"/>
      <c r="I417" s="31" t="n">
        <f aca="false">ROUND(SUM(H416:H416),2)</f>
        <v>0</v>
      </c>
      <c r="J417" s="32" t="n">
        <v>185</v>
      </c>
      <c r="K417" s="31" t="n">
        <f aca="false">ROUND(I417*J417,2)</f>
        <v>0</v>
      </c>
      <c r="L417" s="33" t="s">
        <v>238</v>
      </c>
      <c r="M417" s="23" t="s">
        <v>123</v>
      </c>
      <c r="N417" s="23" t="s">
        <v>36</v>
      </c>
      <c r="O417" s="23"/>
    </row>
    <row r="418" customFormat="false" ht="15" hidden="false" customHeight="true" outlineLevel="0" collapsed="false">
      <c r="A418" s="3" t="s">
        <v>455</v>
      </c>
      <c r="B418" s="3" t="s">
        <v>117</v>
      </c>
      <c r="C418" s="3" t="s">
        <v>456</v>
      </c>
      <c r="M418" s="23"/>
      <c r="N418" s="23"/>
      <c r="O418" s="23"/>
    </row>
    <row r="419" customFormat="false" ht="24" hidden="false" customHeight="true" outlineLevel="0" collapsed="false">
      <c r="C419" s="26" t="s">
        <v>457</v>
      </c>
      <c r="M419" s="23"/>
      <c r="N419" s="23"/>
      <c r="O419" s="23"/>
    </row>
    <row r="420" customFormat="false" ht="15" hidden="false" customHeight="true" outlineLevel="0" collapsed="false">
      <c r="C420" s="27" t="s">
        <v>311</v>
      </c>
      <c r="D420" s="28" t="n">
        <v>1</v>
      </c>
      <c r="E420" s="36" t="n">
        <f aca="false">'Mediciones BIM'!E24</f>
        <v>70.14</v>
      </c>
      <c r="H420" s="29" t="n">
        <f aca="false">IF(COUNT(D420:G420)=0,0,D420*IF(E420="",1,E420)*IF(F420="",1,F420)*IF(G420="",1,G420))</f>
        <v>70.14</v>
      </c>
      <c r="M420" s="23"/>
      <c r="N420" s="23"/>
      <c r="O420" s="23"/>
    </row>
    <row r="421" customFormat="false" ht="18.75" hidden="false" customHeight="true" outlineLevel="0" collapsed="false">
      <c r="H421" s="30"/>
      <c r="I421" s="31" t="n">
        <f aca="false">ROUND(SUM(H420:H420),2)</f>
        <v>70.14</v>
      </c>
      <c r="J421" s="32" t="n">
        <v>13</v>
      </c>
      <c r="K421" s="31" t="n">
        <f aca="false">ROUND(I421*J421,2)</f>
        <v>911.82</v>
      </c>
      <c r="L421" s="33" t="s">
        <v>238</v>
      </c>
      <c r="M421" s="23" t="s">
        <v>123</v>
      </c>
      <c r="N421" s="23" t="s">
        <v>36</v>
      </c>
      <c r="O421" s="23"/>
    </row>
    <row r="422" customFormat="false" ht="15" hidden="false" customHeight="true" outlineLevel="0" collapsed="false">
      <c r="A422" s="3" t="s">
        <v>458</v>
      </c>
      <c r="B422" s="3" t="s">
        <v>117</v>
      </c>
      <c r="C422" s="3" t="s">
        <v>459</v>
      </c>
      <c r="M422" s="23"/>
      <c r="N422" s="23"/>
      <c r="O422" s="23"/>
    </row>
    <row r="423" customFormat="false" ht="24" hidden="false" customHeight="true" outlineLevel="0" collapsed="false">
      <c r="C423" s="26" t="s">
        <v>460</v>
      </c>
      <c r="M423" s="23"/>
      <c r="N423" s="23"/>
      <c r="O423" s="23"/>
    </row>
    <row r="424" customFormat="false" ht="15" hidden="false" customHeight="true" outlineLevel="0" collapsed="false">
      <c r="C424" s="27" t="s">
        <v>311</v>
      </c>
      <c r="D424" s="28" t="n">
        <v>1</v>
      </c>
      <c r="E424" s="36" t="n">
        <f aca="false">'Mediciones BIM'!E25</f>
        <v>59.06</v>
      </c>
      <c r="H424" s="29" t="n">
        <f aca="false">IF(COUNT(D424:G424)=0,0,D424*IF(E424="",1,E424)*IF(F424="",1,F424)*IF(G424="",1,G424))</f>
        <v>59.06</v>
      </c>
      <c r="M424" s="23"/>
      <c r="N424" s="23"/>
      <c r="O424" s="23"/>
    </row>
    <row r="425" customFormat="false" ht="18.75" hidden="false" customHeight="true" outlineLevel="0" collapsed="false">
      <c r="H425" s="30"/>
      <c r="I425" s="31" t="n">
        <f aca="false">ROUND(SUM(H424:H424),2)</f>
        <v>59.06</v>
      </c>
      <c r="J425" s="32" t="n">
        <v>3.8</v>
      </c>
      <c r="K425" s="31" t="n">
        <f aca="false">ROUND(I425*J425,2)</f>
        <v>224.43</v>
      </c>
      <c r="L425" s="33" t="s">
        <v>238</v>
      </c>
      <c r="M425" s="23" t="s">
        <v>123</v>
      </c>
      <c r="N425" s="23" t="s">
        <v>36</v>
      </c>
      <c r="O425" s="23"/>
    </row>
    <row r="426" customFormat="false" ht="15" hidden="false" customHeight="true" outlineLevel="0" collapsed="false">
      <c r="C426" s="34" t="s">
        <v>461</v>
      </c>
      <c r="K426" s="14" t="n">
        <f aca="false">SUMIFS($K$5:$K$425,$M$5:$M$425,"P",$N$5:$N$425,"07")</f>
        <v>14192.06</v>
      </c>
      <c r="M426" s="23"/>
      <c r="N426" s="23"/>
      <c r="O426" s="23"/>
    </row>
    <row r="427" customFormat="false" ht="15" hidden="false" customHeight="true" outlineLevel="0" collapsed="false">
      <c r="M427" s="23"/>
      <c r="N427" s="23"/>
      <c r="O427" s="23"/>
    </row>
    <row r="428" customFormat="false" ht="15" hidden="false" customHeight="true" outlineLevel="0" collapsed="false">
      <c r="A428" s="24" t="s">
        <v>38</v>
      </c>
      <c r="B428" s="25"/>
      <c r="C428" s="24" t="s">
        <v>39</v>
      </c>
      <c r="D428" s="25"/>
      <c r="E428" s="25"/>
      <c r="F428" s="25"/>
      <c r="G428" s="25"/>
      <c r="H428" s="25"/>
      <c r="I428" s="25"/>
      <c r="J428" s="25"/>
      <c r="K428" s="25"/>
      <c r="L428" s="25"/>
      <c r="M428" s="23" t="s">
        <v>115</v>
      </c>
      <c r="N428" s="23" t="s">
        <v>38</v>
      </c>
      <c r="O428" s="23"/>
    </row>
    <row r="429" customFormat="false" ht="15" hidden="false" customHeight="true" outlineLevel="0" collapsed="false">
      <c r="A429" s="3" t="s">
        <v>462</v>
      </c>
      <c r="B429" s="3" t="s">
        <v>117</v>
      </c>
      <c r="C429" s="3" t="s">
        <v>463</v>
      </c>
      <c r="M429" s="23"/>
      <c r="N429" s="23"/>
      <c r="O429" s="23"/>
    </row>
    <row r="430" customFormat="false" ht="24" hidden="false" customHeight="true" outlineLevel="0" collapsed="false">
      <c r="C430" s="26" t="s">
        <v>464</v>
      </c>
      <c r="M430" s="23"/>
      <c r="N430" s="23"/>
      <c r="O430" s="23"/>
    </row>
    <row r="431" customFormat="false" ht="15" hidden="false" customHeight="true" outlineLevel="0" collapsed="false">
      <c r="C431" s="27" t="s">
        <v>311</v>
      </c>
      <c r="D431" s="28" t="n">
        <v>1</v>
      </c>
      <c r="E431" s="35" t="n">
        <f aca="false">'Mediciones BIM'!E26</f>
        <v>59.65</v>
      </c>
      <c r="H431" s="29" t="n">
        <f aca="false">IF(COUNT(D431:G431)=0,0,D431*IF(E431="",1,E431)*IF(F431="",1,F431)*IF(G431="",1,G431))</f>
        <v>59.65</v>
      </c>
      <c r="M431" s="23"/>
      <c r="N431" s="23"/>
      <c r="O431" s="23"/>
    </row>
    <row r="432" customFormat="false" ht="18.75" hidden="false" customHeight="true" outlineLevel="0" collapsed="false">
      <c r="H432" s="30"/>
      <c r="I432" s="31" t="n">
        <f aca="false">ROUND(SUM(H431:H431),2)</f>
        <v>59.65</v>
      </c>
      <c r="J432" s="32" t="n">
        <v>16.5</v>
      </c>
      <c r="K432" s="31" t="n">
        <f aca="false">ROUND(I432*J432,2)</f>
        <v>984.23</v>
      </c>
      <c r="L432" s="33" t="s">
        <v>238</v>
      </c>
      <c r="M432" s="23" t="s">
        <v>123</v>
      </c>
      <c r="N432" s="23" t="s">
        <v>38</v>
      </c>
      <c r="O432" s="23"/>
    </row>
    <row r="433" customFormat="false" ht="15" hidden="false" customHeight="true" outlineLevel="0" collapsed="false">
      <c r="A433" s="3" t="s">
        <v>465</v>
      </c>
      <c r="B433" s="3" t="s">
        <v>117</v>
      </c>
      <c r="C433" s="3" t="s">
        <v>466</v>
      </c>
      <c r="M433" s="23"/>
      <c r="N433" s="23"/>
      <c r="O433" s="23"/>
    </row>
    <row r="434" customFormat="false" ht="72" hidden="false" customHeight="true" outlineLevel="0" collapsed="false">
      <c r="C434" s="26" t="s">
        <v>467</v>
      </c>
      <c r="M434" s="23"/>
      <c r="N434" s="23"/>
      <c r="O434" s="23"/>
    </row>
    <row r="435" customFormat="false" ht="15" hidden="false" customHeight="true" outlineLevel="0" collapsed="false">
      <c r="C435" s="27" t="s">
        <v>311</v>
      </c>
      <c r="D435" s="28" t="n">
        <v>1</v>
      </c>
      <c r="E435" s="35" t="n">
        <f aca="false">'Mediciones BIM'!E27</f>
        <v>190.46</v>
      </c>
      <c r="H435" s="29" t="n">
        <f aca="false">IF(COUNT(D435:G435)=0,0,D435*IF(E435="",1,E435)*IF(F435="",1,F435)*IF(G435="",1,G435))</f>
        <v>190.46</v>
      </c>
      <c r="M435" s="23"/>
      <c r="N435" s="23"/>
      <c r="O435" s="23"/>
    </row>
    <row r="436" customFormat="false" ht="15" hidden="false" customHeight="true" outlineLevel="0" collapsed="false">
      <c r="C436" s="27"/>
      <c r="D436" s="28"/>
      <c r="E436" s="28"/>
      <c r="H436" s="29" t="n">
        <f aca="false">IF(COUNT(D436:G436)=0,0,D436*IF(E436="",1,E436)*IF(F436="",1,F436)*IF(G436="",1,G436))</f>
        <v>0</v>
      </c>
      <c r="M436" s="23"/>
      <c r="N436" s="23"/>
      <c r="O436" s="23"/>
    </row>
    <row r="437" customFormat="false" ht="15" hidden="false" customHeight="true" outlineLevel="0" collapsed="false">
      <c r="H437" s="30"/>
      <c r="I437" s="31" t="n">
        <f aca="false">ROUND(SUM(H435:H436),2)</f>
        <v>190.46</v>
      </c>
      <c r="J437" s="32" t="n">
        <v>7.47</v>
      </c>
      <c r="K437" s="31" t="n">
        <f aca="false">ROUND(I437*J437,2)</f>
        <v>1422.74</v>
      </c>
      <c r="L437" s="33" t="s">
        <v>212</v>
      </c>
      <c r="M437" s="23" t="s">
        <v>123</v>
      </c>
      <c r="N437" s="23" t="s">
        <v>38</v>
      </c>
      <c r="O437" s="23"/>
    </row>
    <row r="438" customFormat="false" ht="15" hidden="false" customHeight="true" outlineLevel="0" collapsed="false">
      <c r="A438" s="3" t="s">
        <v>468</v>
      </c>
      <c r="B438" s="3" t="s">
        <v>117</v>
      </c>
      <c r="C438" s="3" t="s">
        <v>469</v>
      </c>
      <c r="M438" s="23"/>
      <c r="N438" s="23"/>
      <c r="O438" s="23"/>
    </row>
    <row r="439" customFormat="false" ht="24" hidden="false" customHeight="true" outlineLevel="0" collapsed="false">
      <c r="C439" s="26" t="s">
        <v>470</v>
      </c>
      <c r="M439" s="23"/>
      <c r="N439" s="23"/>
      <c r="O439" s="23"/>
    </row>
    <row r="440" customFormat="false" ht="15" hidden="false" customHeight="true" outlineLevel="0" collapsed="false">
      <c r="C440" s="27" t="s">
        <v>311</v>
      </c>
      <c r="D440" s="28" t="n">
        <v>1</v>
      </c>
      <c r="E440" s="35" t="n">
        <f aca="false">'Mediciones BIM'!E28</f>
        <v>219.91</v>
      </c>
      <c r="H440" s="29" t="n">
        <f aca="false">IF(COUNT(D440:G440)=0,0,D440*IF(E440="",1,E440)*IF(F440="",1,F440)*IF(G440="",1,G440))</f>
        <v>219.91</v>
      </c>
      <c r="M440" s="23"/>
      <c r="N440" s="23"/>
      <c r="O440" s="23"/>
    </row>
    <row r="441" customFormat="false" ht="18.75" hidden="false" customHeight="true" outlineLevel="0" collapsed="false">
      <c r="H441" s="30"/>
      <c r="I441" s="31" t="n">
        <f aca="false">ROUND(SUM(H440:H440),2)</f>
        <v>219.91</v>
      </c>
      <c r="J441" s="32" t="n">
        <v>4.6</v>
      </c>
      <c r="K441" s="31" t="n">
        <f aca="false">ROUND(I441*J441,2)</f>
        <v>1011.59</v>
      </c>
      <c r="L441" s="33" t="s">
        <v>238</v>
      </c>
      <c r="M441" s="23" t="s">
        <v>123</v>
      </c>
      <c r="N441" s="23" t="s">
        <v>38</v>
      </c>
      <c r="O441" s="23"/>
    </row>
    <row r="442" customFormat="false" ht="15" hidden="false" customHeight="true" outlineLevel="0" collapsed="false">
      <c r="A442" s="3" t="s">
        <v>471</v>
      </c>
      <c r="B442" s="3" t="s">
        <v>140</v>
      </c>
      <c r="C442" s="3" t="s">
        <v>472</v>
      </c>
      <c r="M442" s="23"/>
      <c r="N442" s="23"/>
      <c r="O442" s="23"/>
    </row>
    <row r="443" customFormat="false" ht="24" hidden="false" customHeight="true" outlineLevel="0" collapsed="false">
      <c r="C443" s="26" t="s">
        <v>473</v>
      </c>
      <c r="M443" s="23"/>
      <c r="N443" s="23"/>
      <c r="O443" s="23"/>
    </row>
    <row r="444" customFormat="false" ht="15" hidden="false" customHeight="true" outlineLevel="0" collapsed="false">
      <c r="C444" s="27" t="s">
        <v>474</v>
      </c>
      <c r="D444" s="28" t="n">
        <v>1</v>
      </c>
      <c r="E444" s="28" t="n">
        <v>69.7</v>
      </c>
      <c r="H444" s="29" t="n">
        <f aca="false">IF(COUNT(D444:G444)=0,0,D444*IF(E444="",1,E444)*IF(F444="",1,F444)*IF(G444="",1,G444))</f>
        <v>69.7</v>
      </c>
      <c r="M444" s="23"/>
      <c r="N444" s="23"/>
      <c r="O444" s="23"/>
    </row>
    <row r="445" customFormat="false" ht="18.75" hidden="false" customHeight="true" outlineLevel="0" collapsed="false">
      <c r="H445" s="30"/>
      <c r="I445" s="31" t="n">
        <f aca="false">ROUND(SUM(H444:H444),2)</f>
        <v>69.7</v>
      </c>
      <c r="J445" s="32" t="n">
        <v>9.5</v>
      </c>
      <c r="K445" s="31" t="n">
        <f aca="false">ROUND(I445*J445,2)</f>
        <v>662.15</v>
      </c>
      <c r="L445" s="33" t="s">
        <v>238</v>
      </c>
      <c r="M445" s="23" t="s">
        <v>123</v>
      </c>
      <c r="N445" s="23" t="s">
        <v>38</v>
      </c>
      <c r="O445" s="23"/>
    </row>
    <row r="446" customFormat="false" ht="15" hidden="false" customHeight="true" outlineLevel="0" collapsed="false">
      <c r="A446" s="3" t="s">
        <v>475</v>
      </c>
      <c r="B446" s="3" t="s">
        <v>140</v>
      </c>
      <c r="C446" s="3" t="s">
        <v>476</v>
      </c>
      <c r="M446" s="23"/>
      <c r="N446" s="23"/>
      <c r="O446" s="23"/>
    </row>
    <row r="447" customFormat="false" ht="108" hidden="false" customHeight="true" outlineLevel="0" collapsed="false">
      <c r="C447" s="26" t="s">
        <v>477</v>
      </c>
      <c r="M447" s="23"/>
      <c r="N447" s="23"/>
      <c r="O447" s="23"/>
    </row>
    <row r="448" customFormat="false" ht="15" hidden="false" customHeight="true" outlineLevel="0" collapsed="false">
      <c r="C448" s="27" t="s">
        <v>478</v>
      </c>
      <c r="D448" s="28" t="n">
        <v>1</v>
      </c>
      <c r="E448" s="28" t="n">
        <v>20</v>
      </c>
      <c r="H448" s="29" t="n">
        <f aca="false">IF(COUNT(D448:G448)=0,0,D448*IF(E448="",1,E448)*IF(F448="",1,F448)*IF(G448="",1,G448))</f>
        <v>20</v>
      </c>
      <c r="M448" s="23"/>
      <c r="N448" s="23"/>
      <c r="O448" s="23"/>
    </row>
    <row r="449" customFormat="false" ht="15" hidden="false" customHeight="true" outlineLevel="0" collapsed="false">
      <c r="H449" s="30"/>
      <c r="I449" s="31" t="n">
        <f aca="false">ROUND(SUM(H448:H448),2)</f>
        <v>20</v>
      </c>
      <c r="J449" s="32" t="n">
        <v>37.69</v>
      </c>
      <c r="K449" s="31" t="n">
        <f aca="false">ROUND(I449*J449,2)</f>
        <v>753.8</v>
      </c>
      <c r="L449" s="33" t="s">
        <v>212</v>
      </c>
      <c r="M449" s="23" t="s">
        <v>123</v>
      </c>
      <c r="N449" s="23" t="s">
        <v>38</v>
      </c>
      <c r="O449" s="23"/>
    </row>
    <row r="450" customFormat="false" ht="15" hidden="false" customHeight="true" outlineLevel="0" collapsed="false">
      <c r="A450" s="3" t="s">
        <v>479</v>
      </c>
      <c r="B450" s="3" t="s">
        <v>140</v>
      </c>
      <c r="C450" s="3" t="s">
        <v>480</v>
      </c>
      <c r="M450" s="23"/>
      <c r="N450" s="23"/>
      <c r="O450" s="23"/>
    </row>
    <row r="451" customFormat="false" ht="24" hidden="false" customHeight="true" outlineLevel="0" collapsed="false">
      <c r="C451" s="26" t="s">
        <v>481</v>
      </c>
      <c r="M451" s="23"/>
      <c r="N451" s="23"/>
      <c r="O451" s="23"/>
    </row>
    <row r="452" customFormat="false" ht="15" hidden="false" customHeight="true" outlineLevel="0" collapsed="false">
      <c r="C452" s="27" t="s">
        <v>482</v>
      </c>
      <c r="D452" s="28" t="n">
        <v>1</v>
      </c>
      <c r="E452" s="28" t="n">
        <v>140.2</v>
      </c>
      <c r="H452" s="29" t="n">
        <f aca="false">IF(COUNT(D452:G452)=0,0,D452*IF(E452="",1,E452)*IF(F452="",1,F452)*IF(G452="",1,G452))</f>
        <v>140.2</v>
      </c>
      <c r="M452" s="23"/>
      <c r="N452" s="23"/>
      <c r="O452" s="23"/>
    </row>
    <row r="453" customFormat="false" ht="18.75" hidden="false" customHeight="true" outlineLevel="0" collapsed="false">
      <c r="H453" s="30"/>
      <c r="I453" s="31" t="n">
        <f aca="false">ROUND(SUM(H452:H452),2)</f>
        <v>140.2</v>
      </c>
      <c r="J453" s="32" t="n">
        <v>6.8</v>
      </c>
      <c r="K453" s="31" t="n">
        <f aca="false">ROUND(I453*J453,2)</f>
        <v>953.36</v>
      </c>
      <c r="L453" s="33" t="s">
        <v>238</v>
      </c>
      <c r="M453" s="23" t="s">
        <v>123</v>
      </c>
      <c r="N453" s="23" t="s">
        <v>38</v>
      </c>
      <c r="O453" s="23"/>
    </row>
    <row r="454" customFormat="false" ht="15" hidden="false" customHeight="true" outlineLevel="0" collapsed="false">
      <c r="A454" s="3" t="s">
        <v>483</v>
      </c>
      <c r="B454" s="3" t="s">
        <v>117</v>
      </c>
      <c r="C454" s="3" t="s">
        <v>484</v>
      </c>
      <c r="M454" s="23"/>
      <c r="N454" s="23"/>
      <c r="O454" s="23"/>
    </row>
    <row r="455" customFormat="false" ht="12" hidden="false" customHeight="true" outlineLevel="0" collapsed="false">
      <c r="C455" s="26" t="s">
        <v>485</v>
      </c>
      <c r="M455" s="23"/>
      <c r="N455" s="23"/>
      <c r="O455" s="23"/>
    </row>
    <row r="456" customFormat="false" ht="15" hidden="false" customHeight="true" outlineLevel="0" collapsed="false">
      <c r="C456" s="27" t="s">
        <v>486</v>
      </c>
      <c r="D456" s="28" t="n">
        <v>1</v>
      </c>
      <c r="E456" s="28" t="n">
        <v>6</v>
      </c>
      <c r="H456" s="29" t="n">
        <f aca="false">IF(COUNT(D456:G456)=0,0,D456*IF(E456="",1,E456)*IF(F456="",1,F456)*IF(G456="",1,G456))</f>
        <v>6</v>
      </c>
      <c r="M456" s="23"/>
      <c r="N456" s="23"/>
      <c r="O456" s="23"/>
    </row>
    <row r="457" customFormat="false" ht="18.75" hidden="false" customHeight="true" outlineLevel="0" collapsed="false">
      <c r="H457" s="30"/>
      <c r="I457" s="31" t="n">
        <f aca="false">ROUND(SUM(H456:H456),2)</f>
        <v>6</v>
      </c>
      <c r="J457" s="32" t="n">
        <v>32</v>
      </c>
      <c r="K457" s="31" t="n">
        <f aca="false">ROUND(I457*J457,2)</f>
        <v>192</v>
      </c>
      <c r="L457" s="33" t="s">
        <v>238</v>
      </c>
      <c r="M457" s="23" t="s">
        <v>123</v>
      </c>
      <c r="N457" s="23" t="s">
        <v>38</v>
      </c>
      <c r="O457" s="23"/>
    </row>
    <row r="458" customFormat="false" ht="15" hidden="false" customHeight="true" outlineLevel="0" collapsed="false">
      <c r="A458" s="3" t="s">
        <v>487</v>
      </c>
      <c r="B458" s="3" t="s">
        <v>117</v>
      </c>
      <c r="C458" s="3" t="s">
        <v>488</v>
      </c>
      <c r="M458" s="23"/>
      <c r="N458" s="23"/>
      <c r="O458" s="23"/>
    </row>
    <row r="459" customFormat="false" ht="12" hidden="false" customHeight="true" outlineLevel="0" collapsed="false">
      <c r="C459" s="26" t="s">
        <v>489</v>
      </c>
      <c r="M459" s="23"/>
      <c r="N459" s="23"/>
      <c r="O459" s="23"/>
    </row>
    <row r="460" customFormat="false" ht="15" hidden="false" customHeight="true" outlineLevel="0" collapsed="false">
      <c r="C460" s="27" t="s">
        <v>311</v>
      </c>
      <c r="D460" s="28" t="n">
        <v>1</v>
      </c>
      <c r="E460" s="35" t="n">
        <f aca="false">'Mediciones BIM'!E29</f>
        <v>70.14</v>
      </c>
      <c r="H460" s="29" t="n">
        <f aca="false">IF(COUNT(D460:G460)=0,0,D460*IF(E460="",1,E460)*IF(F460="",1,F460)*IF(G460="",1,G460))</f>
        <v>70.14</v>
      </c>
      <c r="M460" s="23"/>
      <c r="N460" s="23"/>
      <c r="O460" s="23"/>
    </row>
    <row r="461" customFormat="false" ht="18.75" hidden="false" customHeight="true" outlineLevel="0" collapsed="false">
      <c r="H461" s="30"/>
      <c r="I461" s="31" t="n">
        <f aca="false">ROUND(SUM(H460:H460),2)</f>
        <v>70.14</v>
      </c>
      <c r="J461" s="32" t="n">
        <v>22</v>
      </c>
      <c r="K461" s="31" t="n">
        <f aca="false">ROUND(I461*J461,2)</f>
        <v>1543.08</v>
      </c>
      <c r="L461" s="33" t="s">
        <v>238</v>
      </c>
      <c r="M461" s="23" t="s">
        <v>123</v>
      </c>
      <c r="N461" s="23" t="s">
        <v>38</v>
      </c>
      <c r="O461" s="23"/>
    </row>
    <row r="462" customFormat="false" ht="15" hidden="false" customHeight="true" outlineLevel="0" collapsed="false">
      <c r="C462" s="34" t="s">
        <v>490</v>
      </c>
      <c r="K462" s="14" t="n">
        <f aca="false">SUMIFS($K$5:$K$461,$M$5:$M$461,"P",$N$5:$N$461,"08")</f>
        <v>7522.95</v>
      </c>
      <c r="M462" s="23"/>
      <c r="N462" s="23"/>
      <c r="O462" s="23"/>
    </row>
    <row r="463" customFormat="false" ht="15" hidden="false" customHeight="true" outlineLevel="0" collapsed="false">
      <c r="M463" s="23"/>
      <c r="N463" s="23"/>
      <c r="O463" s="23"/>
    </row>
    <row r="464" customFormat="false" ht="15" hidden="false" customHeight="true" outlineLevel="0" collapsed="false">
      <c r="A464" s="24" t="s">
        <v>40</v>
      </c>
      <c r="B464" s="25"/>
      <c r="C464" s="24" t="s">
        <v>41</v>
      </c>
      <c r="D464" s="25"/>
      <c r="E464" s="25"/>
      <c r="F464" s="25"/>
      <c r="G464" s="25"/>
      <c r="H464" s="25"/>
      <c r="I464" s="25"/>
      <c r="J464" s="25"/>
      <c r="K464" s="25"/>
      <c r="L464" s="25"/>
      <c r="M464" s="23" t="s">
        <v>115</v>
      </c>
      <c r="N464" s="23" t="s">
        <v>40</v>
      </c>
      <c r="O464" s="23"/>
    </row>
    <row r="465" customFormat="false" ht="15" hidden="false" customHeight="true" outlineLevel="0" collapsed="false">
      <c r="A465" s="3" t="s">
        <v>491</v>
      </c>
      <c r="B465" s="3" t="s">
        <v>117</v>
      </c>
      <c r="C465" s="3" t="s">
        <v>492</v>
      </c>
      <c r="M465" s="23"/>
      <c r="N465" s="23"/>
      <c r="O465" s="23"/>
    </row>
    <row r="466" customFormat="false" ht="24" hidden="false" customHeight="true" outlineLevel="0" collapsed="false">
      <c r="C466" s="26" t="s">
        <v>493</v>
      </c>
      <c r="M466" s="23"/>
      <c r="N466" s="23"/>
      <c r="O466" s="23"/>
    </row>
    <row r="467" customFormat="false" ht="15" hidden="false" customHeight="true" outlineLevel="0" collapsed="false">
      <c r="C467" s="27" t="s">
        <v>311</v>
      </c>
      <c r="D467" s="28" t="n">
        <v>1</v>
      </c>
      <c r="E467" s="35" t="n">
        <f aca="false">'Mediciones BIM'!E30</f>
        <v>88.76</v>
      </c>
      <c r="H467" s="29" t="n">
        <f aca="false">IF(COUNT(D467:G467)=0,0,D467*IF(E467="",1,E467)*IF(F467="",1,F467)*IF(G467="",1,G467))</f>
        <v>88.76</v>
      </c>
      <c r="M467" s="23"/>
      <c r="N467" s="23"/>
      <c r="O467" s="23"/>
    </row>
    <row r="468" customFormat="false" ht="18.75" hidden="false" customHeight="true" outlineLevel="0" collapsed="false">
      <c r="H468" s="30"/>
      <c r="I468" s="31" t="n">
        <f aca="false">ROUND(SUM(H467:H467),2)</f>
        <v>88.76</v>
      </c>
      <c r="J468" s="32" t="n">
        <v>27</v>
      </c>
      <c r="K468" s="31" t="n">
        <f aca="false">ROUND(I468*J468,2)</f>
        <v>2396.52</v>
      </c>
      <c r="L468" s="33" t="s">
        <v>238</v>
      </c>
      <c r="M468" s="23" t="s">
        <v>123</v>
      </c>
      <c r="N468" s="23" t="s">
        <v>40</v>
      </c>
      <c r="O468" s="23"/>
    </row>
    <row r="469" customFormat="false" ht="15" hidden="false" customHeight="true" outlineLevel="0" collapsed="false">
      <c r="A469" s="3" t="s">
        <v>494</v>
      </c>
      <c r="B469" s="3" t="s">
        <v>129</v>
      </c>
      <c r="C469" s="3" t="s">
        <v>495</v>
      </c>
      <c r="M469" s="23"/>
      <c r="N469" s="23"/>
      <c r="O469" s="23"/>
    </row>
    <row r="470" customFormat="false" ht="12" hidden="false" customHeight="true" outlineLevel="0" collapsed="false">
      <c r="C470" s="26" t="s">
        <v>496</v>
      </c>
      <c r="M470" s="23"/>
      <c r="N470" s="23"/>
      <c r="O470" s="23"/>
    </row>
    <row r="471" customFormat="false" ht="15" hidden="false" customHeight="true" outlineLevel="0" collapsed="false">
      <c r="C471" s="27" t="s">
        <v>497</v>
      </c>
      <c r="D471" s="28" t="n">
        <v>11</v>
      </c>
      <c r="H471" s="29" t="n">
        <f aca="false">IF(COUNT(D471:G471)=0,0,D471*IF(E471="",1,E471)*IF(F471="",1,F471)*IF(G471="",1,G471))</f>
        <v>11</v>
      </c>
      <c r="M471" s="23"/>
      <c r="N471" s="23"/>
      <c r="O471" s="23"/>
    </row>
    <row r="472" customFormat="false" ht="18.75" hidden="false" customHeight="true" outlineLevel="0" collapsed="false">
      <c r="H472" s="30"/>
      <c r="I472" s="31" t="n">
        <f aca="false">ROUND(SUM(H471:H471),2)</f>
        <v>11</v>
      </c>
      <c r="J472" s="32" t="n">
        <v>48</v>
      </c>
      <c r="K472" s="31" t="n">
        <f aca="false">ROUND(I472*J472,2)</f>
        <v>528</v>
      </c>
      <c r="L472" s="33" t="s">
        <v>238</v>
      </c>
      <c r="M472" s="23" t="s">
        <v>123</v>
      </c>
      <c r="N472" s="23" t="s">
        <v>40</v>
      </c>
      <c r="O472" s="23"/>
    </row>
    <row r="473" customFormat="false" ht="15" hidden="false" customHeight="true" outlineLevel="0" collapsed="false">
      <c r="A473" s="3" t="s">
        <v>498</v>
      </c>
      <c r="B473" s="3" t="s">
        <v>117</v>
      </c>
      <c r="C473" s="3" t="s">
        <v>499</v>
      </c>
      <c r="M473" s="23"/>
      <c r="N473" s="23"/>
      <c r="O473" s="23"/>
    </row>
    <row r="474" customFormat="false" ht="24" hidden="false" customHeight="true" outlineLevel="0" collapsed="false">
      <c r="C474" s="26" t="s">
        <v>500</v>
      </c>
      <c r="M474" s="23"/>
      <c r="N474" s="23"/>
      <c r="O474" s="23"/>
    </row>
    <row r="475" customFormat="false" ht="15" hidden="false" customHeight="true" outlineLevel="0" collapsed="false">
      <c r="C475" s="27" t="s">
        <v>311</v>
      </c>
      <c r="D475" s="28" t="n">
        <v>1</v>
      </c>
      <c r="E475" s="35" t="n">
        <f aca="false">'Mediciones BIM'!E31</f>
        <v>21.35</v>
      </c>
      <c r="H475" s="29" t="n">
        <f aca="false">IF(COUNT(D475:G475)=0,0,D475*IF(E475="",1,E475)*IF(F475="",1,F475)*IF(G475="",1,G475))</f>
        <v>21.35</v>
      </c>
      <c r="M475" s="23"/>
      <c r="N475" s="23"/>
      <c r="O475" s="23"/>
    </row>
    <row r="476" customFormat="false" ht="27.75" hidden="false" customHeight="true" outlineLevel="0" collapsed="false">
      <c r="H476" s="30"/>
      <c r="I476" s="31" t="n">
        <f aca="false">ROUND(SUM(H475:H475),2)</f>
        <v>21.35</v>
      </c>
      <c r="J476" s="32" t="n">
        <v>34</v>
      </c>
      <c r="K476" s="31" t="n">
        <f aca="false">ROUND(I476*J476,2)</f>
        <v>725.9</v>
      </c>
      <c r="L476" s="33" t="s">
        <v>501</v>
      </c>
      <c r="M476" s="23" t="s">
        <v>123</v>
      </c>
      <c r="N476" s="23" t="s">
        <v>40</v>
      </c>
      <c r="O476" s="23"/>
    </row>
    <row r="477" customFormat="false" ht="27.75" hidden="false" customHeight="true" outlineLevel="0" collapsed="false">
      <c r="A477" s="37" t="s">
        <v>502</v>
      </c>
      <c r="B477" s="3" t="s">
        <v>117</v>
      </c>
      <c r="C477" s="3" t="s">
        <v>503</v>
      </c>
      <c r="M477" s="23"/>
      <c r="N477" s="23"/>
      <c r="O477" s="23"/>
    </row>
    <row r="478" customFormat="false" ht="27.75" hidden="false" customHeight="true" outlineLevel="0" collapsed="false">
      <c r="C478" s="26" t="s">
        <v>504</v>
      </c>
      <c r="M478" s="23"/>
      <c r="N478" s="23"/>
      <c r="O478" s="23"/>
    </row>
    <row r="479" customFormat="false" ht="27.75" hidden="false" customHeight="true" outlineLevel="0" collapsed="false">
      <c r="C479" s="27" t="s">
        <v>505</v>
      </c>
      <c r="D479" s="28" t="n">
        <v>1</v>
      </c>
      <c r="E479" s="35" t="n">
        <f aca="false">E408</f>
        <v>29.44</v>
      </c>
      <c r="H479" s="29" t="n">
        <f aca="false">IF(COUNT(D479:G479)=0,0,D479*IF(E479="",1,E479)*IF(F479="",1,F479)*IF(G479="",1,G479))</f>
        <v>29.44</v>
      </c>
      <c r="M479" s="23"/>
      <c r="N479" s="23"/>
      <c r="O479" s="23"/>
    </row>
    <row r="480" customFormat="false" ht="27.75" hidden="false" customHeight="true" outlineLevel="0" collapsed="false">
      <c r="H480" s="30"/>
      <c r="I480" s="31" t="n">
        <f aca="false">ROUND(SUM(H479:H479),2)</f>
        <v>29.44</v>
      </c>
      <c r="J480" s="32" t="n">
        <v>9</v>
      </c>
      <c r="K480" s="31" t="n">
        <f aca="false">ROUND(I480*J480,2)</f>
        <v>264.96</v>
      </c>
      <c r="L480" s="33" t="s">
        <v>321</v>
      </c>
      <c r="M480" s="23" t="s">
        <v>123</v>
      </c>
      <c r="N480" s="23" t="s">
        <v>40</v>
      </c>
      <c r="O480" s="23"/>
    </row>
    <row r="481" customFormat="false" ht="15" hidden="false" customHeight="true" outlineLevel="0" collapsed="false">
      <c r="C481" s="34" t="s">
        <v>506</v>
      </c>
      <c r="K481" s="14" t="n">
        <f aca="false">SUMIFS($K$5:$K$480,$M$5:$M$480,"P",$N$5:$N$480,"09")</f>
        <v>3915.38</v>
      </c>
      <c r="M481" s="23"/>
      <c r="N481" s="23"/>
      <c r="O481" s="23"/>
    </row>
    <row r="482" customFormat="false" ht="15" hidden="false" customHeight="true" outlineLevel="0" collapsed="false">
      <c r="M482" s="23"/>
      <c r="N482" s="23"/>
      <c r="O482" s="23"/>
    </row>
    <row r="483" customFormat="false" ht="15" hidden="false" customHeight="true" outlineLevel="0" collapsed="false">
      <c r="A483" s="24" t="s">
        <v>42</v>
      </c>
      <c r="B483" s="25"/>
      <c r="C483" s="24" t="s">
        <v>43</v>
      </c>
      <c r="D483" s="25"/>
      <c r="E483" s="25"/>
      <c r="F483" s="25"/>
      <c r="G483" s="25"/>
      <c r="H483" s="25"/>
      <c r="I483" s="25"/>
      <c r="J483" s="25"/>
      <c r="K483" s="25"/>
      <c r="L483" s="25"/>
      <c r="M483" s="23" t="s">
        <v>115</v>
      </c>
      <c r="N483" s="23" t="s">
        <v>42</v>
      </c>
      <c r="O483" s="23"/>
    </row>
    <row r="484" customFormat="false" ht="15" hidden="false" customHeight="true" outlineLevel="0" collapsed="false">
      <c r="A484" s="3" t="s">
        <v>507</v>
      </c>
      <c r="B484" s="3" t="s">
        <v>117</v>
      </c>
      <c r="C484" s="3" t="s">
        <v>508</v>
      </c>
      <c r="M484" s="23"/>
      <c r="N484" s="23"/>
      <c r="O484" s="23"/>
    </row>
    <row r="485" customFormat="false" ht="24" hidden="false" customHeight="true" outlineLevel="0" collapsed="false">
      <c r="C485" s="26" t="s">
        <v>509</v>
      </c>
      <c r="M485" s="23"/>
      <c r="N485" s="23"/>
      <c r="O485" s="23"/>
    </row>
    <row r="486" customFormat="false" ht="15" hidden="false" customHeight="true" outlineLevel="0" collapsed="false">
      <c r="C486" s="27" t="s">
        <v>311</v>
      </c>
      <c r="D486" s="28" t="n">
        <v>1</v>
      </c>
      <c r="E486" s="35" t="n">
        <f aca="false">'Mediciones BIM'!E32</f>
        <v>209.42</v>
      </c>
      <c r="H486" s="29" t="n">
        <f aca="false">IF(COUNT(D486:G486)=0,0,D486*IF(E486="",1,E486)*IF(F486="",1,F486)*IF(G486="",1,G486))</f>
        <v>209.42</v>
      </c>
      <c r="M486" s="23"/>
      <c r="N486" s="23"/>
      <c r="O486" s="23"/>
    </row>
    <row r="487" customFormat="false" ht="18.75" hidden="false" customHeight="true" outlineLevel="0" collapsed="false">
      <c r="H487" s="30"/>
      <c r="I487" s="31" t="n">
        <f aca="false">ROUND(SUM(H486:H486),2)</f>
        <v>209.42</v>
      </c>
      <c r="J487" s="32" t="n">
        <v>15</v>
      </c>
      <c r="K487" s="31" t="n">
        <f aca="false">ROUND(I487*J487,2)</f>
        <v>3141.3</v>
      </c>
      <c r="L487" s="33" t="s">
        <v>238</v>
      </c>
      <c r="M487" s="23" t="s">
        <v>123</v>
      </c>
      <c r="N487" s="23" t="s">
        <v>42</v>
      </c>
      <c r="O487" s="23"/>
    </row>
    <row r="488" customFormat="false" ht="15" hidden="false" customHeight="true" outlineLevel="0" collapsed="false">
      <c r="A488" s="3" t="s">
        <v>510</v>
      </c>
      <c r="B488" s="3" t="s">
        <v>117</v>
      </c>
      <c r="C488" s="3" t="s">
        <v>511</v>
      </c>
      <c r="M488" s="23"/>
      <c r="N488" s="23"/>
      <c r="O488" s="23"/>
    </row>
    <row r="489" customFormat="false" ht="24" hidden="false" customHeight="true" outlineLevel="0" collapsed="false">
      <c r="C489" s="26" t="s">
        <v>512</v>
      </c>
      <c r="M489" s="23"/>
      <c r="N489" s="23"/>
      <c r="O489" s="23"/>
    </row>
    <row r="490" customFormat="false" ht="15" hidden="false" customHeight="true" outlineLevel="0" collapsed="false">
      <c r="C490" s="27" t="s">
        <v>513</v>
      </c>
      <c r="D490" s="28" t="n">
        <v>1</v>
      </c>
      <c r="E490" s="28" t="n">
        <v>87</v>
      </c>
      <c r="H490" s="29" t="n">
        <f aca="false">IF(COUNT(D490:G490)=0,0,D490*IF(E490="",1,E490)*IF(F490="",1,F490)*IF(G490="",1,G490))</f>
        <v>87</v>
      </c>
      <c r="M490" s="23"/>
      <c r="N490" s="23"/>
      <c r="O490" s="23"/>
    </row>
    <row r="491" customFormat="false" ht="18.75" hidden="false" customHeight="true" outlineLevel="0" collapsed="false">
      <c r="H491" s="30"/>
      <c r="I491" s="31" t="n">
        <f aca="false">ROUND(SUM(H490:H490),2)</f>
        <v>87</v>
      </c>
      <c r="J491" s="32" t="n">
        <v>14</v>
      </c>
      <c r="K491" s="31" t="n">
        <f aca="false">ROUND(I491*J491,2)</f>
        <v>1218</v>
      </c>
      <c r="L491" s="33" t="s">
        <v>238</v>
      </c>
      <c r="M491" s="23" t="s">
        <v>123</v>
      </c>
      <c r="N491" s="23" t="s">
        <v>42</v>
      </c>
      <c r="O491" s="23"/>
    </row>
    <row r="492" customFormat="false" ht="15" hidden="false" customHeight="true" outlineLevel="0" collapsed="false">
      <c r="A492" s="3" t="s">
        <v>514</v>
      </c>
      <c r="B492" s="3" t="s">
        <v>117</v>
      </c>
      <c r="C492" s="3" t="s">
        <v>515</v>
      </c>
      <c r="M492" s="23"/>
      <c r="N492" s="23"/>
      <c r="O492" s="23"/>
    </row>
    <row r="493" customFormat="false" ht="24" hidden="false" customHeight="true" outlineLevel="0" collapsed="false">
      <c r="C493" s="26" t="s">
        <v>516</v>
      </c>
      <c r="M493" s="23"/>
      <c r="N493" s="23"/>
      <c r="O493" s="23"/>
    </row>
    <row r="494" customFormat="false" ht="15" hidden="false" customHeight="true" outlineLevel="0" collapsed="false">
      <c r="C494" s="27" t="s">
        <v>311</v>
      </c>
      <c r="D494" s="28" t="n">
        <v>1</v>
      </c>
      <c r="E494" s="35" t="n">
        <f aca="false">'Mediciones BIM'!E33</f>
        <v>191.76</v>
      </c>
      <c r="H494" s="29" t="n">
        <f aca="false">IF(COUNT(D494:G494)=0,0,D494*IF(E494="",1,E494)*IF(F494="",1,F494)*IF(G494="",1,G494))</f>
        <v>191.76</v>
      </c>
      <c r="M494" s="23"/>
      <c r="N494" s="23"/>
      <c r="O494" s="23"/>
    </row>
    <row r="495" customFormat="false" ht="15" hidden="false" customHeight="true" outlineLevel="0" collapsed="false">
      <c r="C495" s="27"/>
      <c r="D495" s="28"/>
      <c r="E495" s="28"/>
      <c r="H495" s="29" t="n">
        <f aca="false">IF(COUNT(D495:G495)=0,0,D495*IF(E495="",1,E495)*IF(F495="",1,F495)*IF(G495="",1,G495))</f>
        <v>0</v>
      </c>
      <c r="M495" s="23"/>
      <c r="N495" s="23"/>
      <c r="O495" s="23"/>
    </row>
    <row r="496" customFormat="false" ht="18.75" hidden="false" customHeight="true" outlineLevel="0" collapsed="false">
      <c r="H496" s="30"/>
      <c r="I496" s="31" t="n">
        <f aca="false">ROUND(SUM(H494:H495),2)</f>
        <v>191.76</v>
      </c>
      <c r="J496" s="32" t="n">
        <v>48</v>
      </c>
      <c r="K496" s="31" t="n">
        <f aca="false">ROUND(I496*J496,2)</f>
        <v>9204.48</v>
      </c>
      <c r="L496" s="33" t="s">
        <v>238</v>
      </c>
      <c r="M496" s="23" t="s">
        <v>123</v>
      </c>
      <c r="N496" s="23" t="s">
        <v>42</v>
      </c>
      <c r="O496" s="23"/>
    </row>
    <row r="497" customFormat="false" ht="15" hidden="false" customHeight="true" outlineLevel="0" collapsed="false">
      <c r="A497" s="3" t="s">
        <v>517</v>
      </c>
      <c r="B497" s="3" t="s">
        <v>117</v>
      </c>
      <c r="C497" s="3" t="s">
        <v>518</v>
      </c>
      <c r="M497" s="23"/>
      <c r="N497" s="23"/>
      <c r="O497" s="23"/>
    </row>
    <row r="498" customFormat="false" ht="24" hidden="false" customHeight="true" outlineLevel="0" collapsed="false">
      <c r="C498" s="26" t="s">
        <v>519</v>
      </c>
      <c r="M498" s="23"/>
      <c r="N498" s="23"/>
      <c r="O498" s="23"/>
    </row>
    <row r="499" customFormat="false" ht="15" hidden="false" customHeight="true" outlineLevel="0" collapsed="false">
      <c r="C499" s="27" t="s">
        <v>311</v>
      </c>
      <c r="D499" s="28" t="n">
        <v>1</v>
      </c>
      <c r="E499" s="35" t="n">
        <f aca="false">'Mediciones BIM'!E34</f>
        <v>70.14</v>
      </c>
      <c r="H499" s="29" t="n">
        <f aca="false">IF(COUNT(D499:G499)=0,0,D499*IF(E499="",1,E499)*IF(F499="",1,F499)*IF(G499="",1,G499))</f>
        <v>70.14</v>
      </c>
      <c r="M499" s="23"/>
      <c r="N499" s="23"/>
      <c r="O499" s="23"/>
    </row>
    <row r="500" customFormat="false" ht="15" hidden="false" customHeight="true" outlineLevel="0" collapsed="false">
      <c r="C500" s="27"/>
      <c r="D500" s="28"/>
      <c r="E500" s="28"/>
      <c r="H500" s="29" t="n">
        <f aca="false">IF(COUNT(D500:G500)=0,0,D500*IF(E500="",1,E500)*IF(F500="",1,F500)*IF(G500="",1,G500))</f>
        <v>0</v>
      </c>
      <c r="M500" s="23"/>
      <c r="N500" s="23"/>
      <c r="O500" s="23"/>
    </row>
    <row r="501" customFormat="false" ht="18.75" hidden="false" customHeight="true" outlineLevel="0" collapsed="false">
      <c r="H501" s="30"/>
      <c r="I501" s="31" t="n">
        <f aca="false">ROUND(SUM(H499:H500),2)</f>
        <v>70.14</v>
      </c>
      <c r="J501" s="32" t="n">
        <v>56</v>
      </c>
      <c r="K501" s="31" t="n">
        <f aca="false">ROUND(I501*J501,2)</f>
        <v>3927.84</v>
      </c>
      <c r="L501" s="33" t="s">
        <v>238</v>
      </c>
      <c r="M501" s="23" t="s">
        <v>123</v>
      </c>
      <c r="N501" s="23" t="s">
        <v>42</v>
      </c>
      <c r="O501" s="23"/>
    </row>
    <row r="502" customFormat="false" ht="15" hidden="false" customHeight="true" outlineLevel="0" collapsed="false">
      <c r="A502" s="3" t="s">
        <v>520</v>
      </c>
      <c r="B502" s="3" t="s">
        <v>117</v>
      </c>
      <c r="C502" s="3" t="s">
        <v>521</v>
      </c>
      <c r="M502" s="23"/>
      <c r="N502" s="23"/>
      <c r="O502" s="23"/>
    </row>
    <row r="503" customFormat="false" ht="12" hidden="false" customHeight="true" outlineLevel="0" collapsed="false">
      <c r="C503" s="26" t="s">
        <v>522</v>
      </c>
      <c r="M503" s="23"/>
      <c r="N503" s="23"/>
      <c r="O503" s="23"/>
    </row>
    <row r="504" customFormat="false" ht="15" hidden="false" customHeight="true" outlineLevel="0" collapsed="false">
      <c r="C504" s="27" t="s">
        <v>311</v>
      </c>
      <c r="D504" s="28" t="n">
        <v>1</v>
      </c>
      <c r="E504" s="35" t="n">
        <f aca="false">'Mediciones BIM'!E35</f>
        <v>17.66</v>
      </c>
      <c r="H504" s="29" t="n">
        <f aca="false">IF(COUNT(D504:G504)=0,0,D504*IF(E504="",1,E504)*IF(F504="",1,F504)*IF(G504="",1,G504))</f>
        <v>17.66</v>
      </c>
      <c r="M504" s="23"/>
      <c r="N504" s="23"/>
      <c r="O504" s="23"/>
    </row>
    <row r="505" customFormat="false" ht="18.75" hidden="false" customHeight="true" outlineLevel="0" collapsed="false">
      <c r="H505" s="30"/>
      <c r="I505" s="31" t="n">
        <f aca="false">ROUND(SUM(H504:H504),2)</f>
        <v>17.66</v>
      </c>
      <c r="J505" s="32" t="n">
        <v>54</v>
      </c>
      <c r="K505" s="31" t="n">
        <f aca="false">ROUND(I505*J505,2)</f>
        <v>953.64</v>
      </c>
      <c r="L505" s="33" t="s">
        <v>238</v>
      </c>
      <c r="M505" s="23" t="s">
        <v>123</v>
      </c>
      <c r="N505" s="23" t="s">
        <v>42</v>
      </c>
      <c r="O505" s="23"/>
    </row>
    <row r="506" customFormat="false" ht="15" hidden="false" customHeight="true" outlineLevel="0" collapsed="false">
      <c r="A506" s="3" t="s">
        <v>523</v>
      </c>
      <c r="B506" s="3" t="s">
        <v>117</v>
      </c>
      <c r="C506" s="3" t="s">
        <v>524</v>
      </c>
      <c r="M506" s="23"/>
      <c r="N506" s="23"/>
      <c r="O506" s="23"/>
    </row>
    <row r="507" customFormat="false" ht="132" hidden="false" customHeight="true" outlineLevel="0" collapsed="false">
      <c r="C507" s="26" t="s">
        <v>525</v>
      </c>
      <c r="M507" s="23"/>
      <c r="N507" s="23"/>
      <c r="O507" s="23"/>
    </row>
    <row r="508" customFormat="false" ht="15" hidden="false" customHeight="true" outlineLevel="0" collapsed="false">
      <c r="C508" s="27" t="s">
        <v>304</v>
      </c>
      <c r="D508" s="28" t="n">
        <v>1</v>
      </c>
      <c r="E508" s="35" t="n">
        <f aca="false">'Mediciones BIM'!E36</f>
        <v>49.52</v>
      </c>
      <c r="H508" s="29" t="n">
        <f aca="false">IF(COUNT(D508:G508)=0,0,D508*IF(E508="",1,E508)*IF(F508="",1,F508)*IF(G508="",1,G508))</f>
        <v>49.52</v>
      </c>
      <c r="M508" s="23"/>
      <c r="N508" s="23"/>
      <c r="O508" s="23"/>
    </row>
    <row r="509" customFormat="false" ht="15" hidden="false" customHeight="true" outlineLevel="0" collapsed="false">
      <c r="H509" s="30"/>
      <c r="I509" s="31" t="n">
        <f aca="false">ROUND(SUM(H508:H508),2)</f>
        <v>49.52</v>
      </c>
      <c r="J509" s="32" t="n">
        <v>15.61</v>
      </c>
      <c r="K509" s="31" t="n">
        <f aca="false">ROUND(I509*J509,2)</f>
        <v>773.01</v>
      </c>
      <c r="L509" s="33" t="s">
        <v>212</v>
      </c>
      <c r="M509" s="23" t="s">
        <v>123</v>
      </c>
      <c r="N509" s="23" t="s">
        <v>42</v>
      </c>
      <c r="O509" s="23"/>
    </row>
    <row r="510" customFormat="false" ht="15" hidden="false" customHeight="true" outlineLevel="0" collapsed="false">
      <c r="A510" s="3" t="s">
        <v>526</v>
      </c>
      <c r="B510" s="3" t="s">
        <v>140</v>
      </c>
      <c r="C510" s="3" t="s">
        <v>527</v>
      </c>
      <c r="M510" s="23"/>
      <c r="N510" s="23"/>
      <c r="O510" s="23"/>
    </row>
    <row r="511" customFormat="false" ht="24" hidden="false" customHeight="true" outlineLevel="0" collapsed="false">
      <c r="C511" s="26" t="s">
        <v>528</v>
      </c>
      <c r="M511" s="23"/>
      <c r="N511" s="23"/>
      <c r="O511" s="23"/>
    </row>
    <row r="512" customFormat="false" ht="15" hidden="false" customHeight="true" outlineLevel="0" collapsed="false">
      <c r="C512" s="27" t="s">
        <v>390</v>
      </c>
      <c r="D512" s="28" t="n">
        <v>1</v>
      </c>
      <c r="E512" s="28" t="n">
        <v>5.4</v>
      </c>
      <c r="H512" s="29" t="n">
        <f aca="false">IF(COUNT(D512:G512)=0,0,D512*IF(E512="",1,E512)*IF(F512="",1,F512)*IF(G512="",1,G512))</f>
        <v>5.4</v>
      </c>
      <c r="M512" s="23"/>
      <c r="N512" s="23"/>
      <c r="O512" s="23"/>
    </row>
    <row r="513" customFormat="false" ht="18.75" hidden="false" customHeight="true" outlineLevel="0" collapsed="false">
      <c r="H513" s="30"/>
      <c r="I513" s="31" t="n">
        <f aca="false">ROUND(SUM(H512:H512),2)</f>
        <v>5.4</v>
      </c>
      <c r="J513" s="32" t="n">
        <v>92</v>
      </c>
      <c r="K513" s="31" t="n">
        <f aca="false">ROUND(I513*J513,2)</f>
        <v>496.8</v>
      </c>
      <c r="L513" s="33" t="s">
        <v>238</v>
      </c>
      <c r="M513" s="23" t="s">
        <v>123</v>
      </c>
      <c r="N513" s="23" t="s">
        <v>42</v>
      </c>
      <c r="O513" s="23"/>
    </row>
    <row r="514" customFormat="false" ht="15" hidden="false" customHeight="true" outlineLevel="0" collapsed="false">
      <c r="A514" s="3" t="s">
        <v>529</v>
      </c>
      <c r="B514" s="3" t="s">
        <v>129</v>
      </c>
      <c r="C514" s="3" t="s">
        <v>530</v>
      </c>
      <c r="M514" s="23"/>
      <c r="N514" s="23"/>
      <c r="O514" s="23"/>
    </row>
    <row r="515" customFormat="false" ht="24" hidden="false" customHeight="true" outlineLevel="0" collapsed="false">
      <c r="C515" s="26" t="s">
        <v>531</v>
      </c>
      <c r="M515" s="23"/>
      <c r="N515" s="23"/>
      <c r="O515" s="23"/>
    </row>
    <row r="516" customFormat="false" ht="15" hidden="false" customHeight="true" outlineLevel="0" collapsed="false">
      <c r="C516" s="27" t="s">
        <v>389</v>
      </c>
      <c r="D516" s="28" t="n">
        <v>1</v>
      </c>
      <c r="H516" s="29" t="n">
        <f aca="false">IF(COUNT(D516:G516)=0,0,D516*IF(E516="",1,E516)*IF(F516="",1,F516)*IF(G516="",1,G516))</f>
        <v>1</v>
      </c>
      <c r="M516" s="23"/>
      <c r="N516" s="23"/>
      <c r="O516" s="23"/>
    </row>
    <row r="517" customFormat="false" ht="18.75" hidden="false" customHeight="true" outlineLevel="0" collapsed="false">
      <c r="H517" s="30"/>
      <c r="I517" s="31" t="n">
        <f aca="false">ROUND(SUM(H516:H516),2)</f>
        <v>1</v>
      </c>
      <c r="J517" s="32" t="n">
        <v>950</v>
      </c>
      <c r="K517" s="31" t="n">
        <f aca="false">ROUND(I517*J517,2)</f>
        <v>950</v>
      </c>
      <c r="L517" s="33" t="s">
        <v>238</v>
      </c>
      <c r="M517" s="23" t="s">
        <v>123</v>
      </c>
      <c r="N517" s="23" t="s">
        <v>42</v>
      </c>
      <c r="O517" s="23"/>
    </row>
    <row r="518" customFormat="false" ht="15" hidden="false" customHeight="true" outlineLevel="0" collapsed="false">
      <c r="A518" s="3" t="s">
        <v>532</v>
      </c>
      <c r="B518" s="3" t="s">
        <v>117</v>
      </c>
      <c r="C518" s="3" t="s">
        <v>533</v>
      </c>
      <c r="M518" s="23"/>
      <c r="N518" s="23"/>
      <c r="O518" s="23"/>
    </row>
    <row r="519" customFormat="false" ht="24" hidden="false" customHeight="true" outlineLevel="0" collapsed="false">
      <c r="C519" s="26" t="s">
        <v>534</v>
      </c>
      <c r="M519" s="23"/>
      <c r="N519" s="23"/>
      <c r="O519" s="23"/>
    </row>
    <row r="520" customFormat="false" ht="15" hidden="false" customHeight="true" outlineLevel="0" collapsed="false">
      <c r="C520" s="27" t="s">
        <v>311</v>
      </c>
      <c r="D520" s="28" t="n">
        <v>1</v>
      </c>
      <c r="E520" s="35" t="n">
        <f aca="false">'Mediciones BIM'!E37</f>
        <v>70.14</v>
      </c>
      <c r="H520" s="29" t="n">
        <f aca="false">IF(COUNT(D520:G520)=0,0,D520*IF(E520="",1,E520)*IF(F520="",1,F520)*IF(G520="",1,G520))</f>
        <v>70.14</v>
      </c>
      <c r="M520" s="23"/>
      <c r="N520" s="23"/>
      <c r="O520" s="23"/>
    </row>
    <row r="521" customFormat="false" ht="15" hidden="false" customHeight="true" outlineLevel="0" collapsed="false">
      <c r="H521" s="30"/>
      <c r="I521" s="31" t="n">
        <f aca="false">ROUND(SUM(H520:H520),2)</f>
        <v>70.14</v>
      </c>
      <c r="J521" s="32" t="n">
        <v>15</v>
      </c>
      <c r="K521" s="31" t="n">
        <f aca="false">ROUND(I521*J521,2)</f>
        <v>1052.1</v>
      </c>
      <c r="L521" s="33" t="s">
        <v>535</v>
      </c>
      <c r="M521" s="23" t="s">
        <v>123</v>
      </c>
      <c r="N521" s="23" t="s">
        <v>42</v>
      </c>
      <c r="O521" s="23"/>
    </row>
    <row r="522" customFormat="false" ht="15" hidden="false" customHeight="true" outlineLevel="0" collapsed="false">
      <c r="C522" s="34" t="s">
        <v>536</v>
      </c>
      <c r="K522" s="14" t="n">
        <f aca="false">SUMIFS($K$5:$K$521,$M$5:$M$521,"P",$N$5:$N$521,"10")</f>
        <v>21717.17</v>
      </c>
      <c r="M522" s="23"/>
      <c r="N522" s="23"/>
      <c r="O522" s="23"/>
    </row>
    <row r="523" customFormat="false" ht="15" hidden="false" customHeight="true" outlineLevel="0" collapsed="false">
      <c r="M523" s="23"/>
      <c r="N523" s="23"/>
      <c r="O523" s="23"/>
    </row>
    <row r="524" customFormat="false" ht="15" hidden="false" customHeight="true" outlineLevel="0" collapsed="false">
      <c r="A524" s="24" t="s">
        <v>44</v>
      </c>
      <c r="B524" s="25"/>
      <c r="C524" s="24" t="s">
        <v>45</v>
      </c>
      <c r="D524" s="25"/>
      <c r="E524" s="25"/>
      <c r="F524" s="25"/>
      <c r="G524" s="25"/>
      <c r="H524" s="25"/>
      <c r="I524" s="25"/>
      <c r="J524" s="25"/>
      <c r="K524" s="25"/>
      <c r="L524" s="25"/>
      <c r="M524" s="23" t="s">
        <v>115</v>
      </c>
      <c r="N524" s="23" t="s">
        <v>44</v>
      </c>
      <c r="O524" s="23"/>
    </row>
    <row r="525" customFormat="false" ht="15" hidden="false" customHeight="true" outlineLevel="0" collapsed="false">
      <c r="A525" s="3" t="s">
        <v>537</v>
      </c>
      <c r="B525" s="3" t="s">
        <v>426</v>
      </c>
      <c r="C525" s="3" t="s">
        <v>538</v>
      </c>
      <c r="M525" s="23"/>
      <c r="N525" s="23"/>
      <c r="O525" s="23"/>
    </row>
    <row r="526" customFormat="false" ht="36" hidden="false" customHeight="true" outlineLevel="0" collapsed="false">
      <c r="C526" s="26" t="s">
        <v>539</v>
      </c>
      <c r="M526" s="23"/>
      <c r="N526" s="23"/>
      <c r="O526" s="23"/>
    </row>
    <row r="527" customFormat="false" ht="15" hidden="false" customHeight="true" outlineLevel="0" collapsed="false">
      <c r="C527" s="27" t="s">
        <v>311</v>
      </c>
      <c r="D527" s="28" t="n">
        <v>1</v>
      </c>
      <c r="E527" s="35" t="n">
        <f aca="false">'Mediciones BIM'!E38</f>
        <v>317.11</v>
      </c>
      <c r="H527" s="29" t="n">
        <f aca="false">IF(COUNT(D527:G527)=0,0,D527*IF(E527="",1,E527)*IF(F527="",1,F527)*IF(G527="",1,G527))</f>
        <v>317.11</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H530" s="30"/>
      <c r="I530" s="31" t="n">
        <f aca="false">ROUND(SUM(H527:H529),2)</f>
        <v>317.11</v>
      </c>
      <c r="J530" s="32" t="n">
        <v>29.56</v>
      </c>
      <c r="K530" s="31" t="n">
        <f aca="false">ROUND(I530*J530,2)</f>
        <v>9373.77</v>
      </c>
      <c r="L530" s="33" t="s">
        <v>212</v>
      </c>
      <c r="M530" s="23" t="s">
        <v>123</v>
      </c>
      <c r="N530" s="23" t="s">
        <v>44</v>
      </c>
      <c r="O530" s="23"/>
    </row>
    <row r="531" customFormat="false" ht="15" hidden="false" customHeight="true" outlineLevel="0" collapsed="false">
      <c r="A531" s="3" t="s">
        <v>540</v>
      </c>
      <c r="B531" s="3" t="s">
        <v>117</v>
      </c>
      <c r="C531" s="3" t="s">
        <v>541</v>
      </c>
      <c r="M531" s="23"/>
      <c r="N531" s="23"/>
      <c r="O531" s="23"/>
    </row>
    <row r="532" customFormat="false" ht="24" hidden="false" customHeight="true" outlineLevel="0" collapsed="false">
      <c r="C532" s="26" t="s">
        <v>542</v>
      </c>
      <c r="M532" s="23"/>
      <c r="N532" s="23"/>
      <c r="O532" s="23"/>
    </row>
    <row r="533" customFormat="false" ht="15" hidden="false" customHeight="true" outlineLevel="0" collapsed="false">
      <c r="C533" s="27" t="s">
        <v>311</v>
      </c>
      <c r="D533" s="28" t="n">
        <v>1</v>
      </c>
      <c r="E533" s="35" t="n">
        <f aca="false">'Mediciones BIM'!E39</f>
        <v>925.05</v>
      </c>
      <c r="H533" s="29" t="n">
        <f aca="false">IF(COUNT(D533:G533)=0,0,D533*IF(E533="",1,E533)*IF(F533="",1,F533)*IF(G533="",1,G533))</f>
        <v>925.05</v>
      </c>
      <c r="M533" s="23"/>
      <c r="N533" s="23"/>
      <c r="O533" s="23"/>
    </row>
    <row r="534" customFormat="false" ht="15" hidden="false" customHeight="true" outlineLevel="0" collapsed="false">
      <c r="C534" s="27"/>
      <c r="D534" s="28"/>
      <c r="E534" s="28"/>
      <c r="H534" s="29" t="n">
        <f aca="false">IF(COUNT(D534:G534)=0,0,D534*IF(E534="",1,E534)*IF(F534="",1,F534)*IF(G534="",1,G534))</f>
        <v>0</v>
      </c>
      <c r="M534" s="23"/>
      <c r="N534" s="23"/>
      <c r="O534" s="23"/>
    </row>
    <row r="535" customFormat="false" ht="15" hidden="false" customHeight="true" outlineLevel="0" collapsed="false">
      <c r="C535" s="27"/>
      <c r="D535" s="28"/>
      <c r="E535" s="28"/>
      <c r="H535" s="29" t="n">
        <f aca="false">IF(COUNT(D535:G535)=0,0,D535*IF(E535="",1,E535)*IF(F535="",1,F535)*IF(G535="",1,G535))</f>
        <v>0</v>
      </c>
      <c r="M535" s="23"/>
      <c r="N535" s="23"/>
      <c r="O535" s="23"/>
    </row>
    <row r="536" customFormat="false" ht="15" hidden="false" customHeight="true" outlineLevel="0" collapsed="false">
      <c r="C536" s="27"/>
      <c r="D536" s="28"/>
      <c r="E536" s="28"/>
      <c r="H536" s="29" t="n">
        <f aca="false">IF(COUNT(D536:G536)=0,0,D536*IF(E536="",1,E536)*IF(F536="",1,F536)*IF(G536="",1,G536))</f>
        <v>0</v>
      </c>
      <c r="M536" s="23"/>
      <c r="N536" s="23"/>
      <c r="O536" s="23"/>
    </row>
    <row r="537" customFormat="false" ht="15" hidden="false" customHeight="true" outlineLevel="0" collapsed="false">
      <c r="C537" s="27"/>
      <c r="D537" s="28"/>
      <c r="E537" s="28"/>
      <c r="H537" s="29" t="n">
        <f aca="false">IF(COUNT(D537:G537)=0,0,D537*IF(E537="",1,E537)*IF(F537="",1,F537)*IF(G537="",1,G537))</f>
        <v>0</v>
      </c>
      <c r="M537" s="23"/>
      <c r="N537" s="23"/>
      <c r="O537" s="23"/>
    </row>
    <row r="538" customFormat="false" ht="15" hidden="false" customHeight="true" outlineLevel="0" collapsed="false">
      <c r="C538" s="27"/>
      <c r="D538" s="28"/>
      <c r="E538" s="28"/>
      <c r="H538" s="29" t="n">
        <f aca="false">IF(COUNT(D538:G538)=0,0,D538*IF(E538="",1,E538)*IF(F538="",1,F538)*IF(G538="",1,G538))</f>
        <v>0</v>
      </c>
      <c r="M538" s="23"/>
      <c r="N538" s="23"/>
      <c r="O538" s="23"/>
    </row>
    <row r="539" customFormat="false" ht="15" hidden="false" customHeight="true" outlineLevel="0" collapsed="false">
      <c r="C539" s="27"/>
      <c r="D539" s="28"/>
      <c r="E539" s="28"/>
      <c r="H539" s="29" t="n">
        <f aca="false">IF(COUNT(D539:G539)=0,0,D539*IF(E539="",1,E539)*IF(F539="",1,F539)*IF(G539="",1,G539))</f>
        <v>0</v>
      </c>
      <c r="M539" s="23"/>
      <c r="N539" s="23"/>
      <c r="O539" s="23"/>
    </row>
    <row r="540" customFormat="false" ht="18.75" hidden="false" customHeight="true" outlineLevel="0" collapsed="false">
      <c r="H540" s="30"/>
      <c r="I540" s="31" t="n">
        <f aca="false">ROUND(SUM(H533:H539),2)</f>
        <v>925.05</v>
      </c>
      <c r="J540" s="32" t="n">
        <v>14</v>
      </c>
      <c r="K540" s="31" t="n">
        <f aca="false">ROUND(I540*J540,2)</f>
        <v>12950.7</v>
      </c>
      <c r="L540" s="33" t="s">
        <v>238</v>
      </c>
      <c r="M540" s="23" t="s">
        <v>123</v>
      </c>
      <c r="N540" s="23" t="s">
        <v>44</v>
      </c>
      <c r="O540" s="23"/>
    </row>
    <row r="541" customFormat="false" ht="15" hidden="false" customHeight="true" outlineLevel="0" collapsed="false">
      <c r="A541" s="3" t="s">
        <v>543</v>
      </c>
      <c r="B541" s="3" t="s">
        <v>117</v>
      </c>
      <c r="C541" s="3" t="s">
        <v>544</v>
      </c>
      <c r="M541" s="23"/>
      <c r="N541" s="23"/>
      <c r="O541" s="23"/>
    </row>
    <row r="542" customFormat="false" ht="24" hidden="false" customHeight="true" outlineLevel="0" collapsed="false">
      <c r="C542" s="26" t="s">
        <v>545</v>
      </c>
      <c r="M542" s="23"/>
      <c r="N542" s="23"/>
      <c r="O542" s="23"/>
    </row>
    <row r="543" customFormat="false" ht="15" hidden="false" customHeight="true" outlineLevel="0" collapsed="false">
      <c r="C543" s="27" t="s">
        <v>311</v>
      </c>
      <c r="D543" s="28" t="n">
        <v>1</v>
      </c>
      <c r="E543" s="35" t="n">
        <f aca="false">'Mediciones BIM'!E40</f>
        <v>88.06</v>
      </c>
      <c r="G543" s="28"/>
      <c r="H543" s="29" t="n">
        <f aca="false">IF(COUNT(D543:G543)=0,0,D543*IF(E543="",1,E543)*IF(F543="",1,F543)*IF(G543="",1,G543))</f>
        <v>88.06</v>
      </c>
      <c r="M543" s="23"/>
      <c r="N543" s="23"/>
      <c r="O543" s="23"/>
    </row>
    <row r="544" customFormat="false" ht="15" hidden="false" customHeight="true" outlineLevel="0" collapsed="false">
      <c r="C544" s="27"/>
      <c r="D544" s="28"/>
      <c r="E544" s="28"/>
      <c r="G544" s="28"/>
      <c r="H544" s="29" t="n">
        <f aca="false">IF(COUNT(D544:G544)=0,0,D544*IF(E544="",1,E544)*IF(F544="",1,F544)*IF(G544="",1,G544))</f>
        <v>0</v>
      </c>
      <c r="M544" s="23"/>
      <c r="N544" s="23"/>
      <c r="O544" s="23"/>
    </row>
    <row r="545" customFormat="false" ht="15" hidden="false" customHeight="true" outlineLevel="0" collapsed="false">
      <c r="C545" s="27"/>
      <c r="D545" s="28"/>
      <c r="E545" s="28"/>
      <c r="G545" s="28"/>
      <c r="H545" s="29" t="n">
        <f aca="false">IF(COUNT(D545:G545)=0,0,D545*IF(E545="",1,E545)*IF(F545="",1,F545)*IF(G545="",1,G545))</f>
        <v>0</v>
      </c>
      <c r="M545" s="23"/>
      <c r="N545" s="23"/>
      <c r="O545" s="23"/>
    </row>
    <row r="546" customFormat="false" ht="15" hidden="false" customHeight="true" outlineLevel="0" collapsed="false">
      <c r="C546" s="27"/>
      <c r="D546" s="28"/>
      <c r="E546" s="28"/>
      <c r="G546" s="28"/>
      <c r="H546" s="29" t="n">
        <f aca="false">IF(COUNT(D546:G546)=0,0,D546*IF(E546="",1,E546)*IF(F546="",1,F546)*IF(G546="",1,G546))</f>
        <v>0</v>
      </c>
      <c r="M546" s="23"/>
      <c r="N546" s="23"/>
      <c r="O546" s="23"/>
    </row>
    <row r="547" customFormat="false" ht="15" hidden="false" customHeight="true" outlineLevel="0" collapsed="false">
      <c r="C547" s="27"/>
      <c r="D547" s="28"/>
      <c r="E547" s="28"/>
      <c r="G547" s="28"/>
      <c r="H547" s="29" t="n">
        <f aca="false">IF(COUNT(D547:G547)=0,0,D547*IF(E547="",1,E547)*IF(F547="",1,F547)*IF(G547="",1,G547))</f>
        <v>0</v>
      </c>
      <c r="M547" s="23"/>
      <c r="N547" s="23"/>
      <c r="O547" s="23"/>
    </row>
    <row r="548" customFormat="false" ht="18.75" hidden="false" customHeight="true" outlineLevel="0" collapsed="false">
      <c r="H548" s="30"/>
      <c r="I548" s="31" t="n">
        <f aca="false">ROUND(SUM(H543:H547),2)</f>
        <v>88.06</v>
      </c>
      <c r="J548" s="32" t="n">
        <v>64</v>
      </c>
      <c r="K548" s="31" t="n">
        <f aca="false">ROUND(I548*J548,2)</f>
        <v>5635.84</v>
      </c>
      <c r="L548" s="33" t="s">
        <v>238</v>
      </c>
      <c r="M548" s="23" t="s">
        <v>123</v>
      </c>
      <c r="N548" s="23" t="s">
        <v>44</v>
      </c>
      <c r="O548" s="23"/>
    </row>
    <row r="549" customFormat="false" ht="15" hidden="false" customHeight="true" outlineLevel="0" collapsed="false">
      <c r="A549" s="3" t="s">
        <v>546</v>
      </c>
      <c r="B549" s="3" t="s">
        <v>117</v>
      </c>
      <c r="C549" s="3" t="s">
        <v>547</v>
      </c>
      <c r="M549" s="23"/>
      <c r="N549" s="23"/>
      <c r="O549" s="23"/>
    </row>
    <row r="550" customFormat="false" ht="12" hidden="false" customHeight="true" outlineLevel="0" collapsed="false">
      <c r="C550" s="26" t="s">
        <v>548</v>
      </c>
      <c r="M550" s="23"/>
      <c r="N550" s="23"/>
      <c r="O550" s="23"/>
    </row>
    <row r="551" customFormat="false" ht="15" hidden="false" customHeight="true" outlineLevel="0" collapsed="false">
      <c r="C551" s="27" t="s">
        <v>276</v>
      </c>
      <c r="D551" s="28" t="n">
        <v>2</v>
      </c>
      <c r="E551" s="28" t="n">
        <v>4.2</v>
      </c>
      <c r="H551" s="29" t="n">
        <f aca="false">IF(COUNT(D551:G551)=0,0,D551*IF(E551="",1,E551)*IF(F551="",1,F551)*IF(G551="",1,G551))</f>
        <v>8.4</v>
      </c>
      <c r="M551" s="23"/>
      <c r="N551" s="23"/>
      <c r="O551" s="23"/>
    </row>
    <row r="552" customFormat="false" ht="15" hidden="false" customHeight="true" outlineLevel="0" collapsed="false">
      <c r="H552" s="30"/>
      <c r="I552" s="31" t="n">
        <f aca="false">ROUND(SUM(H551:H551),2)</f>
        <v>8.4</v>
      </c>
      <c r="J552" s="32" t="n">
        <v>54.61</v>
      </c>
      <c r="K552" s="31" t="n">
        <f aca="false">ROUND(I552*J552,2)</f>
        <v>458.72</v>
      </c>
      <c r="L552" s="33" t="s">
        <v>212</v>
      </c>
      <c r="M552" s="23" t="s">
        <v>123</v>
      </c>
      <c r="N552" s="23" t="s">
        <v>44</v>
      </c>
      <c r="O552" s="23"/>
    </row>
    <row r="553" customFormat="false" ht="15" hidden="false" customHeight="true" outlineLevel="0" collapsed="false">
      <c r="C553" s="34" t="s">
        <v>549</v>
      </c>
      <c r="K553" s="14" t="n">
        <f aca="false">SUMIFS($K$5:$K$552,$M$5:$M$552,"P",$N$5:$N$552,"11")</f>
        <v>28419.03</v>
      </c>
      <c r="M553" s="23"/>
      <c r="N553" s="23"/>
      <c r="O553" s="23"/>
    </row>
    <row r="554" customFormat="false" ht="15" hidden="false" customHeight="true" outlineLevel="0" collapsed="false">
      <c r="M554" s="23"/>
      <c r="N554" s="23"/>
      <c r="O554" s="23"/>
    </row>
    <row r="555" customFormat="false" ht="15" hidden="false" customHeight="true" outlineLevel="0" collapsed="false">
      <c r="A555" s="24" t="s">
        <v>46</v>
      </c>
      <c r="B555" s="25"/>
      <c r="C555" s="24" t="s">
        <v>47</v>
      </c>
      <c r="D555" s="25"/>
      <c r="E555" s="25"/>
      <c r="F555" s="25"/>
      <c r="G555" s="25"/>
      <c r="H555" s="25"/>
      <c r="I555" s="25"/>
      <c r="J555" s="25"/>
      <c r="K555" s="25"/>
      <c r="L555" s="25"/>
      <c r="M555" s="23" t="s">
        <v>115</v>
      </c>
      <c r="N555" s="23" t="s">
        <v>46</v>
      </c>
      <c r="O555" s="23"/>
    </row>
    <row r="556" customFormat="false" ht="15" hidden="false" customHeight="true" outlineLevel="0" collapsed="false">
      <c r="A556" s="3" t="s">
        <v>550</v>
      </c>
      <c r="B556" s="3" t="s">
        <v>129</v>
      </c>
      <c r="C556" s="3" t="s">
        <v>551</v>
      </c>
      <c r="M556" s="23"/>
      <c r="N556" s="23"/>
      <c r="O556" s="23"/>
    </row>
    <row r="557" customFormat="false" ht="24" hidden="false" customHeight="true" outlineLevel="0" collapsed="false">
      <c r="C557" s="26" t="s">
        <v>552</v>
      </c>
      <c r="M557" s="23"/>
      <c r="N557" s="23"/>
      <c r="O557" s="23"/>
    </row>
    <row r="558" customFormat="false" ht="15" hidden="false" customHeight="true" outlineLevel="0" collapsed="false">
      <c r="C558" s="27" t="s">
        <v>304</v>
      </c>
      <c r="D558" s="28" t="n">
        <v>1</v>
      </c>
      <c r="E558" s="36" t="n">
        <f aca="false">'Mediciones BIM'!E41</f>
        <v>8</v>
      </c>
      <c r="H558" s="29" t="n">
        <f aca="false">IF(COUNT(D558:G558)=0,0,D558*IF(E558="",1,E558)*IF(F558="",1,F558)*IF(G558="",1,G558))</f>
        <v>8</v>
      </c>
      <c r="M558" s="23"/>
      <c r="N558" s="23"/>
      <c r="O558" s="23"/>
    </row>
    <row r="559" customFormat="false" ht="15" hidden="false" customHeight="true" outlineLevel="0" collapsed="false">
      <c r="H559" s="30"/>
      <c r="I559" s="31" t="n">
        <f aca="false">ROUND(SUM(H558:H558),2)</f>
        <v>8</v>
      </c>
      <c r="J559" s="32" t="n">
        <v>899.66</v>
      </c>
      <c r="K559" s="31" t="n">
        <f aca="false">ROUND(I559*J559,2)</f>
        <v>7197.28</v>
      </c>
      <c r="L559" s="33" t="s">
        <v>212</v>
      </c>
      <c r="M559" s="23" t="s">
        <v>123</v>
      </c>
      <c r="N559" s="23" t="s">
        <v>46</v>
      </c>
      <c r="O559" s="23"/>
    </row>
    <row r="560" customFormat="false" ht="15" hidden="false" customHeight="true" outlineLevel="0" collapsed="false">
      <c r="A560" s="3" t="s">
        <v>553</v>
      </c>
      <c r="B560" s="3" t="s">
        <v>129</v>
      </c>
      <c r="C560" s="3" t="s">
        <v>554</v>
      </c>
      <c r="M560" s="23"/>
      <c r="N560" s="23"/>
      <c r="O560" s="23"/>
    </row>
    <row r="561" customFormat="false" ht="24" hidden="false" customHeight="true" outlineLevel="0" collapsed="false">
      <c r="C561" s="26" t="s">
        <v>555</v>
      </c>
      <c r="M561" s="23"/>
      <c r="N561" s="23"/>
      <c r="O561" s="23"/>
    </row>
    <row r="562" customFormat="false" ht="15" hidden="false" customHeight="true" outlineLevel="0" collapsed="false">
      <c r="C562" s="27" t="s">
        <v>304</v>
      </c>
      <c r="D562" s="28" t="n">
        <v>1</v>
      </c>
      <c r="E562" s="36" t="n">
        <f aca="false">'Mediciones BIM'!E42</f>
        <v>1</v>
      </c>
      <c r="H562" s="29" t="n">
        <f aca="false">IF(COUNT(D562:G562)=0,0,D562*IF(E562="",1,E562)*IF(F562="",1,F562)*IF(G562="",1,G562))</f>
        <v>1</v>
      </c>
      <c r="M562" s="23"/>
      <c r="N562" s="23"/>
      <c r="O562" s="23"/>
    </row>
    <row r="563" customFormat="false" ht="18.75" hidden="false" customHeight="true" outlineLevel="0" collapsed="false">
      <c r="H563" s="30"/>
      <c r="I563" s="31" t="n">
        <f aca="false">ROUND(SUM(H562:H562),2)</f>
        <v>1</v>
      </c>
      <c r="J563" s="32" t="n">
        <v>1650</v>
      </c>
      <c r="K563" s="31" t="n">
        <f aca="false">ROUND(I563*J563,2)</f>
        <v>1650</v>
      </c>
      <c r="L563" s="33" t="s">
        <v>238</v>
      </c>
      <c r="M563" s="23" t="s">
        <v>123</v>
      </c>
      <c r="N563" s="23" t="s">
        <v>46</v>
      </c>
      <c r="O563" s="23"/>
    </row>
    <row r="564" customFormat="false" ht="15" hidden="false" customHeight="true" outlineLevel="0" collapsed="false">
      <c r="A564" s="3" t="s">
        <v>556</v>
      </c>
      <c r="B564" s="3" t="s">
        <v>129</v>
      </c>
      <c r="C564" s="3" t="s">
        <v>557</v>
      </c>
      <c r="M564" s="23"/>
      <c r="N564" s="23"/>
      <c r="O564" s="23"/>
    </row>
    <row r="565" customFormat="false" ht="36" hidden="false" customHeight="true" outlineLevel="0" collapsed="false">
      <c r="C565" s="26" t="s">
        <v>558</v>
      </c>
      <c r="M565" s="23"/>
      <c r="N565" s="23"/>
      <c r="O565" s="23"/>
    </row>
    <row r="566" customFormat="false" ht="15" hidden="false" customHeight="true" outlineLevel="0" collapsed="false">
      <c r="C566" s="27" t="s">
        <v>304</v>
      </c>
      <c r="D566" s="28" t="n">
        <v>1</v>
      </c>
      <c r="E566" s="36" t="n">
        <f aca="false">'Mediciones BIM'!E43</f>
        <v>1</v>
      </c>
      <c r="H566" s="29" t="n">
        <f aca="false">IF(COUNT(D566:G566)=0,0,D566*IF(E566="",1,E566)*IF(F566="",1,F566)*IF(G566="",1,G566))</f>
        <v>1</v>
      </c>
      <c r="M566" s="23"/>
      <c r="N566" s="23"/>
      <c r="O566" s="23"/>
    </row>
    <row r="567" customFormat="false" ht="18.75" hidden="false" customHeight="true" outlineLevel="0" collapsed="false">
      <c r="H567" s="30"/>
      <c r="I567" s="31" t="n">
        <f aca="false">ROUND(SUM(H566:H566),2)</f>
        <v>1</v>
      </c>
      <c r="J567" s="32" t="n">
        <v>1250</v>
      </c>
      <c r="K567" s="31" t="n">
        <f aca="false">ROUND(I567*J567,2)</f>
        <v>1250</v>
      </c>
      <c r="L567" s="33" t="s">
        <v>238</v>
      </c>
      <c r="M567" s="23" t="s">
        <v>123</v>
      </c>
      <c r="N567" s="23" t="s">
        <v>46</v>
      </c>
      <c r="O567" s="23"/>
    </row>
    <row r="568" customFormat="false" ht="15" hidden="false" customHeight="true" outlineLevel="0" collapsed="false">
      <c r="A568" s="3" t="s">
        <v>559</v>
      </c>
      <c r="B568" s="3" t="s">
        <v>129</v>
      </c>
      <c r="C568" s="3" t="s">
        <v>560</v>
      </c>
      <c r="M568" s="23"/>
      <c r="N568" s="23"/>
      <c r="O568" s="23"/>
    </row>
    <row r="569" customFormat="false" ht="36" hidden="false" customHeight="true" outlineLevel="0" collapsed="false">
      <c r="C569" s="26" t="s">
        <v>561</v>
      </c>
      <c r="M569" s="23"/>
      <c r="N569" s="23"/>
      <c r="O569" s="23"/>
    </row>
    <row r="570" customFormat="false" ht="15" hidden="false" customHeight="true" outlineLevel="0" collapsed="false">
      <c r="C570" s="27" t="s">
        <v>562</v>
      </c>
      <c r="D570" s="28" t="n">
        <v>8</v>
      </c>
      <c r="H570" s="29" t="n">
        <f aca="false">IF(COUNT(D570:G570)=0,0,D570*IF(E570="",1,E570)*IF(F570="",1,F570)*IF(G570="",1,G570))</f>
        <v>8</v>
      </c>
      <c r="M570" s="23"/>
      <c r="N570" s="23"/>
      <c r="O570" s="23"/>
    </row>
    <row r="571" customFormat="false" ht="15" hidden="false" customHeight="true" outlineLevel="0" collapsed="false">
      <c r="H571" s="30"/>
      <c r="I571" s="31" t="n">
        <f aca="false">ROUND(SUM(H570:H570),2)</f>
        <v>8</v>
      </c>
      <c r="J571" s="32" t="n">
        <v>59.18</v>
      </c>
      <c r="K571" s="31" t="n">
        <f aca="false">ROUND(I571*J571,2)</f>
        <v>473.44</v>
      </c>
      <c r="L571" s="33" t="s">
        <v>212</v>
      </c>
      <c r="M571" s="23" t="s">
        <v>123</v>
      </c>
      <c r="N571" s="23" t="s">
        <v>46</v>
      </c>
      <c r="O571" s="23"/>
    </row>
    <row r="572" customFormat="false" ht="15" hidden="false" customHeight="true" outlineLevel="0" collapsed="false">
      <c r="C572" s="34" t="s">
        <v>563</v>
      </c>
      <c r="K572" s="14" t="n">
        <f aca="false">SUMIFS($K$5:$K$571,$M$5:$M$571,"P",$N$5:$N$571,"12")</f>
        <v>10570.72</v>
      </c>
      <c r="M572" s="23"/>
      <c r="N572" s="23"/>
      <c r="O572" s="23"/>
    </row>
    <row r="573" customFormat="false" ht="15" hidden="false" customHeight="true" outlineLevel="0" collapsed="false">
      <c r="M573" s="23"/>
      <c r="N573" s="23"/>
      <c r="O573" s="23"/>
    </row>
    <row r="574" customFormat="false" ht="15" hidden="false" customHeight="true" outlineLevel="0" collapsed="false">
      <c r="A574" s="24" t="s">
        <v>48</v>
      </c>
      <c r="B574" s="25"/>
      <c r="C574" s="24" t="s">
        <v>49</v>
      </c>
      <c r="D574" s="25"/>
      <c r="E574" s="25"/>
      <c r="F574" s="25"/>
      <c r="G574" s="25"/>
      <c r="H574" s="25"/>
      <c r="I574" s="25"/>
      <c r="J574" s="25"/>
      <c r="K574" s="25"/>
      <c r="L574" s="25"/>
      <c r="M574" s="23" t="s">
        <v>115</v>
      </c>
      <c r="N574" s="23" t="s">
        <v>48</v>
      </c>
      <c r="O574" s="23"/>
    </row>
    <row r="575" customFormat="false" ht="15" hidden="false" customHeight="true" outlineLevel="0" collapsed="false">
      <c r="A575" s="3" t="s">
        <v>564</v>
      </c>
      <c r="B575" s="3" t="s">
        <v>129</v>
      </c>
      <c r="C575" s="3" t="s">
        <v>565</v>
      </c>
      <c r="M575" s="23"/>
      <c r="N575" s="23"/>
      <c r="O575" s="23"/>
    </row>
    <row r="576" customFormat="false" ht="60" hidden="false" customHeight="true" outlineLevel="0" collapsed="false">
      <c r="C576" s="26" t="s">
        <v>566</v>
      </c>
      <c r="M576" s="23"/>
      <c r="N576" s="23"/>
      <c r="O576" s="23"/>
    </row>
    <row r="577" customFormat="false" ht="15" hidden="false" customHeight="true" outlineLevel="0" collapsed="false">
      <c r="C577" s="27" t="s">
        <v>304</v>
      </c>
      <c r="D577" s="28" t="n">
        <v>1</v>
      </c>
      <c r="E577" s="36" t="n">
        <f aca="false">'Mediciones BIM'!E44</f>
        <v>4</v>
      </c>
      <c r="H577" s="29" t="n">
        <f aca="false">IF(COUNT(D577:G577)=0,0,D577*IF(E577="",1,E577)*IF(F577="",1,F577)*IF(G577="",1,G577))</f>
        <v>4</v>
      </c>
      <c r="M577" s="23"/>
      <c r="N577" s="23"/>
      <c r="O577" s="23"/>
    </row>
    <row r="578" customFormat="false" ht="18.75" hidden="false" customHeight="true" outlineLevel="0" collapsed="false">
      <c r="H578" s="30"/>
      <c r="I578" s="31" t="n">
        <f aca="false">ROUND(SUM(H577:H577),2)</f>
        <v>4</v>
      </c>
      <c r="J578" s="32" t="n">
        <v>1809.53</v>
      </c>
      <c r="K578" s="31" t="n">
        <f aca="false">ROUND(I578*J578,2)</f>
        <v>7238.12</v>
      </c>
      <c r="L578" s="33" t="s">
        <v>238</v>
      </c>
      <c r="M578" s="23" t="s">
        <v>123</v>
      </c>
      <c r="N578" s="23" t="s">
        <v>48</v>
      </c>
      <c r="O578" s="23"/>
    </row>
    <row r="579" customFormat="false" ht="15" hidden="false" customHeight="true" outlineLevel="0" collapsed="false">
      <c r="A579" s="3" t="s">
        <v>567</v>
      </c>
      <c r="B579" s="3" t="s">
        <v>129</v>
      </c>
      <c r="C579" s="3" t="s">
        <v>568</v>
      </c>
      <c r="M579" s="23"/>
      <c r="N579" s="23"/>
      <c r="O579" s="23"/>
    </row>
    <row r="580" customFormat="false" ht="60" hidden="false" customHeight="true" outlineLevel="0" collapsed="false">
      <c r="C580" s="26" t="s">
        <v>569</v>
      </c>
      <c r="M580" s="23"/>
      <c r="N580" s="23"/>
      <c r="O580" s="23"/>
    </row>
    <row r="581" customFormat="false" ht="15" hidden="false" customHeight="true" outlineLevel="0" collapsed="false">
      <c r="C581" s="27" t="s">
        <v>304</v>
      </c>
      <c r="D581" s="28" t="n">
        <v>1</v>
      </c>
      <c r="E581" s="36" t="n">
        <f aca="false">'Mediciones BIM'!E45</f>
        <v>3</v>
      </c>
      <c r="H581" s="29" t="n">
        <f aca="false">IF(COUNT(D581:G581)=0,0,D581*IF(E581="",1,E581)*IF(F581="",1,F581)*IF(G581="",1,G581))</f>
        <v>3</v>
      </c>
      <c r="M581" s="23"/>
      <c r="N581" s="23"/>
      <c r="O581" s="23"/>
    </row>
    <row r="582" customFormat="false" ht="18.75" hidden="false" customHeight="true" outlineLevel="0" collapsed="false">
      <c r="H582" s="30"/>
      <c r="I582" s="31" t="n">
        <f aca="false">ROUND(SUM(H581:H581),2)</f>
        <v>3</v>
      </c>
      <c r="J582" s="32" t="n">
        <v>2097.6</v>
      </c>
      <c r="K582" s="31" t="n">
        <f aca="false">ROUND(I582*J582,2)</f>
        <v>6292.8</v>
      </c>
      <c r="L582" s="33" t="s">
        <v>238</v>
      </c>
      <c r="M582" s="23" t="s">
        <v>123</v>
      </c>
      <c r="N582" s="23" t="s">
        <v>48</v>
      </c>
      <c r="O582" s="23"/>
    </row>
    <row r="583" customFormat="false" ht="15" hidden="false" customHeight="true" outlineLevel="0" collapsed="false">
      <c r="A583" s="3" t="s">
        <v>570</v>
      </c>
      <c r="B583" s="3" t="s">
        <v>129</v>
      </c>
      <c r="C583" s="3" t="s">
        <v>571</v>
      </c>
      <c r="M583" s="23"/>
      <c r="N583" s="23"/>
      <c r="O583" s="23"/>
    </row>
    <row r="584" customFormat="false" ht="60" hidden="false" customHeight="true" outlineLevel="0" collapsed="false">
      <c r="C584" s="26" t="s">
        <v>572</v>
      </c>
      <c r="M584" s="23"/>
      <c r="N584" s="23"/>
      <c r="O584" s="23"/>
    </row>
    <row r="585" customFormat="false" ht="15" hidden="false" customHeight="true" outlineLevel="0" collapsed="false">
      <c r="C585" s="27" t="s">
        <v>304</v>
      </c>
      <c r="D585" s="28" t="n">
        <v>1</v>
      </c>
      <c r="E585" s="36" t="n">
        <f aca="false">'Mediciones BIM'!E46</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631.56</v>
      </c>
      <c r="K586" s="31" t="n">
        <f aca="false">ROUND(I586*J586,2)</f>
        <v>631.56</v>
      </c>
      <c r="L586" s="33" t="s">
        <v>238</v>
      </c>
      <c r="M586" s="23" t="s">
        <v>123</v>
      </c>
      <c r="N586" s="23" t="s">
        <v>48</v>
      </c>
      <c r="O586" s="23"/>
    </row>
    <row r="587" customFormat="false" ht="15" hidden="false" customHeight="true" outlineLevel="0" collapsed="false">
      <c r="A587" s="3" t="s">
        <v>573</v>
      </c>
      <c r="B587" s="3" t="s">
        <v>129</v>
      </c>
      <c r="C587" s="3" t="s">
        <v>574</v>
      </c>
      <c r="M587" s="23"/>
      <c r="N587" s="23"/>
      <c r="O587" s="23"/>
    </row>
    <row r="588" customFormat="false" ht="60" hidden="false" customHeight="true" outlineLevel="0" collapsed="false">
      <c r="C588" s="26" t="s">
        <v>575</v>
      </c>
      <c r="M588" s="23"/>
      <c r="N588" s="23"/>
      <c r="O588" s="23"/>
    </row>
    <row r="589" customFormat="false" ht="15" hidden="false" customHeight="true" outlineLevel="0" collapsed="false">
      <c r="C589" s="27" t="s">
        <v>304</v>
      </c>
      <c r="D589" s="28" t="n">
        <v>1</v>
      </c>
      <c r="E589" s="36" t="n">
        <f aca="false">'Mediciones BIM'!E47</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3281.6</v>
      </c>
      <c r="K590" s="31" t="n">
        <f aca="false">ROUND(I590*J590,2)</f>
        <v>6563.2</v>
      </c>
      <c r="L590" s="33" t="s">
        <v>238</v>
      </c>
      <c r="M590" s="23" t="s">
        <v>123</v>
      </c>
      <c r="N590" s="23" t="s">
        <v>48</v>
      </c>
      <c r="O590" s="23"/>
    </row>
    <row r="591" customFormat="false" ht="15" hidden="false" customHeight="true" outlineLevel="0" collapsed="false">
      <c r="A591" s="3" t="s">
        <v>576</v>
      </c>
      <c r="B591" s="3" t="s">
        <v>129</v>
      </c>
      <c r="C591" s="3" t="s">
        <v>577</v>
      </c>
      <c r="M591" s="23"/>
      <c r="N591" s="23"/>
      <c r="O591" s="23"/>
    </row>
    <row r="592" customFormat="false" ht="60" hidden="false" customHeight="true" outlineLevel="0" collapsed="false">
      <c r="C592" s="26" t="s">
        <v>578</v>
      </c>
      <c r="M592" s="23"/>
      <c r="N592" s="23"/>
      <c r="O592" s="23"/>
    </row>
    <row r="593" customFormat="false" ht="15" hidden="false" customHeight="true" outlineLevel="0" collapsed="false">
      <c r="C593" s="27" t="s">
        <v>304</v>
      </c>
      <c r="D593" s="28" t="n">
        <v>1</v>
      </c>
      <c r="E593" s="36" t="n">
        <f aca="false">'Mediciones BIM'!E48</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3528</v>
      </c>
      <c r="K594" s="31" t="n">
        <f aca="false">ROUND(I594*J594,2)</f>
        <v>3528</v>
      </c>
      <c r="L594" s="33" t="s">
        <v>238</v>
      </c>
      <c r="M594" s="23" t="s">
        <v>123</v>
      </c>
      <c r="N594" s="23" t="s">
        <v>48</v>
      </c>
      <c r="O594" s="23"/>
    </row>
    <row r="595" customFormat="false" ht="15" hidden="false" customHeight="true" outlineLevel="0" collapsed="false">
      <c r="A595" s="3" t="s">
        <v>579</v>
      </c>
      <c r="B595" s="3" t="s">
        <v>129</v>
      </c>
      <c r="C595" s="3" t="s">
        <v>580</v>
      </c>
      <c r="M595" s="23"/>
      <c r="N595" s="23"/>
      <c r="O595" s="23"/>
    </row>
    <row r="596" customFormat="false" ht="60" hidden="false" customHeight="true" outlineLevel="0" collapsed="false">
      <c r="C596" s="26" t="s">
        <v>581</v>
      </c>
      <c r="M596" s="23"/>
      <c r="N596" s="23"/>
      <c r="O596" s="23"/>
    </row>
    <row r="597" customFormat="false" ht="15" hidden="false" customHeight="true" outlineLevel="0" collapsed="false">
      <c r="C597" s="27" t="s">
        <v>304</v>
      </c>
      <c r="D597" s="28" t="n">
        <v>1</v>
      </c>
      <c r="E597" s="36" t="n">
        <f aca="false">'Mediciones BIM'!E49</f>
        <v>2</v>
      </c>
      <c r="H597" s="29" t="n">
        <f aca="false">IF(COUNT(D597:G597)=0,0,D597*IF(E597="",1,E597)*IF(F597="",1,F597)*IF(G597="",1,G597))</f>
        <v>2</v>
      </c>
      <c r="M597" s="23"/>
      <c r="N597" s="23"/>
      <c r="O597" s="23"/>
    </row>
    <row r="598" customFormat="false" ht="18.75" hidden="false" customHeight="true" outlineLevel="0" collapsed="false">
      <c r="H598" s="30"/>
      <c r="I598" s="31" t="n">
        <f aca="false">ROUND(SUM(H597:H597),2)</f>
        <v>2</v>
      </c>
      <c r="J598" s="32" t="n">
        <v>483.41</v>
      </c>
      <c r="K598" s="31" t="n">
        <f aca="false">ROUND(I598*J598,2)</f>
        <v>966.82</v>
      </c>
      <c r="L598" s="33" t="s">
        <v>238</v>
      </c>
      <c r="M598" s="23" t="s">
        <v>123</v>
      </c>
      <c r="N598" s="23" t="s">
        <v>48</v>
      </c>
      <c r="O598" s="23"/>
    </row>
    <row r="599" customFormat="false" ht="15" hidden="false" customHeight="true" outlineLevel="0" collapsed="false">
      <c r="A599" s="3" t="s">
        <v>582</v>
      </c>
      <c r="B599" s="3" t="s">
        <v>129</v>
      </c>
      <c r="C599" s="3" t="s">
        <v>583</v>
      </c>
      <c r="M599" s="23"/>
      <c r="N599" s="23"/>
      <c r="O599" s="23"/>
    </row>
    <row r="600" customFormat="false" ht="60" hidden="false" customHeight="true" outlineLevel="0" collapsed="false">
      <c r="C600" s="26" t="s">
        <v>584</v>
      </c>
      <c r="M600" s="23"/>
      <c r="N600" s="23"/>
      <c r="O600" s="23"/>
    </row>
    <row r="601" customFormat="false" ht="15" hidden="false" customHeight="true" outlineLevel="0" collapsed="false">
      <c r="C601" s="27" t="s">
        <v>304</v>
      </c>
      <c r="D601" s="28" t="n">
        <v>1</v>
      </c>
      <c r="E601" s="36" t="n">
        <f aca="false">'Mediciones BIM'!E50</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545.79</v>
      </c>
      <c r="K602" s="31" t="n">
        <f aca="false">ROUND(I602*J602,2)</f>
        <v>545.79</v>
      </c>
      <c r="L602" s="33" t="s">
        <v>238</v>
      </c>
      <c r="M602" s="23" t="s">
        <v>123</v>
      </c>
      <c r="N602" s="23" t="s">
        <v>48</v>
      </c>
      <c r="O602" s="23"/>
    </row>
    <row r="603" customFormat="false" ht="15" hidden="false" customHeight="true" outlineLevel="0" collapsed="false">
      <c r="A603" s="3" t="s">
        <v>585</v>
      </c>
      <c r="B603" s="3" t="s">
        <v>129</v>
      </c>
      <c r="C603" s="3" t="s">
        <v>586</v>
      </c>
      <c r="M603" s="23"/>
      <c r="N603" s="23"/>
      <c r="O603" s="23"/>
    </row>
    <row r="604" customFormat="false" ht="60" hidden="false" customHeight="true" outlineLevel="0" collapsed="false">
      <c r="C604" s="26" t="s">
        <v>587</v>
      </c>
      <c r="M604" s="23"/>
      <c r="N604" s="23"/>
      <c r="O604" s="23"/>
    </row>
    <row r="605" customFormat="false" ht="15" hidden="false" customHeight="true" outlineLevel="0" collapsed="false">
      <c r="C605" s="27" t="s">
        <v>304</v>
      </c>
      <c r="D605" s="28" t="n">
        <v>1</v>
      </c>
      <c r="E605" s="36" t="n">
        <f aca="false">'Mediciones BIM'!E51</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1787.1</v>
      </c>
      <c r="K606" s="31" t="n">
        <f aca="false">ROUND(I606*J606,2)</f>
        <v>1787.1</v>
      </c>
      <c r="L606" s="33" t="s">
        <v>238</v>
      </c>
      <c r="M606" s="23" t="s">
        <v>123</v>
      </c>
      <c r="N606" s="23" t="s">
        <v>48</v>
      </c>
      <c r="O606" s="23"/>
    </row>
    <row r="607" customFormat="false" ht="15" hidden="false" customHeight="true" outlineLevel="0" collapsed="false">
      <c r="A607" s="3" t="s">
        <v>588</v>
      </c>
      <c r="B607" s="3" t="s">
        <v>129</v>
      </c>
      <c r="C607" s="3" t="s">
        <v>589</v>
      </c>
      <c r="M607" s="23"/>
      <c r="N607" s="23"/>
      <c r="O607" s="23"/>
    </row>
    <row r="608" customFormat="false" ht="60" hidden="false" customHeight="true" outlineLevel="0" collapsed="false">
      <c r="C608" s="26" t="s">
        <v>590</v>
      </c>
      <c r="M608" s="23"/>
      <c r="N608" s="23"/>
      <c r="O608" s="23"/>
    </row>
    <row r="609" customFormat="false" ht="15" hidden="false" customHeight="true" outlineLevel="0" collapsed="false">
      <c r="C609" s="27" t="s">
        <v>304</v>
      </c>
      <c r="D609" s="28" t="n">
        <v>1</v>
      </c>
      <c r="E609" s="36" t="n">
        <f aca="false">'Mediciones BIM'!E52</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4092</v>
      </c>
      <c r="K610" s="31" t="n">
        <f aca="false">ROUND(I610*J610,2)</f>
        <v>4092</v>
      </c>
      <c r="L610" s="33" t="s">
        <v>238</v>
      </c>
      <c r="M610" s="23" t="s">
        <v>123</v>
      </c>
      <c r="N610" s="23" t="s">
        <v>48</v>
      </c>
      <c r="O610" s="23"/>
    </row>
    <row r="611" customFormat="false" ht="15" hidden="false" customHeight="true" outlineLevel="0" collapsed="false">
      <c r="A611" s="3" t="s">
        <v>591</v>
      </c>
      <c r="B611" s="3" t="s">
        <v>129</v>
      </c>
      <c r="C611" s="3" t="s">
        <v>592</v>
      </c>
      <c r="M611" s="23"/>
      <c r="N611" s="23"/>
      <c r="O611" s="23"/>
    </row>
    <row r="612" customFormat="false" ht="60" hidden="false" customHeight="true" outlineLevel="0" collapsed="false">
      <c r="C612" s="26" t="s">
        <v>593</v>
      </c>
      <c r="M612" s="23"/>
      <c r="N612" s="23"/>
      <c r="O612" s="23"/>
    </row>
    <row r="613" customFormat="false" ht="15" hidden="false" customHeight="true" outlineLevel="0" collapsed="false">
      <c r="C613" s="27" t="s">
        <v>304</v>
      </c>
      <c r="D613" s="28" t="n">
        <v>1</v>
      </c>
      <c r="E613" s="36" t="n">
        <f aca="false">'Mediciones BIM'!E53</f>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2660</v>
      </c>
      <c r="K614" s="31" t="n">
        <f aca="false">ROUND(I614*J614,2)</f>
        <v>2660</v>
      </c>
      <c r="L614" s="33" t="s">
        <v>238</v>
      </c>
      <c r="M614" s="23" t="s">
        <v>123</v>
      </c>
      <c r="N614" s="23" t="s">
        <v>48</v>
      </c>
      <c r="O614" s="23"/>
    </row>
    <row r="615" customFormat="false" ht="15" hidden="false" customHeight="true" outlineLevel="0" collapsed="false">
      <c r="A615" s="3" t="s">
        <v>594</v>
      </c>
      <c r="B615" s="3" t="s">
        <v>129</v>
      </c>
      <c r="C615" s="3" t="s">
        <v>595</v>
      </c>
      <c r="M615" s="23"/>
      <c r="N615" s="23"/>
      <c r="O615" s="23"/>
    </row>
    <row r="616" customFormat="false" ht="60" hidden="false" customHeight="true" outlineLevel="0" collapsed="false">
      <c r="C616" s="26" t="s">
        <v>596</v>
      </c>
      <c r="M616" s="23"/>
      <c r="N616" s="23"/>
      <c r="O616" s="23"/>
    </row>
    <row r="617" customFormat="false" ht="15" hidden="false" customHeight="true" outlineLevel="0" collapsed="false">
      <c r="C617" s="27" t="s">
        <v>304</v>
      </c>
      <c r="D617" s="28" t="n">
        <v>1</v>
      </c>
      <c r="E617" s="36" t="n">
        <f aca="false">'Mediciones BIM'!E54</f>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1428.3</v>
      </c>
      <c r="K618" s="31" t="n">
        <f aca="false">ROUND(I618*J618,2)</f>
        <v>1428.3</v>
      </c>
      <c r="L618" s="33" t="s">
        <v>238</v>
      </c>
      <c r="M618" s="23" t="s">
        <v>123</v>
      </c>
      <c r="N618" s="23" t="s">
        <v>48</v>
      </c>
      <c r="O618" s="23"/>
    </row>
    <row r="619" customFormat="false" ht="15" hidden="false" customHeight="true" outlineLevel="0" collapsed="false">
      <c r="A619" s="3" t="s">
        <v>597</v>
      </c>
      <c r="B619" s="3" t="s">
        <v>129</v>
      </c>
      <c r="C619" s="3" t="s">
        <v>598</v>
      </c>
      <c r="M619" s="23"/>
      <c r="N619" s="23"/>
      <c r="O619" s="23"/>
    </row>
    <row r="620" customFormat="false" ht="24" hidden="false" customHeight="true" outlineLevel="0" collapsed="false">
      <c r="C620" s="26" t="s">
        <v>599</v>
      </c>
      <c r="M620" s="23"/>
      <c r="N620" s="23"/>
      <c r="O620" s="23"/>
    </row>
    <row r="621" customFormat="false" ht="15" hidden="false" customHeight="true" outlineLevel="0" collapsed="false">
      <c r="C621" s="27" t="s">
        <v>600</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2300</v>
      </c>
      <c r="K622" s="31" t="n">
        <f aca="false">ROUND(I622*J622,2)</f>
        <v>2300</v>
      </c>
      <c r="L622" s="33" t="s">
        <v>238</v>
      </c>
      <c r="M622" s="23" t="s">
        <v>123</v>
      </c>
      <c r="N622" s="23" t="s">
        <v>48</v>
      </c>
      <c r="O622" s="23"/>
    </row>
    <row r="623" customFormat="false" ht="15" hidden="false" customHeight="true" outlineLevel="0" collapsed="false">
      <c r="A623" s="3" t="s">
        <v>601</v>
      </c>
      <c r="B623" s="3" t="s">
        <v>129</v>
      </c>
      <c r="C623" s="3" t="s">
        <v>602</v>
      </c>
      <c r="M623" s="23"/>
      <c r="N623" s="23"/>
      <c r="O623" s="23"/>
    </row>
    <row r="624" customFormat="false" ht="24" hidden="false" customHeight="true" outlineLevel="0" collapsed="false">
      <c r="C624" s="26" t="s">
        <v>603</v>
      </c>
      <c r="M624" s="23"/>
      <c r="N624" s="23"/>
      <c r="O624" s="23"/>
    </row>
    <row r="625" customFormat="false" ht="15" hidden="false" customHeight="true" outlineLevel="0" collapsed="false">
      <c r="C625" s="27" t="s">
        <v>389</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3500</v>
      </c>
      <c r="K626" s="31" t="n">
        <f aca="false">ROUND(I626*J626,2)</f>
        <v>3500</v>
      </c>
      <c r="L626" s="33" t="s">
        <v>238</v>
      </c>
      <c r="M626" s="23" t="s">
        <v>123</v>
      </c>
      <c r="N626" s="23" t="s">
        <v>48</v>
      </c>
      <c r="O626" s="23"/>
    </row>
    <row r="627" customFormat="false" ht="15" hidden="false" customHeight="true" outlineLevel="0" collapsed="false">
      <c r="A627" s="3" t="s">
        <v>604</v>
      </c>
      <c r="B627" s="3" t="s">
        <v>129</v>
      </c>
      <c r="C627" s="3" t="s">
        <v>605</v>
      </c>
      <c r="M627" s="23"/>
      <c r="N627" s="23"/>
      <c r="O627" s="23"/>
    </row>
    <row r="628" customFormat="false" ht="36" hidden="false" customHeight="true" outlineLevel="0" collapsed="false">
      <c r="C628" s="26" t="s">
        <v>606</v>
      </c>
      <c r="M628" s="23"/>
      <c r="N628" s="23"/>
      <c r="O628" s="23"/>
    </row>
    <row r="629" customFormat="false" ht="15" hidden="false" customHeight="true" outlineLevel="0" collapsed="false">
      <c r="C629" s="27" t="s">
        <v>390</v>
      </c>
      <c r="D629" s="28" t="n">
        <v>1</v>
      </c>
      <c r="H629" s="29" t="n">
        <f aca="false">IF(COUNT(D629:G629)=0,0,D629*IF(E629="",1,E629)*IF(F629="",1,F629)*IF(G629="",1,G629))</f>
        <v>1</v>
      </c>
      <c r="M629" s="23"/>
      <c r="N629" s="23"/>
      <c r="O629" s="23"/>
    </row>
    <row r="630" customFormat="false" ht="18.75" hidden="false" customHeight="true" outlineLevel="0" collapsed="false">
      <c r="H630" s="30"/>
      <c r="I630" s="31" t="n">
        <f aca="false">ROUND(SUM(H629:H629),2)</f>
        <v>1</v>
      </c>
      <c r="J630" s="32" t="n">
        <v>6900</v>
      </c>
      <c r="K630" s="31" t="n">
        <f aca="false">ROUND(I630*J630,2)</f>
        <v>6900</v>
      </c>
      <c r="L630" s="33" t="s">
        <v>238</v>
      </c>
      <c r="M630" s="23" t="s">
        <v>123</v>
      </c>
      <c r="N630" s="23" t="s">
        <v>48</v>
      </c>
      <c r="O630" s="23"/>
    </row>
    <row r="631" customFormat="false" ht="15" hidden="false" customHeight="true" outlineLevel="0" collapsed="false">
      <c r="A631" s="3" t="s">
        <v>607</v>
      </c>
      <c r="B631" s="3" t="s">
        <v>129</v>
      </c>
      <c r="C631" s="3" t="s">
        <v>608</v>
      </c>
      <c r="M631" s="23"/>
      <c r="N631" s="23"/>
      <c r="O631" s="23"/>
    </row>
    <row r="632" customFormat="false" ht="36" hidden="false" customHeight="true" outlineLevel="0" collapsed="false">
      <c r="C632" s="26" t="s">
        <v>609</v>
      </c>
      <c r="M632" s="23"/>
      <c r="N632" s="23"/>
      <c r="O632" s="23"/>
    </row>
    <row r="633" customFormat="false" ht="15" hidden="false" customHeight="true" outlineLevel="0" collapsed="false">
      <c r="C633" s="27" t="s">
        <v>371</v>
      </c>
      <c r="D633" s="28" t="n">
        <v>1</v>
      </c>
      <c r="H633" s="29" t="n">
        <f aca="false">IF(COUNT(D633:G633)=0,0,D633*IF(E633="",1,E633)*IF(F633="",1,F633)*IF(G633="",1,G633))</f>
        <v>1</v>
      </c>
      <c r="M633" s="23"/>
      <c r="N633" s="23"/>
      <c r="O633" s="23"/>
    </row>
    <row r="634" customFormat="false" ht="18.75" hidden="false" customHeight="true" outlineLevel="0" collapsed="false">
      <c r="H634" s="30"/>
      <c r="I634" s="31" t="n">
        <f aca="false">ROUND(SUM(H633:H633),2)</f>
        <v>1</v>
      </c>
      <c r="J634" s="32" t="n">
        <v>2888.55</v>
      </c>
      <c r="K634" s="31" t="n">
        <f aca="false">ROUND(I634*J634,2)</f>
        <v>2888.55</v>
      </c>
      <c r="L634" s="33" t="s">
        <v>610</v>
      </c>
      <c r="M634" s="23" t="s">
        <v>123</v>
      </c>
      <c r="N634" s="23" t="s">
        <v>48</v>
      </c>
      <c r="O634" s="23"/>
    </row>
    <row r="635" customFormat="false" ht="15" hidden="false" customHeight="true" outlineLevel="0" collapsed="false">
      <c r="A635" s="3" t="s">
        <v>611</v>
      </c>
      <c r="B635" s="3" t="s">
        <v>140</v>
      </c>
      <c r="C635" s="3" t="s">
        <v>612</v>
      </c>
      <c r="M635" s="23"/>
      <c r="N635" s="23"/>
      <c r="O635" s="23"/>
    </row>
    <row r="636" customFormat="false" ht="60" hidden="false" customHeight="true" outlineLevel="0" collapsed="false">
      <c r="C636" s="26" t="s">
        <v>613</v>
      </c>
      <c r="M636" s="23"/>
      <c r="N636" s="23"/>
      <c r="O636" s="23"/>
    </row>
    <row r="637" customFormat="false" ht="15" hidden="false" customHeight="true" outlineLevel="0" collapsed="false">
      <c r="C637" s="27" t="s">
        <v>614</v>
      </c>
      <c r="D637" s="28" t="n">
        <v>1</v>
      </c>
      <c r="E637" s="28" t="n">
        <v>12</v>
      </c>
      <c r="H637" s="29" t="n">
        <f aca="false">IF(COUNT(D637:G637)=0,0,D637*IF(E637="",1,E637)*IF(F637="",1,F637)*IF(G637="",1,G637))</f>
        <v>12</v>
      </c>
      <c r="M637" s="23"/>
      <c r="N637" s="23"/>
      <c r="O637" s="23"/>
    </row>
    <row r="638" customFormat="false" ht="15" hidden="false" customHeight="true" outlineLevel="0" collapsed="false">
      <c r="C638" s="27" t="s">
        <v>615</v>
      </c>
      <c r="D638" s="28" t="n">
        <v>1</v>
      </c>
      <c r="E638" s="28" t="n">
        <v>9</v>
      </c>
      <c r="H638" s="29" t="n">
        <f aca="false">IF(COUNT(D638:G638)=0,0,D638*IF(E638="",1,E638)*IF(F638="",1,F638)*IF(G638="",1,G638))</f>
        <v>9</v>
      </c>
      <c r="M638" s="23"/>
      <c r="N638" s="23"/>
      <c r="O638" s="23"/>
    </row>
    <row r="639" customFormat="false" ht="15" hidden="false" customHeight="true" outlineLevel="0" collapsed="false">
      <c r="H639" s="30"/>
      <c r="I639" s="31" t="n">
        <f aca="false">ROUND(SUM(H637:H638),2)</f>
        <v>21</v>
      </c>
      <c r="J639" s="32" t="n">
        <v>59.37</v>
      </c>
      <c r="K639" s="31" t="n">
        <f aca="false">ROUND(I639*J639,2)</f>
        <v>1246.77</v>
      </c>
      <c r="L639" s="33" t="s">
        <v>212</v>
      </c>
      <c r="M639" s="23" t="s">
        <v>123</v>
      </c>
      <c r="N639" s="23" t="s">
        <v>48</v>
      </c>
      <c r="O639" s="23"/>
    </row>
    <row r="640" customFormat="false" ht="15" hidden="false" customHeight="true" outlineLevel="0" collapsed="false">
      <c r="C640" s="34" t="s">
        <v>616</v>
      </c>
      <c r="K640" s="14" t="n">
        <f aca="false">SUMIFS($K$5:$K$639,$M$5:$M$639,"P",$N$5:$N$639,"13")</f>
        <v>52569.01</v>
      </c>
      <c r="M640" s="23"/>
      <c r="N640" s="23"/>
      <c r="O640" s="23"/>
    </row>
    <row r="641" customFormat="false" ht="15" hidden="false" customHeight="true" outlineLevel="0" collapsed="false">
      <c r="M641" s="23"/>
      <c r="N641" s="23"/>
      <c r="O641" s="23"/>
    </row>
    <row r="642" customFormat="false" ht="15" hidden="false" customHeight="true" outlineLevel="0" collapsed="false">
      <c r="A642" s="24" t="s">
        <v>50</v>
      </c>
      <c r="B642" s="25"/>
      <c r="C642" s="24" t="s">
        <v>51</v>
      </c>
      <c r="D642" s="25"/>
      <c r="E642" s="25"/>
      <c r="F642" s="25"/>
      <c r="G642" s="25"/>
      <c r="H642" s="25"/>
      <c r="I642" s="25"/>
      <c r="J642" s="25"/>
      <c r="K642" s="25"/>
      <c r="L642" s="25"/>
      <c r="M642" s="23" t="s">
        <v>115</v>
      </c>
      <c r="N642" s="23" t="s">
        <v>50</v>
      </c>
      <c r="O642" s="23"/>
    </row>
    <row r="643" customFormat="false" ht="15" hidden="false" customHeight="true" outlineLevel="0" collapsed="false">
      <c r="A643" s="3" t="s">
        <v>617</v>
      </c>
      <c r="B643" s="3" t="s">
        <v>117</v>
      </c>
      <c r="C643" s="3" t="s">
        <v>618</v>
      </c>
      <c r="M643" s="23"/>
      <c r="N643" s="23"/>
      <c r="O643" s="23"/>
    </row>
    <row r="644" customFormat="false" ht="24" hidden="false" customHeight="true" outlineLevel="0" collapsed="false">
      <c r="C644" s="26" t="s">
        <v>619</v>
      </c>
      <c r="M644" s="23"/>
      <c r="N644" s="23"/>
      <c r="O644" s="23"/>
    </row>
    <row r="645" customFormat="false" ht="15" hidden="false" customHeight="true" outlineLevel="0" collapsed="false">
      <c r="C645" s="27" t="s">
        <v>387</v>
      </c>
      <c r="D645" s="28" t="n">
        <v>1</v>
      </c>
      <c r="E645" s="28" t="n">
        <v>10.49</v>
      </c>
      <c r="H645" s="29" t="n">
        <f aca="false">IF(COUNT(D645:G645)=0,0,D645*IF(E645="",1,E645)*IF(F645="",1,F645)*IF(G645="",1,G645))</f>
        <v>10.49</v>
      </c>
      <c r="M645" s="23"/>
      <c r="N645" s="23"/>
      <c r="O645" s="23"/>
    </row>
    <row r="646" customFormat="false" ht="15" hidden="false" customHeight="true" outlineLevel="0" collapsed="false">
      <c r="C646" s="27" t="s">
        <v>388</v>
      </c>
      <c r="D646" s="28" t="n">
        <v>1</v>
      </c>
      <c r="E646" s="28" t="n">
        <v>9.12</v>
      </c>
      <c r="H646" s="29" t="n">
        <f aca="false">IF(COUNT(D646:G646)=0,0,D646*IF(E646="",1,E646)*IF(F646="",1,F646)*IF(G646="",1,G646))</f>
        <v>9.12</v>
      </c>
      <c r="M646" s="23"/>
      <c r="N646" s="23"/>
      <c r="O646" s="23"/>
    </row>
    <row r="647" customFormat="false" ht="18.75" hidden="false" customHeight="true" outlineLevel="0" collapsed="false">
      <c r="H647" s="30"/>
      <c r="I647" s="31" t="n">
        <f aca="false">ROUND(SUM(H645:H646),2)</f>
        <v>19.61</v>
      </c>
      <c r="J647" s="32" t="n">
        <v>430</v>
      </c>
      <c r="K647" s="31" t="n">
        <f aca="false">ROUND(I647*J647,2)</f>
        <v>8432.3</v>
      </c>
      <c r="L647" s="33" t="s">
        <v>238</v>
      </c>
      <c r="M647" s="23" t="s">
        <v>123</v>
      </c>
      <c r="N647" s="23" t="s">
        <v>50</v>
      </c>
      <c r="O647" s="23"/>
    </row>
    <row r="648" customFormat="false" ht="15" hidden="false" customHeight="true" outlineLevel="0" collapsed="false">
      <c r="A648" s="3" t="s">
        <v>620</v>
      </c>
      <c r="B648" s="3" t="s">
        <v>129</v>
      </c>
      <c r="C648" s="3" t="s">
        <v>621</v>
      </c>
      <c r="M648" s="23"/>
      <c r="N648" s="23"/>
      <c r="O648" s="23"/>
    </row>
    <row r="649" customFormat="false" ht="24" hidden="false" customHeight="true" outlineLevel="0" collapsed="false">
      <c r="C649" s="26" t="s">
        <v>622</v>
      </c>
      <c r="M649" s="23"/>
      <c r="N649" s="23"/>
      <c r="O649" s="23"/>
    </row>
    <row r="650" customFormat="false" ht="15" hidden="false" customHeight="true" outlineLevel="0" collapsed="false">
      <c r="C650" s="27" t="s">
        <v>623</v>
      </c>
      <c r="D650" s="28" t="n">
        <v>1</v>
      </c>
      <c r="H650" s="29" t="n">
        <f aca="false">IF(COUNT(D650:G650)=0,0,D650*IF(E650="",1,E650)*IF(F650="",1,F650)*IF(G650="",1,G650))</f>
        <v>1</v>
      </c>
      <c r="M650" s="23"/>
      <c r="N650" s="23"/>
      <c r="O650" s="23"/>
    </row>
    <row r="651" customFormat="false" ht="15" hidden="false" customHeight="true" outlineLevel="0" collapsed="false">
      <c r="C651" s="27" t="s">
        <v>624</v>
      </c>
      <c r="D651" s="28" t="n">
        <v>1</v>
      </c>
      <c r="H651" s="29" t="n">
        <f aca="false">IF(COUNT(D651:G651)=0,0,D651*IF(E651="",1,E651)*IF(F651="",1,F651)*IF(G651="",1,G651))</f>
        <v>1</v>
      </c>
      <c r="M651" s="23"/>
      <c r="N651" s="23"/>
      <c r="O651" s="23"/>
    </row>
    <row r="652" customFormat="false" ht="15" hidden="false" customHeight="true" outlineLevel="0" collapsed="false">
      <c r="C652" s="27" t="s">
        <v>625</v>
      </c>
      <c r="D652" s="28" t="n">
        <v>0</v>
      </c>
      <c r="H652" s="29" t="n">
        <f aca="false">IF(COUNT(D652:G652)=0,0,D652*IF(E652="",1,E652)*IF(F652="",1,F652)*IF(G652="",1,G652))</f>
        <v>0</v>
      </c>
      <c r="M652" s="23"/>
      <c r="N652" s="23"/>
      <c r="O652" s="23"/>
    </row>
    <row r="653" customFormat="false" ht="18.75" hidden="false" customHeight="true" outlineLevel="0" collapsed="false">
      <c r="H653" s="30"/>
      <c r="I653" s="31" t="n">
        <f aca="false">ROUND(SUM(H650:H652),2)</f>
        <v>2</v>
      </c>
      <c r="J653" s="32" t="n">
        <v>780</v>
      </c>
      <c r="K653" s="31" t="n">
        <f aca="false">ROUND(I653*J653,2)</f>
        <v>1560</v>
      </c>
      <c r="L653" s="33" t="s">
        <v>238</v>
      </c>
      <c r="M653" s="23" t="s">
        <v>123</v>
      </c>
      <c r="N653" s="23" t="s">
        <v>50</v>
      </c>
      <c r="O653" s="23"/>
    </row>
    <row r="654" customFormat="false" ht="15" hidden="false" customHeight="true" outlineLevel="0" collapsed="false">
      <c r="A654" s="3" t="s">
        <v>626</v>
      </c>
      <c r="B654" s="3" t="s">
        <v>140</v>
      </c>
      <c r="C654" s="3" t="s">
        <v>627</v>
      </c>
      <c r="M654" s="23"/>
      <c r="N654" s="23"/>
      <c r="O654" s="23"/>
    </row>
    <row r="655" customFormat="false" ht="36" hidden="false" customHeight="true" outlineLevel="0" collapsed="false">
      <c r="C655" s="26" t="s">
        <v>628</v>
      </c>
      <c r="M655" s="23"/>
      <c r="N655" s="23"/>
      <c r="O655" s="23"/>
    </row>
    <row r="656" customFormat="false" ht="15" hidden="false" customHeight="true" outlineLevel="0" collapsed="false">
      <c r="C656" s="27" t="s">
        <v>371</v>
      </c>
      <c r="D656" s="28" t="n">
        <v>1</v>
      </c>
      <c r="E656" s="35" t="n">
        <f aca="false">'Mediciones BIM'!E55</f>
        <v>24.08</v>
      </c>
      <c r="H656" s="29" t="n">
        <f aca="false">IF(COUNT(D656:G656)=0,0,D656*IF(E656="",1,E656)*IF(F656="",1,F656)*IF(G656="",1,G656))</f>
        <v>24.08</v>
      </c>
      <c r="M656" s="23"/>
      <c r="N656" s="23"/>
      <c r="O656" s="23"/>
    </row>
    <row r="657" customFormat="false" ht="15" hidden="false" customHeight="true" outlineLevel="0" collapsed="false">
      <c r="C657" s="27"/>
      <c r="D657" s="28"/>
      <c r="E657" s="28"/>
      <c r="H657" s="29" t="n">
        <f aca="false">IF(COUNT(D657:G657)=0,0,D657*IF(E657="",1,E657)*IF(F657="",1,F657)*IF(G657="",1,G657))</f>
        <v>0</v>
      </c>
      <c r="M657" s="23"/>
      <c r="N657" s="23"/>
      <c r="O657" s="23"/>
    </row>
    <row r="658" customFormat="false" ht="15" hidden="false" customHeight="true" outlineLevel="0" collapsed="false">
      <c r="C658" s="27"/>
      <c r="D658" s="28"/>
      <c r="E658" s="28"/>
      <c r="H658" s="29" t="n">
        <f aca="false">IF(COUNT(D658:G658)=0,0,D658*IF(E658="",1,E658)*IF(F658="",1,F658)*IF(G658="",1,G658))</f>
        <v>0</v>
      </c>
      <c r="M658" s="23"/>
      <c r="N658" s="23"/>
      <c r="O658" s="23"/>
    </row>
    <row r="659" customFormat="false" ht="18.75" hidden="false" customHeight="true" outlineLevel="0" collapsed="false">
      <c r="H659" s="30"/>
      <c r="I659" s="31" t="n">
        <f aca="false">ROUND(SUM(H656:H658),2)</f>
        <v>24.08</v>
      </c>
      <c r="J659" s="32" t="n">
        <v>215</v>
      </c>
      <c r="K659" s="31" t="n">
        <f aca="false">ROUND(I659*J659,2)</f>
        <v>5177.2</v>
      </c>
      <c r="L659" s="33" t="s">
        <v>238</v>
      </c>
      <c r="M659" s="23" t="s">
        <v>123</v>
      </c>
      <c r="N659" s="23" t="s">
        <v>50</v>
      </c>
      <c r="O659" s="23"/>
    </row>
    <row r="660" customFormat="false" ht="15" hidden="false" customHeight="true" outlineLevel="0" collapsed="false">
      <c r="A660" s="3" t="s">
        <v>629</v>
      </c>
      <c r="B660" s="3" t="s">
        <v>129</v>
      </c>
      <c r="C660" s="3" t="s">
        <v>630</v>
      </c>
      <c r="M660" s="23"/>
      <c r="N660" s="23"/>
      <c r="O660" s="23"/>
    </row>
    <row r="661" customFormat="false" ht="24" hidden="false" customHeight="true" outlineLevel="0" collapsed="false">
      <c r="C661" s="26" t="s">
        <v>631</v>
      </c>
      <c r="M661" s="23"/>
      <c r="N661" s="23"/>
      <c r="O661" s="23"/>
    </row>
    <row r="662" customFormat="false" ht="15" hidden="false" customHeight="true" outlineLevel="0" collapsed="false">
      <c r="C662" s="27" t="s">
        <v>304</v>
      </c>
      <c r="D662" s="28" t="n">
        <v>1</v>
      </c>
      <c r="E662" s="36" t="n">
        <f aca="false">'Mediciones BIM'!E56</f>
        <v>7</v>
      </c>
      <c r="H662" s="29" t="n">
        <f aca="false">IF(COUNT(D662:G662)=0,0,D662*IF(E662="",1,E662)*IF(F662="",1,F662)*IF(G662="",1,G662))</f>
        <v>7</v>
      </c>
      <c r="M662" s="23"/>
      <c r="N662" s="23"/>
      <c r="O662" s="23"/>
    </row>
    <row r="663" customFormat="false" ht="18.75" hidden="false" customHeight="true" outlineLevel="0" collapsed="false">
      <c r="H663" s="30"/>
      <c r="I663" s="31" t="n">
        <f aca="false">ROUND(SUM(H662:H662),2)</f>
        <v>7</v>
      </c>
      <c r="J663" s="32" t="n">
        <v>480</v>
      </c>
      <c r="K663" s="31" t="n">
        <f aca="false">ROUND(I663*J663,2)</f>
        <v>3360</v>
      </c>
      <c r="L663" s="33" t="s">
        <v>238</v>
      </c>
      <c r="M663" s="23" t="s">
        <v>123</v>
      </c>
      <c r="N663" s="23" t="s">
        <v>50</v>
      </c>
      <c r="O663" s="23"/>
    </row>
    <row r="664" customFormat="false" ht="15" hidden="false" customHeight="true" outlineLevel="0" collapsed="false">
      <c r="A664" s="3" t="s">
        <v>632</v>
      </c>
      <c r="B664" s="3" t="s">
        <v>140</v>
      </c>
      <c r="C664" s="3" t="s">
        <v>633</v>
      </c>
      <c r="M664" s="23"/>
      <c r="N664" s="23"/>
      <c r="O664" s="23"/>
    </row>
    <row r="665" customFormat="false" ht="12" hidden="false" customHeight="true" outlineLevel="0" collapsed="false">
      <c r="C665" s="26" t="s">
        <v>634</v>
      </c>
      <c r="M665" s="23"/>
      <c r="N665" s="23"/>
      <c r="O665" s="23"/>
    </row>
    <row r="666" customFormat="false" ht="15" hidden="false" customHeight="true" outlineLevel="0" collapsed="false">
      <c r="C666" s="27" t="s">
        <v>635</v>
      </c>
      <c r="D666" s="28" t="n">
        <v>1</v>
      </c>
      <c r="E666" s="28" t="n">
        <v>8.43</v>
      </c>
      <c r="H666" s="29" t="n">
        <f aca="false">IF(COUNT(D666:G666)=0,0,D666*IF(E666="",1,E666)*IF(F666="",1,F666)*IF(G666="",1,G666))</f>
        <v>8.43</v>
      </c>
      <c r="M666" s="23"/>
      <c r="N666" s="23"/>
      <c r="O666" s="23"/>
    </row>
    <row r="667" customFormat="false" ht="18.75" hidden="false" customHeight="true" outlineLevel="0" collapsed="false">
      <c r="H667" s="30"/>
      <c r="I667" s="31" t="n">
        <f aca="false">ROUND(SUM(H666:H666),2)</f>
        <v>8.43</v>
      </c>
      <c r="J667" s="32" t="n">
        <v>165</v>
      </c>
      <c r="K667" s="31" t="n">
        <f aca="false">ROUND(I667*J667,2)</f>
        <v>1390.95</v>
      </c>
      <c r="L667" s="33" t="s">
        <v>238</v>
      </c>
      <c r="M667" s="23" t="s">
        <v>123</v>
      </c>
      <c r="N667" s="23" t="s">
        <v>50</v>
      </c>
      <c r="O667" s="23"/>
    </row>
    <row r="668" customFormat="false" ht="18.75" hidden="false" customHeight="true" outlineLevel="0" collapsed="false">
      <c r="A668" s="37" t="s">
        <v>636</v>
      </c>
      <c r="B668" s="3" t="s">
        <v>129</v>
      </c>
      <c r="C668" s="3" t="s">
        <v>637</v>
      </c>
      <c r="M668" s="23"/>
      <c r="N668" s="23"/>
      <c r="O668" s="23"/>
    </row>
    <row r="669" customFormat="false" ht="18.75" hidden="false" customHeight="true" outlineLevel="0" collapsed="false">
      <c r="C669" s="26" t="s">
        <v>638</v>
      </c>
      <c r="M669" s="23"/>
      <c r="N669" s="23"/>
      <c r="O669" s="23"/>
    </row>
    <row r="670" customFormat="false" ht="18.75" hidden="false" customHeight="true" outlineLevel="0" collapsed="false">
      <c r="C670" s="27" t="s">
        <v>639</v>
      </c>
      <c r="D670" s="28" t="n">
        <v>0</v>
      </c>
      <c r="E670" s="28"/>
      <c r="H670" s="29" t="n">
        <f aca="false">IF(COUNT(D670:G670)=0,0,D670*IF(E670="",1,E670)*IF(F670="",1,F670)*IF(G670="",1,G670))</f>
        <v>0</v>
      </c>
      <c r="M670" s="23"/>
      <c r="N670" s="23"/>
      <c r="O670" s="23"/>
    </row>
    <row r="671" customFormat="false" ht="18.75" hidden="false" customHeight="true" outlineLevel="0" collapsed="false">
      <c r="H671" s="30"/>
      <c r="I671" s="31" t="n">
        <f aca="false">ROUND(SUM(H670:H670),2)</f>
        <v>0</v>
      </c>
      <c r="J671" s="32" t="n">
        <v>1450</v>
      </c>
      <c r="K671" s="31" t="n">
        <f aca="false">ROUND(I671*J671,2)</f>
        <v>0</v>
      </c>
      <c r="L671" s="33" t="s">
        <v>640</v>
      </c>
      <c r="M671" s="23" t="s">
        <v>123</v>
      </c>
      <c r="N671" s="23" t="s">
        <v>50</v>
      </c>
      <c r="O671" s="23"/>
    </row>
    <row r="672" customFormat="false" ht="15" hidden="false" customHeight="true" outlineLevel="0" collapsed="false">
      <c r="C672" s="34" t="s">
        <v>641</v>
      </c>
      <c r="K672" s="14" t="n">
        <f aca="false">SUMIFS($K$5:$K$671,$M$5:$M$671,"P",$N$5:$N$671,"14")</f>
        <v>19920.45</v>
      </c>
      <c r="M672" s="23"/>
      <c r="N672" s="23"/>
      <c r="O672" s="23"/>
    </row>
    <row r="673" customFormat="false" ht="15" hidden="false" customHeight="true" outlineLevel="0" collapsed="false">
      <c r="M673" s="23"/>
      <c r="N673" s="23"/>
      <c r="O673" s="23"/>
    </row>
    <row r="674" customFormat="false" ht="15" hidden="false" customHeight="true" outlineLevel="0" collapsed="false">
      <c r="A674" s="24" t="s">
        <v>52</v>
      </c>
      <c r="B674" s="25"/>
      <c r="C674" s="24" t="s">
        <v>53</v>
      </c>
      <c r="D674" s="25"/>
      <c r="E674" s="25"/>
      <c r="F674" s="25"/>
      <c r="G674" s="25"/>
      <c r="H674" s="25"/>
      <c r="I674" s="25"/>
      <c r="J674" s="25"/>
      <c r="K674" s="25"/>
      <c r="L674" s="25"/>
      <c r="M674" s="23" t="s">
        <v>115</v>
      </c>
      <c r="N674" s="23" t="s">
        <v>52</v>
      </c>
      <c r="O674" s="23"/>
    </row>
    <row r="675" customFormat="false" ht="15" hidden="false" customHeight="true" outlineLevel="0" collapsed="false">
      <c r="A675" s="3" t="s">
        <v>642</v>
      </c>
      <c r="B675" s="3" t="s">
        <v>117</v>
      </c>
      <c r="C675" s="3" t="s">
        <v>643</v>
      </c>
      <c r="M675" s="23"/>
      <c r="N675" s="23"/>
      <c r="O675" s="23"/>
    </row>
    <row r="676" customFormat="false" ht="96" hidden="false" customHeight="true" outlineLevel="0" collapsed="false">
      <c r="C676" s="26" t="s">
        <v>644</v>
      </c>
      <c r="M676" s="23"/>
      <c r="N676" s="23"/>
      <c r="O676" s="23"/>
    </row>
    <row r="677" customFormat="false" ht="15" hidden="false" customHeight="true" outlineLevel="0" collapsed="false">
      <c r="C677" s="27" t="s">
        <v>311</v>
      </c>
      <c r="D677" s="28" t="n">
        <v>1</v>
      </c>
      <c r="E677" s="35" t="n">
        <f aca="false">'Mediciones BIM'!E57</f>
        <v>1013.81</v>
      </c>
      <c r="H677" s="29" t="n">
        <f aca="false">IF(COUNT(D677:G677)=0,0,D677*IF(E677="",1,E677)*IF(F677="",1,F677)*IF(G677="",1,G677))</f>
        <v>1013.81</v>
      </c>
      <c r="M677" s="23"/>
      <c r="N677" s="23"/>
      <c r="O677" s="23"/>
    </row>
    <row r="678" customFormat="false" ht="15" hidden="false" customHeight="true" outlineLevel="0" collapsed="false">
      <c r="C678" s="27"/>
      <c r="D678" s="28"/>
      <c r="E678" s="28"/>
      <c r="H678" s="29" t="n">
        <f aca="false">IF(COUNT(D678:G678)=0,0,D678*IF(E678="",1,E678)*IF(F678="",1,F678)*IF(G678="",1,G678))</f>
        <v>0</v>
      </c>
      <c r="M678" s="23"/>
      <c r="N678" s="23"/>
      <c r="O678" s="23"/>
    </row>
    <row r="679" customFormat="false" ht="15" hidden="false" customHeight="true" outlineLevel="0" collapsed="false">
      <c r="H679" s="30"/>
      <c r="I679" s="31" t="n">
        <f aca="false">ROUND(SUM(H677:H678),2)</f>
        <v>1013.81</v>
      </c>
      <c r="J679" s="32" t="n">
        <v>6.37</v>
      </c>
      <c r="K679" s="31" t="n">
        <f aca="false">ROUND(I679*J679,2)</f>
        <v>6457.97</v>
      </c>
      <c r="L679" s="33" t="s">
        <v>212</v>
      </c>
      <c r="M679" s="23" t="s">
        <v>123</v>
      </c>
      <c r="N679" s="23" t="s">
        <v>52</v>
      </c>
      <c r="O679" s="23"/>
    </row>
    <row r="680" customFormat="false" ht="15" hidden="false" customHeight="true" outlineLevel="0" collapsed="false">
      <c r="A680" s="3" t="s">
        <v>645</v>
      </c>
      <c r="B680" s="3" t="s">
        <v>426</v>
      </c>
      <c r="C680" s="3" t="s">
        <v>646</v>
      </c>
      <c r="M680" s="23"/>
      <c r="N680" s="23"/>
      <c r="O680" s="23"/>
    </row>
    <row r="681" customFormat="false" ht="36" hidden="false" customHeight="true" outlineLevel="0" collapsed="false">
      <c r="C681" s="26" t="s">
        <v>647</v>
      </c>
      <c r="M681" s="23"/>
      <c r="N681" s="23"/>
      <c r="O681" s="23"/>
    </row>
    <row r="682" customFormat="false" ht="15" hidden="false" customHeight="true" outlineLevel="0" collapsed="false">
      <c r="C682" s="27" t="s">
        <v>311</v>
      </c>
      <c r="D682" s="28" t="n">
        <v>1</v>
      </c>
      <c r="E682" s="35" t="n">
        <f aca="false">'Mediciones BIM'!E58</f>
        <v>317.11</v>
      </c>
      <c r="H682" s="29" t="n">
        <f aca="false">IF(COUNT(D682:G682)=0,0,D682*IF(E682="",1,E682)*IF(F682="",1,F682)*IF(G682="",1,G682))</f>
        <v>317.11</v>
      </c>
      <c r="M682" s="23"/>
      <c r="N682" s="23"/>
      <c r="O682" s="23"/>
    </row>
    <row r="683" customFormat="false" ht="15" hidden="false" customHeight="true" outlineLevel="0" collapsed="false">
      <c r="H683" s="30"/>
      <c r="I683" s="31" t="n">
        <f aca="false">ROUND(SUM(H682:H682),2)</f>
        <v>317.11</v>
      </c>
      <c r="J683" s="32" t="n">
        <v>7.55</v>
      </c>
      <c r="K683" s="31" t="n">
        <f aca="false">ROUND(I683*J683,2)</f>
        <v>2394.18</v>
      </c>
      <c r="L683" s="33" t="s">
        <v>212</v>
      </c>
      <c r="M683" s="23" t="s">
        <v>123</v>
      </c>
      <c r="N683" s="23" t="s">
        <v>52</v>
      </c>
      <c r="O683" s="23"/>
    </row>
    <row r="684" customFormat="false" ht="15" hidden="false" customHeight="true" outlineLevel="0" collapsed="false">
      <c r="C684" s="34" t="s">
        <v>648</v>
      </c>
      <c r="K684" s="14" t="n">
        <f aca="false">SUMIFS($K$5:$K$683,$M$5:$M$683,"P",$N$5:$N$683,"15")</f>
        <v>8852.15</v>
      </c>
      <c r="M684" s="23"/>
      <c r="N684" s="23"/>
      <c r="O684" s="23"/>
    </row>
    <row r="685" customFormat="false" ht="15" hidden="false" customHeight="true" outlineLevel="0" collapsed="false">
      <c r="M685" s="23"/>
      <c r="N685" s="23"/>
      <c r="O685" s="23"/>
    </row>
    <row r="686" customFormat="false" ht="15" hidden="false" customHeight="true" outlineLevel="0" collapsed="false">
      <c r="A686" s="24" t="s">
        <v>54</v>
      </c>
      <c r="B686" s="25"/>
      <c r="C686" s="24" t="s">
        <v>55</v>
      </c>
      <c r="D686" s="25"/>
      <c r="E686" s="25"/>
      <c r="F686" s="25"/>
      <c r="G686" s="25"/>
      <c r="H686" s="25"/>
      <c r="I686" s="25"/>
      <c r="J686" s="25"/>
      <c r="K686" s="25"/>
      <c r="L686" s="25"/>
      <c r="M686" s="23" t="s">
        <v>115</v>
      </c>
      <c r="N686" s="23" t="s">
        <v>54</v>
      </c>
      <c r="O686" s="23"/>
    </row>
    <row r="687" customFormat="false" ht="15" hidden="false" customHeight="true" outlineLevel="0" collapsed="false">
      <c r="A687" s="3" t="s">
        <v>649</v>
      </c>
      <c r="C687" s="3" t="s">
        <v>650</v>
      </c>
      <c r="M687" s="23" t="s">
        <v>291</v>
      </c>
      <c r="N687" s="23" t="s">
        <v>54</v>
      </c>
      <c r="O687" s="23" t="s">
        <v>649</v>
      </c>
    </row>
    <row r="688" customFormat="false" ht="15" hidden="false" customHeight="true" outlineLevel="0" collapsed="false">
      <c r="A688" s="3" t="s">
        <v>651</v>
      </c>
      <c r="B688" s="3" t="s">
        <v>652</v>
      </c>
      <c r="C688" s="3" t="s">
        <v>653</v>
      </c>
      <c r="M688" s="23"/>
      <c r="N688" s="23"/>
      <c r="O688" s="23"/>
    </row>
    <row r="689" customFormat="false" ht="288" hidden="false" customHeight="true" outlineLevel="0" collapsed="false">
      <c r="C689" s="26" t="s">
        <v>654</v>
      </c>
      <c r="M689" s="23"/>
      <c r="N689" s="23"/>
      <c r="O689" s="23"/>
    </row>
    <row r="690" customFormat="false" ht="15" hidden="false" customHeight="true" outlineLevel="0" collapsed="false">
      <c r="C690" s="27" t="s">
        <v>194</v>
      </c>
      <c r="D690" s="28" t="n">
        <v>1</v>
      </c>
      <c r="H690" s="29" t="n">
        <f aca="false">IF(COUNT(D690:G690)=0,0,D690*IF(E690="",1,E690)*IF(F690="",1,F690)*IF(G690="",1,G690))</f>
        <v>1</v>
      </c>
      <c r="M690" s="23"/>
      <c r="N690" s="23"/>
      <c r="O690" s="23"/>
    </row>
    <row r="691" customFormat="false" ht="15" hidden="false" customHeight="true" outlineLevel="0" collapsed="false">
      <c r="H691" s="30"/>
      <c r="I691" s="31" t="n">
        <f aca="false">ROUND(SUM(H690:H690),2)</f>
        <v>1</v>
      </c>
      <c r="J691" s="32" t="n">
        <v>974.39</v>
      </c>
      <c r="K691" s="31" t="n">
        <f aca="false">ROUND(I691*J691,2)</f>
        <v>974.39</v>
      </c>
      <c r="L691" s="33" t="s">
        <v>212</v>
      </c>
      <c r="M691" s="23" t="s">
        <v>123</v>
      </c>
      <c r="N691" s="23" t="s">
        <v>54</v>
      </c>
      <c r="O691" s="23" t="s">
        <v>649</v>
      </c>
    </row>
    <row r="692" customFormat="false" ht="15" hidden="false" customHeight="true" outlineLevel="0" collapsed="false">
      <c r="A692" s="3" t="s">
        <v>655</v>
      </c>
      <c r="B692" s="3" t="s">
        <v>652</v>
      </c>
      <c r="C692" s="3" t="s">
        <v>656</v>
      </c>
      <c r="M692" s="23"/>
      <c r="N692" s="23"/>
      <c r="O692" s="23"/>
    </row>
    <row r="693" customFormat="false" ht="132" hidden="false" customHeight="true" outlineLevel="0" collapsed="false">
      <c r="C693" s="26" t="s">
        <v>657</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1303.21</v>
      </c>
      <c r="K695" s="31" t="n">
        <f aca="false">ROUND(I695*J695,2)</f>
        <v>1303.21</v>
      </c>
      <c r="L695" s="33" t="s">
        <v>212</v>
      </c>
      <c r="M695" s="23" t="s">
        <v>123</v>
      </c>
      <c r="N695" s="23" t="s">
        <v>54</v>
      </c>
      <c r="O695" s="23" t="s">
        <v>649</v>
      </c>
    </row>
    <row r="696" customFormat="false" ht="15" hidden="false" customHeight="true" outlineLevel="0" collapsed="false">
      <c r="A696" s="3" t="s">
        <v>658</v>
      </c>
      <c r="B696" s="3" t="s">
        <v>659</v>
      </c>
      <c r="C696" s="3" t="s">
        <v>660</v>
      </c>
      <c r="M696" s="23"/>
      <c r="N696" s="23"/>
      <c r="O696" s="23"/>
    </row>
    <row r="697" customFormat="false" ht="168" hidden="false" customHeight="true" outlineLevel="0" collapsed="false">
      <c r="C697" s="26" t="s">
        <v>661</v>
      </c>
      <c r="M697" s="23"/>
      <c r="N697" s="23"/>
      <c r="O697" s="23"/>
    </row>
    <row r="698" customFormat="false" ht="15" hidden="false" customHeight="true" outlineLevel="0" collapsed="false">
      <c r="C698" s="27" t="s">
        <v>662</v>
      </c>
      <c r="D698" s="28" t="n">
        <v>1</v>
      </c>
      <c r="E698" s="28" t="n">
        <v>10</v>
      </c>
      <c r="H698" s="29" t="n">
        <f aca="false">IF(COUNT(D698:G698)=0,0,D698*IF(E698="",1,E698)*IF(F698="",1,F698)*IF(G698="",1,G698))</f>
        <v>10</v>
      </c>
      <c r="M698" s="23"/>
      <c r="N698" s="23"/>
      <c r="O698" s="23"/>
    </row>
    <row r="699" customFormat="false" ht="15" hidden="false" customHeight="true" outlineLevel="0" collapsed="false">
      <c r="H699" s="30"/>
      <c r="I699" s="31" t="n">
        <f aca="false">ROUND(SUM(H698:H698),2)</f>
        <v>10</v>
      </c>
      <c r="J699" s="32" t="n">
        <v>59.77</v>
      </c>
      <c r="K699" s="31" t="n">
        <f aca="false">ROUND(I699*J699,2)</f>
        <v>597.7</v>
      </c>
      <c r="L699" s="33" t="s">
        <v>212</v>
      </c>
      <c r="M699" s="23" t="s">
        <v>123</v>
      </c>
      <c r="N699" s="23" t="s">
        <v>54</v>
      </c>
      <c r="O699" s="23" t="s">
        <v>649</v>
      </c>
    </row>
    <row r="700" customFormat="false" ht="15" hidden="false" customHeight="true" outlineLevel="0" collapsed="false">
      <c r="A700" s="3" t="s">
        <v>663</v>
      </c>
      <c r="B700" s="3" t="s">
        <v>652</v>
      </c>
      <c r="C700" s="3" t="s">
        <v>664</v>
      </c>
      <c r="M700" s="23"/>
      <c r="N700" s="23"/>
      <c r="O700" s="23"/>
    </row>
    <row r="701" customFormat="false" ht="108" hidden="false" customHeight="true" outlineLevel="0" collapsed="false">
      <c r="C701" s="26" t="s">
        <v>665</v>
      </c>
      <c r="M701" s="23"/>
      <c r="N701" s="23"/>
      <c r="O701" s="23"/>
    </row>
    <row r="702" customFormat="false" ht="15" hidden="false" customHeight="true" outlineLevel="0" collapsed="false">
      <c r="C702" s="27" t="s">
        <v>132</v>
      </c>
      <c r="D702" s="28" t="n">
        <v>1</v>
      </c>
      <c r="H702" s="29" t="n">
        <f aca="false">IF(COUNT(D702:G702)=0,0,D702*IF(E702="",1,E702)*IF(F702="",1,F702)*IF(G702="",1,G702))</f>
        <v>1</v>
      </c>
      <c r="M702" s="23"/>
      <c r="N702" s="23"/>
      <c r="O702" s="23"/>
    </row>
    <row r="703" customFormat="false" ht="15" hidden="false" customHeight="true" outlineLevel="0" collapsed="false">
      <c r="H703" s="30"/>
      <c r="I703" s="31" t="n">
        <f aca="false">ROUND(SUM(H702:H702),2)</f>
        <v>1</v>
      </c>
      <c r="J703" s="32" t="n">
        <v>116.6</v>
      </c>
      <c r="K703" s="31" t="n">
        <f aca="false">ROUND(I703*J703,2)</f>
        <v>116.6</v>
      </c>
      <c r="L703" s="33" t="s">
        <v>212</v>
      </c>
      <c r="M703" s="23" t="s">
        <v>123</v>
      </c>
      <c r="N703" s="23" t="s">
        <v>54</v>
      </c>
      <c r="O703" s="23" t="s">
        <v>649</v>
      </c>
    </row>
    <row r="704" customFormat="false" ht="15" hidden="false" customHeight="true" outlineLevel="0" collapsed="false">
      <c r="A704" s="3" t="s">
        <v>666</v>
      </c>
      <c r="B704" s="3" t="s">
        <v>659</v>
      </c>
      <c r="C704" s="3" t="s">
        <v>667</v>
      </c>
      <c r="M704" s="23"/>
      <c r="N704" s="23"/>
      <c r="O704" s="23"/>
    </row>
    <row r="705" customFormat="false" ht="96" hidden="false" customHeight="true" outlineLevel="0" collapsed="false">
      <c r="C705" s="26" t="s">
        <v>668</v>
      </c>
      <c r="M705" s="23"/>
      <c r="N705" s="23"/>
      <c r="O705" s="23"/>
    </row>
    <row r="706" customFormat="false" ht="15" hidden="false" customHeight="true" outlineLevel="0" collapsed="false">
      <c r="C706" s="27" t="s">
        <v>669</v>
      </c>
      <c r="D706" s="28" t="n">
        <v>1</v>
      </c>
      <c r="E706" s="28" t="n">
        <v>110</v>
      </c>
      <c r="H706" s="29" t="n">
        <f aca="false">IF(COUNT(D706:G706)=0,0,D706*IF(E706="",1,E706)*IF(F706="",1,F706)*IF(G706="",1,G706))</f>
        <v>110</v>
      </c>
      <c r="M706" s="23"/>
      <c r="N706" s="23"/>
      <c r="O706" s="23"/>
    </row>
    <row r="707" customFormat="false" ht="15" hidden="false" customHeight="true" outlineLevel="0" collapsed="false">
      <c r="H707" s="30"/>
      <c r="I707" s="31" t="n">
        <f aca="false">ROUND(SUM(H706:H706),2)</f>
        <v>110</v>
      </c>
      <c r="J707" s="32" t="n">
        <v>3.17</v>
      </c>
      <c r="K707" s="31" t="n">
        <f aca="false">ROUND(I707*J707,2)</f>
        <v>348.7</v>
      </c>
      <c r="L707" s="33" t="s">
        <v>212</v>
      </c>
      <c r="M707" s="23" t="s">
        <v>123</v>
      </c>
      <c r="N707" s="23" t="s">
        <v>54</v>
      </c>
      <c r="O707" s="23" t="s">
        <v>649</v>
      </c>
    </row>
    <row r="708" customFormat="false" ht="15" hidden="false" customHeight="true" outlineLevel="0" collapsed="false">
      <c r="A708" s="3" t="s">
        <v>670</v>
      </c>
      <c r="B708" s="3" t="s">
        <v>659</v>
      </c>
      <c r="C708" s="3" t="s">
        <v>671</v>
      </c>
      <c r="M708" s="23"/>
      <c r="N708" s="23"/>
      <c r="O708" s="23"/>
    </row>
    <row r="709" customFormat="false" ht="96" hidden="false" customHeight="true" outlineLevel="0" collapsed="false">
      <c r="C709" s="26" t="s">
        <v>672</v>
      </c>
      <c r="M709" s="23"/>
      <c r="N709" s="23"/>
      <c r="O709" s="23"/>
    </row>
    <row r="710" customFormat="false" ht="15" hidden="false" customHeight="true" outlineLevel="0" collapsed="false">
      <c r="C710" s="27" t="s">
        <v>673</v>
      </c>
      <c r="D710" s="28" t="n">
        <v>1</v>
      </c>
      <c r="E710" s="28" t="n">
        <v>160</v>
      </c>
      <c r="H710" s="29" t="n">
        <f aca="false">IF(COUNT(D710:G710)=0,0,D710*IF(E710="",1,E710)*IF(F710="",1,F710)*IF(G710="",1,G710))</f>
        <v>160</v>
      </c>
      <c r="M710" s="23"/>
      <c r="N710" s="23"/>
      <c r="O710" s="23"/>
    </row>
    <row r="711" customFormat="false" ht="15" hidden="false" customHeight="true" outlineLevel="0" collapsed="false">
      <c r="H711" s="30"/>
      <c r="I711" s="31" t="n">
        <f aca="false">ROUND(SUM(H710:H710),2)</f>
        <v>160</v>
      </c>
      <c r="J711" s="32" t="n">
        <v>3.74</v>
      </c>
      <c r="K711" s="31" t="n">
        <f aca="false">ROUND(I711*J711,2)</f>
        <v>598.4</v>
      </c>
      <c r="L711" s="33" t="s">
        <v>212</v>
      </c>
      <c r="M711" s="23" t="s">
        <v>123</v>
      </c>
      <c r="N711" s="23" t="s">
        <v>54</v>
      </c>
      <c r="O711" s="23" t="s">
        <v>649</v>
      </c>
    </row>
    <row r="712" customFormat="false" ht="15" hidden="false" customHeight="true" outlineLevel="0" collapsed="false">
      <c r="A712" s="3" t="s">
        <v>674</v>
      </c>
      <c r="B712" s="3" t="s">
        <v>659</v>
      </c>
      <c r="C712" s="3" t="s">
        <v>675</v>
      </c>
      <c r="M712" s="23"/>
      <c r="N712" s="23"/>
      <c r="O712" s="23"/>
    </row>
    <row r="713" customFormat="false" ht="96" hidden="false" customHeight="true" outlineLevel="0" collapsed="false">
      <c r="C713" s="26" t="s">
        <v>676</v>
      </c>
      <c r="M713" s="23"/>
      <c r="N713" s="23"/>
      <c r="O713" s="23"/>
    </row>
    <row r="714" customFormat="false" ht="15" hidden="false" customHeight="true" outlineLevel="0" collapsed="false">
      <c r="C714" s="27" t="s">
        <v>677</v>
      </c>
      <c r="D714" s="28" t="n">
        <v>1</v>
      </c>
      <c r="E714" s="28" t="n">
        <v>50</v>
      </c>
      <c r="H714" s="29" t="n">
        <f aca="false">IF(COUNT(D714:G714)=0,0,D714*IF(E714="",1,E714)*IF(F714="",1,F714)*IF(G714="",1,G714))</f>
        <v>50</v>
      </c>
      <c r="M714" s="23"/>
      <c r="N714" s="23"/>
      <c r="O714" s="23"/>
    </row>
    <row r="715" customFormat="false" ht="15" hidden="false" customHeight="true" outlineLevel="0" collapsed="false">
      <c r="H715" s="30"/>
      <c r="I715" s="31" t="n">
        <f aca="false">ROUND(SUM(H714:H714),2)</f>
        <v>50</v>
      </c>
      <c r="J715" s="32" t="n">
        <v>4.1</v>
      </c>
      <c r="K715" s="31" t="n">
        <f aca="false">ROUND(I715*J715,2)</f>
        <v>205</v>
      </c>
      <c r="L715" s="33" t="s">
        <v>212</v>
      </c>
      <c r="M715" s="23" t="s">
        <v>123</v>
      </c>
      <c r="N715" s="23" t="s">
        <v>54</v>
      </c>
      <c r="O715" s="23" t="s">
        <v>649</v>
      </c>
    </row>
    <row r="716" customFormat="false" ht="15" hidden="false" customHeight="true" outlineLevel="0" collapsed="false">
      <c r="A716" s="3" t="s">
        <v>678</v>
      </c>
      <c r="B716" s="3" t="s">
        <v>659</v>
      </c>
      <c r="C716" s="3" t="s">
        <v>679</v>
      </c>
      <c r="M716" s="23"/>
      <c r="N716" s="23"/>
      <c r="O716" s="23"/>
    </row>
    <row r="717" customFormat="false" ht="96" hidden="false" customHeight="true" outlineLevel="0" collapsed="false">
      <c r="C717" s="26" t="s">
        <v>680</v>
      </c>
      <c r="M717" s="23"/>
      <c r="N717" s="23"/>
      <c r="O717" s="23"/>
    </row>
    <row r="718" customFormat="false" ht="15" hidden="false" customHeight="true" outlineLevel="0" collapsed="false">
      <c r="C718" s="27" t="s">
        <v>681</v>
      </c>
      <c r="D718" s="28" t="n">
        <v>1</v>
      </c>
      <c r="E718" s="28" t="n">
        <v>25</v>
      </c>
      <c r="H718" s="29" t="n">
        <f aca="false">IF(COUNT(D718:G718)=0,0,D718*IF(E718="",1,E718)*IF(F718="",1,F718)*IF(G718="",1,G718))</f>
        <v>25</v>
      </c>
      <c r="M718" s="23"/>
      <c r="N718" s="23"/>
      <c r="O718" s="23"/>
    </row>
    <row r="719" customFormat="false" ht="15" hidden="false" customHeight="true" outlineLevel="0" collapsed="false">
      <c r="H719" s="30"/>
      <c r="I719" s="31" t="n">
        <f aca="false">ROUND(SUM(H718:H718),2)</f>
        <v>25</v>
      </c>
      <c r="J719" s="32" t="n">
        <v>4.83</v>
      </c>
      <c r="K719" s="31" t="n">
        <f aca="false">ROUND(I719*J719,2)</f>
        <v>120.75</v>
      </c>
      <c r="L719" s="33" t="s">
        <v>212</v>
      </c>
      <c r="M719" s="23" t="s">
        <v>123</v>
      </c>
      <c r="N719" s="23" t="s">
        <v>54</v>
      </c>
      <c r="O719" s="23" t="s">
        <v>649</v>
      </c>
    </row>
    <row r="720" customFormat="false" ht="15" hidden="false" customHeight="true" outlineLevel="0" collapsed="false">
      <c r="A720" s="3" t="s">
        <v>682</v>
      </c>
      <c r="B720" s="3" t="s">
        <v>652</v>
      </c>
      <c r="C720" s="3" t="s">
        <v>683</v>
      </c>
      <c r="M720" s="23"/>
      <c r="N720" s="23"/>
      <c r="O720" s="23"/>
    </row>
    <row r="721" customFormat="false" ht="96" hidden="false" customHeight="true" outlineLevel="0" collapsed="false">
      <c r="C721" s="26" t="s">
        <v>684</v>
      </c>
      <c r="M721" s="23"/>
      <c r="N721" s="23"/>
      <c r="O721" s="23"/>
    </row>
    <row r="722" customFormat="false" ht="15" hidden="false" customHeight="true" outlineLevel="0" collapsed="false">
      <c r="C722" s="27" t="s">
        <v>685</v>
      </c>
      <c r="D722" s="28" t="n">
        <v>16</v>
      </c>
      <c r="H722" s="29" t="n">
        <f aca="false">IF(COUNT(D722:G722)=0,0,D722*IF(E722="",1,E722)*IF(F722="",1,F722)*IF(G722="",1,G722))</f>
        <v>16</v>
      </c>
      <c r="M722" s="23"/>
      <c r="N722" s="23"/>
      <c r="O722" s="23"/>
    </row>
    <row r="723" customFormat="false" ht="15" hidden="false" customHeight="true" outlineLevel="0" collapsed="false">
      <c r="H723" s="30"/>
      <c r="I723" s="31" t="n">
        <f aca="false">ROUND(SUM(H722:H722),2)</f>
        <v>16</v>
      </c>
      <c r="J723" s="32" t="n">
        <v>14.16</v>
      </c>
      <c r="K723" s="31" t="n">
        <f aca="false">ROUND(I723*J723,2)</f>
        <v>226.56</v>
      </c>
      <c r="L723" s="33" t="s">
        <v>212</v>
      </c>
      <c r="M723" s="23" t="s">
        <v>123</v>
      </c>
      <c r="N723" s="23" t="s">
        <v>54</v>
      </c>
      <c r="O723" s="23" t="s">
        <v>649</v>
      </c>
    </row>
    <row r="724" customFormat="false" ht="15" hidden="false" customHeight="true" outlineLevel="0" collapsed="false">
      <c r="A724" s="3" t="s">
        <v>686</v>
      </c>
      <c r="B724" s="3" t="s">
        <v>652</v>
      </c>
      <c r="C724" s="3" t="s">
        <v>687</v>
      </c>
      <c r="M724" s="23"/>
      <c r="N724" s="23"/>
      <c r="O724" s="23"/>
    </row>
    <row r="725" customFormat="false" ht="204" hidden="false" customHeight="true" outlineLevel="0" collapsed="false">
      <c r="C725" s="26" t="s">
        <v>688</v>
      </c>
      <c r="M725" s="23"/>
      <c r="N725" s="23"/>
      <c r="O725" s="23"/>
    </row>
    <row r="726" customFormat="false" ht="15" hidden="false" customHeight="true" outlineLevel="0" collapsed="false">
      <c r="C726" s="27" t="s">
        <v>689</v>
      </c>
      <c r="D726" s="28" t="n">
        <v>1</v>
      </c>
      <c r="H726" s="29" t="n">
        <f aca="false">IF(COUNT(D726:G726)=0,0,D726*IF(E726="",1,E726)*IF(F726="",1,F726)*IF(G726="",1,G726))</f>
        <v>1</v>
      </c>
      <c r="M726" s="23"/>
      <c r="N726" s="23"/>
      <c r="O726" s="23"/>
    </row>
    <row r="727" customFormat="false" ht="15" hidden="false" customHeight="true" outlineLevel="0" collapsed="false">
      <c r="C727" s="27" t="s">
        <v>690</v>
      </c>
      <c r="D727" s="28" t="n">
        <v>1</v>
      </c>
      <c r="H727" s="29" t="n">
        <f aca="false">IF(COUNT(D727:G727)=0,0,D727*IF(E727="",1,E727)*IF(F727="",1,F727)*IF(G727="",1,G727))</f>
        <v>1</v>
      </c>
      <c r="M727" s="23"/>
      <c r="N727" s="23"/>
      <c r="O727" s="23"/>
    </row>
    <row r="728" customFormat="false" ht="15" hidden="false" customHeight="true" outlineLevel="0" collapsed="false">
      <c r="H728" s="30"/>
      <c r="I728" s="31" t="n">
        <f aca="false">ROUND(SUM(H726:H727),2)</f>
        <v>2</v>
      </c>
      <c r="J728" s="32" t="n">
        <v>183.66</v>
      </c>
      <c r="K728" s="31" t="n">
        <f aca="false">ROUND(I728*J728,2)</f>
        <v>367.32</v>
      </c>
      <c r="L728" s="33" t="s">
        <v>212</v>
      </c>
      <c r="M728" s="23" t="s">
        <v>123</v>
      </c>
      <c r="N728" s="23" t="s">
        <v>54</v>
      </c>
      <c r="O728" s="23" t="s">
        <v>649</v>
      </c>
    </row>
    <row r="729" customFormat="false" ht="15" hidden="false" customHeight="true" outlineLevel="0" collapsed="false">
      <c r="A729" s="3" t="s">
        <v>691</v>
      </c>
      <c r="B729" s="3" t="s">
        <v>652</v>
      </c>
      <c r="C729" s="3" t="s">
        <v>692</v>
      </c>
      <c r="M729" s="23"/>
      <c r="N729" s="23"/>
      <c r="O729" s="23"/>
    </row>
    <row r="730" customFormat="false" ht="192" hidden="false" customHeight="true" outlineLevel="0" collapsed="false">
      <c r="C730" s="26" t="s">
        <v>693</v>
      </c>
      <c r="M730" s="23"/>
      <c r="N730" s="23"/>
      <c r="O730" s="23"/>
    </row>
    <row r="731" customFormat="false" ht="15" hidden="false" customHeight="true" outlineLevel="0" collapsed="false">
      <c r="C731" s="27" t="s">
        <v>694</v>
      </c>
      <c r="D731" s="28" t="n">
        <v>1</v>
      </c>
      <c r="H731" s="29" t="n">
        <f aca="false">IF(COUNT(D731:G731)=0,0,D731*IF(E731="",1,E731)*IF(F731="",1,F731)*IF(G731="",1,G731))</f>
        <v>1</v>
      </c>
      <c r="M731" s="23"/>
      <c r="N731" s="23"/>
      <c r="O731" s="23"/>
    </row>
    <row r="732" customFormat="false" ht="15" hidden="false" customHeight="true" outlineLevel="0" collapsed="false">
      <c r="H732" s="30"/>
      <c r="I732" s="31" t="n">
        <f aca="false">ROUND(SUM(H731:H731),2)</f>
        <v>1</v>
      </c>
      <c r="J732" s="32" t="n">
        <v>183.66</v>
      </c>
      <c r="K732" s="31" t="n">
        <f aca="false">ROUND(I732*J732,2)</f>
        <v>183.66</v>
      </c>
      <c r="L732" s="33" t="s">
        <v>212</v>
      </c>
      <c r="M732" s="23" t="s">
        <v>123</v>
      </c>
      <c r="N732" s="23" t="s">
        <v>54</v>
      </c>
      <c r="O732" s="23" t="s">
        <v>649</v>
      </c>
    </row>
    <row r="733" customFormat="false" ht="15" hidden="false" customHeight="true" outlineLevel="0" collapsed="false">
      <c r="A733" s="3" t="s">
        <v>695</v>
      </c>
      <c r="B733" s="3" t="s">
        <v>652</v>
      </c>
      <c r="C733" s="3" t="s">
        <v>696</v>
      </c>
      <c r="M733" s="23"/>
      <c r="N733" s="23"/>
      <c r="O733" s="23"/>
    </row>
    <row r="734" customFormat="false" ht="204" hidden="false" customHeight="true" outlineLevel="0" collapsed="false">
      <c r="C734" s="26" t="s">
        <v>697</v>
      </c>
      <c r="M734" s="23"/>
      <c r="N734" s="23"/>
      <c r="O734" s="23"/>
    </row>
    <row r="735" customFormat="false" ht="15" hidden="false" customHeight="true" outlineLevel="0" collapsed="false">
      <c r="C735" s="27" t="s">
        <v>698</v>
      </c>
      <c r="D735" s="28" t="n">
        <v>1</v>
      </c>
      <c r="H735" s="29" t="n">
        <f aca="false">IF(COUNT(D735:G735)=0,0,D735*IF(E735="",1,E735)*IF(F735="",1,F735)*IF(G735="",1,G735))</f>
        <v>1</v>
      </c>
      <c r="M735" s="23"/>
      <c r="N735" s="23"/>
      <c r="O735" s="23"/>
    </row>
    <row r="736" customFormat="false" ht="15" hidden="false" customHeight="true" outlineLevel="0" collapsed="false">
      <c r="C736" s="27" t="s">
        <v>699</v>
      </c>
      <c r="D736" s="28" t="n">
        <v>1</v>
      </c>
      <c r="H736" s="29" t="n">
        <f aca="false">IF(COUNT(D736:G736)=0,0,D736*IF(E736="",1,E736)*IF(F736="",1,F736)*IF(G736="",1,G736))</f>
        <v>1</v>
      </c>
      <c r="M736" s="23"/>
      <c r="N736" s="23"/>
      <c r="O736" s="23"/>
    </row>
    <row r="737" customFormat="false" ht="15" hidden="false" customHeight="true" outlineLevel="0" collapsed="false">
      <c r="H737" s="30"/>
      <c r="I737" s="31" t="n">
        <f aca="false">ROUND(SUM(H735:H736),2)</f>
        <v>2</v>
      </c>
      <c r="J737" s="32" t="n">
        <v>268.14</v>
      </c>
      <c r="K737" s="31" t="n">
        <f aca="false">ROUND(I737*J737,2)</f>
        <v>536.28</v>
      </c>
      <c r="L737" s="33" t="s">
        <v>212</v>
      </c>
      <c r="M737" s="23" t="s">
        <v>123</v>
      </c>
      <c r="N737" s="23" t="s">
        <v>54</v>
      </c>
      <c r="O737" s="23" t="s">
        <v>649</v>
      </c>
    </row>
    <row r="738" customFormat="false" ht="15" hidden="false" customHeight="true" outlineLevel="0" collapsed="false">
      <c r="A738" s="3" t="s">
        <v>700</v>
      </c>
      <c r="B738" s="3" t="s">
        <v>652</v>
      </c>
      <c r="C738" s="3" t="s">
        <v>696</v>
      </c>
      <c r="M738" s="23"/>
      <c r="N738" s="23"/>
      <c r="O738" s="23"/>
    </row>
    <row r="739" customFormat="false" ht="204" hidden="false" customHeight="true" outlineLevel="0" collapsed="false">
      <c r="C739" s="26" t="s">
        <v>701</v>
      </c>
      <c r="M739" s="23"/>
      <c r="N739" s="23"/>
      <c r="O739" s="23"/>
    </row>
    <row r="740" customFormat="false" ht="15" hidden="false" customHeight="true" outlineLevel="0" collapsed="false">
      <c r="C740" s="27" t="s">
        <v>702</v>
      </c>
      <c r="D740" s="28" t="n">
        <v>2</v>
      </c>
      <c r="H740" s="29" t="n">
        <f aca="false">IF(COUNT(D740:G740)=0,0,D740*IF(E740="",1,E740)*IF(F740="",1,F740)*IF(G740="",1,G740))</f>
        <v>2</v>
      </c>
      <c r="M740" s="23"/>
      <c r="N740" s="23"/>
      <c r="O740" s="23"/>
    </row>
    <row r="741" customFormat="false" ht="15" hidden="false" customHeight="true" outlineLevel="0" collapsed="false">
      <c r="H741" s="30"/>
      <c r="I741" s="31" t="n">
        <f aca="false">ROUND(SUM(H740:H740),2)</f>
        <v>2</v>
      </c>
      <c r="J741" s="32" t="n">
        <v>227.73</v>
      </c>
      <c r="K741" s="31" t="n">
        <f aca="false">ROUND(I741*J741,2)</f>
        <v>455.46</v>
      </c>
      <c r="L741" s="33" t="s">
        <v>212</v>
      </c>
      <c r="M741" s="23" t="s">
        <v>123</v>
      </c>
      <c r="N741" s="23" t="s">
        <v>54</v>
      </c>
      <c r="O741" s="23" t="s">
        <v>649</v>
      </c>
    </row>
    <row r="742" customFormat="false" ht="15" hidden="false" customHeight="true" outlineLevel="0" collapsed="false">
      <c r="A742" s="3" t="s">
        <v>703</v>
      </c>
      <c r="B742" s="3" t="s">
        <v>652</v>
      </c>
      <c r="C742" s="3" t="s">
        <v>704</v>
      </c>
      <c r="M742" s="23"/>
      <c r="N742" s="23"/>
      <c r="O742" s="23"/>
    </row>
    <row r="743" customFormat="false" ht="132" hidden="false" customHeight="true" outlineLevel="0" collapsed="false">
      <c r="C743" s="26" t="s">
        <v>705</v>
      </c>
      <c r="M743" s="23"/>
      <c r="N743" s="23"/>
      <c r="O743" s="23"/>
    </row>
    <row r="744" customFormat="false" ht="15" hidden="false" customHeight="true" outlineLevel="0" collapsed="false">
      <c r="C744" s="27" t="s">
        <v>706</v>
      </c>
      <c r="D744" s="28" t="n">
        <v>3</v>
      </c>
      <c r="H744" s="29" t="n">
        <f aca="false">IF(COUNT(D744:G744)=0,0,D744*IF(E744="",1,E744)*IF(F744="",1,F744)*IF(G744="",1,G744))</f>
        <v>3</v>
      </c>
      <c r="M744" s="23"/>
      <c r="N744" s="23"/>
      <c r="O744" s="23"/>
    </row>
    <row r="745" customFormat="false" ht="15" hidden="false" customHeight="true" outlineLevel="0" collapsed="false">
      <c r="H745" s="30"/>
      <c r="I745" s="31" t="n">
        <f aca="false">ROUND(SUM(H744:H744),2)</f>
        <v>3</v>
      </c>
      <c r="J745" s="32" t="n">
        <v>70.82</v>
      </c>
      <c r="K745" s="31" t="n">
        <f aca="false">ROUND(I745*J745,2)</f>
        <v>212.46</v>
      </c>
      <c r="L745" s="33" t="s">
        <v>212</v>
      </c>
      <c r="M745" s="23" t="s">
        <v>123</v>
      </c>
      <c r="N745" s="23" t="s">
        <v>54</v>
      </c>
      <c r="O745" s="23" t="s">
        <v>649</v>
      </c>
    </row>
    <row r="746" customFormat="false" ht="15" hidden="false" customHeight="true" outlineLevel="0" collapsed="false">
      <c r="A746" s="3" t="s">
        <v>707</v>
      </c>
      <c r="B746" s="3" t="s">
        <v>652</v>
      </c>
      <c r="C746" s="3" t="s">
        <v>708</v>
      </c>
      <c r="M746" s="23"/>
      <c r="N746" s="23"/>
      <c r="O746" s="23"/>
    </row>
    <row r="747" customFormat="false" ht="120" hidden="false" customHeight="true" outlineLevel="0" collapsed="false">
      <c r="C747" s="26" t="s">
        <v>709</v>
      </c>
      <c r="M747" s="23"/>
      <c r="N747" s="23"/>
      <c r="O747" s="23"/>
    </row>
    <row r="748" customFormat="false" ht="15" hidden="false" customHeight="true" outlineLevel="0" collapsed="false">
      <c r="C748" s="27" t="s">
        <v>132</v>
      </c>
      <c r="D748" s="28" t="n">
        <v>1</v>
      </c>
      <c r="H748" s="29" t="n">
        <f aca="false">IF(COUNT(D748:G748)=0,0,D748*IF(E748="",1,E748)*IF(F748="",1,F748)*IF(G748="",1,G748))</f>
        <v>1</v>
      </c>
      <c r="M748" s="23"/>
      <c r="N748" s="23"/>
      <c r="O748" s="23"/>
    </row>
    <row r="749" customFormat="false" ht="15" hidden="false" customHeight="true" outlineLevel="0" collapsed="false">
      <c r="H749" s="30"/>
      <c r="I749" s="31" t="n">
        <f aca="false">ROUND(SUM(H748:H748),2)</f>
        <v>1</v>
      </c>
      <c r="J749" s="32" t="n">
        <v>40.97</v>
      </c>
      <c r="K749" s="31" t="n">
        <f aca="false">ROUND(I749*J749,2)</f>
        <v>40.97</v>
      </c>
      <c r="L749" s="33" t="s">
        <v>212</v>
      </c>
      <c r="M749" s="23" t="s">
        <v>123</v>
      </c>
      <c r="N749" s="23" t="s">
        <v>54</v>
      </c>
      <c r="O749" s="23" t="s">
        <v>649</v>
      </c>
    </row>
    <row r="750" customFormat="false" ht="15" hidden="false" customHeight="true" outlineLevel="0" collapsed="false">
      <c r="A750" s="3" t="s">
        <v>710</v>
      </c>
      <c r="B750" s="3" t="s">
        <v>652</v>
      </c>
      <c r="C750" s="3" t="s">
        <v>711</v>
      </c>
      <c r="M750" s="23"/>
      <c r="N750" s="23"/>
      <c r="O750" s="23"/>
    </row>
    <row r="751" customFormat="false" ht="144" hidden="false" customHeight="true" outlineLevel="0" collapsed="false">
      <c r="C751" s="26" t="s">
        <v>712</v>
      </c>
      <c r="M751" s="23"/>
      <c r="N751" s="23"/>
      <c r="O751" s="23"/>
    </row>
    <row r="752" customFormat="false" ht="15" hidden="false" customHeight="true" outlineLevel="0" collapsed="false">
      <c r="C752" s="27" t="s">
        <v>713</v>
      </c>
      <c r="D752" s="28" t="n">
        <v>4</v>
      </c>
      <c r="H752" s="29" t="n">
        <f aca="false">IF(COUNT(D752:G752)=0,0,D752*IF(E752="",1,E752)*IF(F752="",1,F752)*IF(G752="",1,G752))</f>
        <v>4</v>
      </c>
      <c r="M752" s="23"/>
      <c r="N752" s="23"/>
      <c r="O752" s="23"/>
    </row>
    <row r="753" customFormat="false" ht="15" hidden="false" customHeight="true" outlineLevel="0" collapsed="false">
      <c r="H753" s="30"/>
      <c r="I753" s="31" t="n">
        <f aca="false">ROUND(SUM(H752:H752),2)</f>
        <v>4</v>
      </c>
      <c r="J753" s="32" t="n">
        <v>121.22</v>
      </c>
      <c r="K753" s="31" t="n">
        <f aca="false">ROUND(I753*J753,2)</f>
        <v>484.88</v>
      </c>
      <c r="L753" s="33" t="s">
        <v>212</v>
      </c>
      <c r="M753" s="23" t="s">
        <v>123</v>
      </c>
      <c r="N753" s="23" t="s">
        <v>54</v>
      </c>
      <c r="O753" s="23" t="s">
        <v>649</v>
      </c>
    </row>
    <row r="754" customFormat="false" ht="15" hidden="false" customHeight="true" outlineLevel="0" collapsed="false">
      <c r="A754" s="3" t="s">
        <v>714</v>
      </c>
      <c r="B754" s="3" t="s">
        <v>652</v>
      </c>
      <c r="C754" s="3" t="s">
        <v>715</v>
      </c>
      <c r="M754" s="23"/>
      <c r="N754" s="23"/>
      <c r="O754" s="23"/>
    </row>
    <row r="755" customFormat="false" ht="144" hidden="false" customHeight="true" outlineLevel="0" collapsed="false">
      <c r="C755" s="26" t="s">
        <v>716</v>
      </c>
      <c r="M755" s="23"/>
      <c r="N755" s="23"/>
      <c r="O755" s="23"/>
    </row>
    <row r="756" customFormat="false" ht="15" hidden="false" customHeight="true" outlineLevel="0" collapsed="false">
      <c r="C756" s="27" t="s">
        <v>713</v>
      </c>
      <c r="D756" s="28" t="n">
        <v>5</v>
      </c>
      <c r="H756" s="29" t="n">
        <f aca="false">IF(COUNT(D756:G756)=0,0,D756*IF(E756="",1,E756)*IF(F756="",1,F756)*IF(G756="",1,G756))</f>
        <v>5</v>
      </c>
      <c r="M756" s="23"/>
      <c r="N756" s="23"/>
      <c r="O756" s="23"/>
    </row>
    <row r="757" customFormat="false" ht="15" hidden="false" customHeight="true" outlineLevel="0" collapsed="false">
      <c r="H757" s="30"/>
      <c r="I757" s="31" t="n">
        <f aca="false">ROUND(SUM(H756:H756),2)</f>
        <v>5</v>
      </c>
      <c r="J757" s="32" t="n">
        <v>144.47</v>
      </c>
      <c r="K757" s="31" t="n">
        <f aca="false">ROUND(I757*J757,2)</f>
        <v>722.35</v>
      </c>
      <c r="L757" s="33" t="s">
        <v>212</v>
      </c>
      <c r="M757" s="23" t="s">
        <v>123</v>
      </c>
      <c r="N757" s="23" t="s">
        <v>54</v>
      </c>
      <c r="O757" s="23" t="s">
        <v>649</v>
      </c>
    </row>
    <row r="758" customFormat="false" ht="15" hidden="false" customHeight="true" outlineLevel="0" collapsed="false">
      <c r="A758" s="3" t="s">
        <v>717</v>
      </c>
      <c r="B758" s="3" t="s">
        <v>652</v>
      </c>
      <c r="C758" s="3" t="s">
        <v>718</v>
      </c>
      <c r="M758" s="23"/>
      <c r="N758" s="23"/>
      <c r="O758" s="23"/>
    </row>
    <row r="759" customFormat="false" ht="132" hidden="false" customHeight="true" outlineLevel="0" collapsed="false">
      <c r="C759" s="26" t="s">
        <v>719</v>
      </c>
      <c r="M759" s="23"/>
      <c r="N759" s="23"/>
      <c r="O759" s="23"/>
    </row>
    <row r="760" customFormat="false" ht="15" hidden="false" customHeight="true" outlineLevel="0" collapsed="false">
      <c r="C760" s="27" t="s">
        <v>720</v>
      </c>
      <c r="D760" s="28" t="n">
        <v>2</v>
      </c>
      <c r="H760" s="29" t="n">
        <f aca="false">IF(COUNT(D760:G760)=0,0,D760*IF(E760="",1,E760)*IF(F760="",1,F760)*IF(G760="",1,G760))</f>
        <v>2</v>
      </c>
      <c r="M760" s="23"/>
      <c r="N760" s="23"/>
      <c r="O760" s="23"/>
    </row>
    <row r="761" customFormat="false" ht="15" hidden="false" customHeight="true" outlineLevel="0" collapsed="false">
      <c r="H761" s="30"/>
      <c r="I761" s="31" t="n">
        <f aca="false">ROUND(SUM(H760:H760),2)</f>
        <v>2</v>
      </c>
      <c r="J761" s="32" t="n">
        <v>212.46</v>
      </c>
      <c r="K761" s="31" t="n">
        <f aca="false">ROUND(I761*J761,2)</f>
        <v>424.92</v>
      </c>
      <c r="L761" s="33" t="s">
        <v>212</v>
      </c>
      <c r="M761" s="23" t="s">
        <v>123</v>
      </c>
      <c r="N761" s="23" t="s">
        <v>54</v>
      </c>
      <c r="O761" s="23" t="s">
        <v>649</v>
      </c>
    </row>
    <row r="762" customFormat="false" ht="15" hidden="false" customHeight="true" outlineLevel="0" collapsed="false">
      <c r="A762" s="3" t="s">
        <v>721</v>
      </c>
      <c r="B762" s="3" t="s">
        <v>129</v>
      </c>
      <c r="C762" s="3" t="s">
        <v>722</v>
      </c>
      <c r="M762" s="23"/>
      <c r="N762" s="23"/>
      <c r="O762" s="23"/>
    </row>
    <row r="763" customFormat="false" ht="24" hidden="false" customHeight="true" outlineLevel="0" collapsed="false">
      <c r="C763" s="26" t="s">
        <v>723</v>
      </c>
      <c r="M763" s="23"/>
      <c r="N763" s="23"/>
      <c r="O763" s="23"/>
    </row>
    <row r="764" customFormat="false" ht="15" hidden="false" customHeight="true" outlineLevel="0" collapsed="false">
      <c r="C764" s="27" t="s">
        <v>724</v>
      </c>
      <c r="D764" s="28" t="n">
        <v>3</v>
      </c>
      <c r="H764" s="29" t="n">
        <f aca="false">IF(COUNT(D764:G764)=0,0,D764*IF(E764="",1,E764)*IF(F764="",1,F764)*IF(G764="",1,G764))</f>
        <v>3</v>
      </c>
      <c r="M764" s="23"/>
      <c r="N764" s="23"/>
      <c r="O764" s="23"/>
    </row>
    <row r="765" customFormat="false" ht="18.75" hidden="false" customHeight="true" outlineLevel="0" collapsed="false">
      <c r="H765" s="30"/>
      <c r="I765" s="31" t="n">
        <f aca="false">ROUND(SUM(H764:H764),2)</f>
        <v>3</v>
      </c>
      <c r="J765" s="32" t="n">
        <v>210</v>
      </c>
      <c r="K765" s="31" t="n">
        <f aca="false">ROUND(I765*J765,2)</f>
        <v>630</v>
      </c>
      <c r="L765" s="33" t="s">
        <v>238</v>
      </c>
      <c r="M765" s="23" t="s">
        <v>123</v>
      </c>
      <c r="N765" s="23" t="s">
        <v>54</v>
      </c>
      <c r="O765" s="23" t="s">
        <v>649</v>
      </c>
    </row>
    <row r="766" customFormat="false" ht="15" hidden="false" customHeight="true" outlineLevel="0" collapsed="false">
      <c r="A766" s="3" t="s">
        <v>725</v>
      </c>
      <c r="C766" s="3" t="s">
        <v>726</v>
      </c>
      <c r="M766" s="23" t="s">
        <v>291</v>
      </c>
      <c r="N766" s="23" t="s">
        <v>54</v>
      </c>
      <c r="O766" s="23" t="s">
        <v>725</v>
      </c>
    </row>
    <row r="767" customFormat="false" ht="15" hidden="false" customHeight="true" outlineLevel="0" collapsed="false">
      <c r="A767" s="3" t="s">
        <v>727</v>
      </c>
      <c r="B767" s="3" t="s">
        <v>652</v>
      </c>
      <c r="C767" s="3" t="s">
        <v>728</v>
      </c>
      <c r="M767" s="23"/>
      <c r="N767" s="23"/>
      <c r="O767" s="23"/>
    </row>
    <row r="768" customFormat="false" ht="36" hidden="false" customHeight="true" outlineLevel="0" collapsed="false">
      <c r="C768" s="26" t="s">
        <v>729</v>
      </c>
      <c r="M768" s="23"/>
      <c r="N768" s="23"/>
      <c r="O768" s="23"/>
    </row>
    <row r="769" customFormat="false" ht="15" hidden="false" customHeight="true" outlineLevel="0" collapsed="false">
      <c r="C769" s="27" t="s">
        <v>730</v>
      </c>
      <c r="D769" s="28" t="n">
        <v>1</v>
      </c>
      <c r="H769" s="29" t="n">
        <f aca="false">IF(COUNT(D769:G769)=0,0,D769*IF(E769="",1,E769)*IF(F769="",1,F769)*IF(G769="",1,G769))</f>
        <v>1</v>
      </c>
      <c r="M769" s="23"/>
      <c r="N769" s="23"/>
      <c r="O769" s="23"/>
    </row>
    <row r="770" customFormat="false" ht="15" hidden="false" customHeight="true" outlineLevel="0" collapsed="false">
      <c r="H770" s="30"/>
      <c r="I770" s="31" t="n">
        <f aca="false">ROUND(SUM(H769:H769),2)</f>
        <v>1</v>
      </c>
      <c r="J770" s="32" t="n">
        <v>54.93</v>
      </c>
      <c r="K770" s="31" t="n">
        <f aca="false">ROUND(I770*J770,2)</f>
        <v>54.93</v>
      </c>
      <c r="L770" s="33" t="s">
        <v>212</v>
      </c>
      <c r="M770" s="23" t="s">
        <v>123</v>
      </c>
      <c r="N770" s="23" t="s">
        <v>54</v>
      </c>
      <c r="O770" s="23" t="s">
        <v>725</v>
      </c>
    </row>
    <row r="771" customFormat="false" ht="15" hidden="false" customHeight="true" outlineLevel="0" collapsed="false">
      <c r="A771" s="3" t="s">
        <v>731</v>
      </c>
      <c r="B771" s="3" t="s">
        <v>652</v>
      </c>
      <c r="C771" s="3" t="s">
        <v>732</v>
      </c>
      <c r="M771" s="23"/>
      <c r="N771" s="23"/>
      <c r="O771" s="23"/>
    </row>
    <row r="772" customFormat="false" ht="36" hidden="false" customHeight="true" outlineLevel="0" collapsed="false">
      <c r="C772" s="26" t="s">
        <v>733</v>
      </c>
      <c r="M772" s="23"/>
      <c r="N772" s="23"/>
      <c r="O772" s="23"/>
    </row>
    <row r="773" customFormat="false" ht="15" hidden="false" customHeight="true" outlineLevel="0" collapsed="false">
      <c r="C773" s="27" t="s">
        <v>734</v>
      </c>
      <c r="D773" s="28" t="n">
        <v>1</v>
      </c>
      <c r="H773" s="29" t="n">
        <f aca="false">IF(COUNT(D773:G773)=0,0,D773*IF(E773="",1,E773)*IF(F773="",1,F773)*IF(G773="",1,G773))</f>
        <v>1</v>
      </c>
      <c r="M773" s="23"/>
      <c r="N773" s="23"/>
      <c r="O773" s="23"/>
    </row>
    <row r="774" customFormat="false" ht="15" hidden="false" customHeight="true" outlineLevel="0" collapsed="false">
      <c r="H774" s="30"/>
      <c r="I774" s="31" t="n">
        <f aca="false">ROUND(SUM(H773:H773),2)</f>
        <v>1</v>
      </c>
      <c r="J774" s="32" t="n">
        <v>74.06</v>
      </c>
      <c r="K774" s="31" t="n">
        <f aca="false">ROUND(I774*J774,2)</f>
        <v>74.06</v>
      </c>
      <c r="L774" s="33" t="s">
        <v>212</v>
      </c>
      <c r="M774" s="23" t="s">
        <v>123</v>
      </c>
      <c r="N774" s="23" t="s">
        <v>54</v>
      </c>
      <c r="O774" s="23" t="s">
        <v>725</v>
      </c>
    </row>
    <row r="775" customFormat="false" ht="15" hidden="false" customHeight="true" outlineLevel="0" collapsed="false">
      <c r="A775" s="3" t="s">
        <v>735</v>
      </c>
      <c r="B775" s="3" t="s">
        <v>652</v>
      </c>
      <c r="C775" s="3" t="s">
        <v>736</v>
      </c>
      <c r="M775" s="23"/>
      <c r="N775" s="23"/>
      <c r="O775" s="23"/>
    </row>
    <row r="776" customFormat="false" ht="36" hidden="false" customHeight="true" outlineLevel="0" collapsed="false">
      <c r="C776" s="26" t="s">
        <v>737</v>
      </c>
      <c r="M776" s="23"/>
      <c r="N776" s="23"/>
      <c r="O776" s="23"/>
    </row>
    <row r="777" customFormat="false" ht="15" hidden="false" customHeight="true" outlineLevel="0" collapsed="false">
      <c r="C777" s="27" t="s">
        <v>738</v>
      </c>
      <c r="D777" s="28" t="n">
        <v>2</v>
      </c>
      <c r="H777" s="29" t="n">
        <f aca="false">IF(COUNT(D777:G777)=0,0,D777*IF(E777="",1,E777)*IF(F777="",1,F777)*IF(G777="",1,G777))</f>
        <v>2</v>
      </c>
      <c r="M777" s="23"/>
      <c r="N777" s="23"/>
      <c r="O777" s="23"/>
    </row>
    <row r="778" customFormat="false" ht="15" hidden="false" customHeight="true" outlineLevel="0" collapsed="false">
      <c r="H778" s="30"/>
      <c r="I778" s="31" t="n">
        <f aca="false">ROUND(SUM(H777:H777),2)</f>
        <v>2</v>
      </c>
      <c r="J778" s="32" t="n">
        <v>10.25</v>
      </c>
      <c r="K778" s="31" t="n">
        <f aca="false">ROUND(I778*J778,2)</f>
        <v>20.5</v>
      </c>
      <c r="L778" s="33" t="s">
        <v>212</v>
      </c>
      <c r="M778" s="23" t="s">
        <v>123</v>
      </c>
      <c r="N778" s="23" t="s">
        <v>54</v>
      </c>
      <c r="O778" s="23" t="s">
        <v>725</v>
      </c>
    </row>
    <row r="779" customFormat="false" ht="15" hidden="false" customHeight="true" outlineLevel="0" collapsed="false">
      <c r="A779" s="3" t="s">
        <v>739</v>
      </c>
      <c r="C779" s="3" t="s">
        <v>740</v>
      </c>
      <c r="M779" s="23" t="s">
        <v>291</v>
      </c>
      <c r="N779" s="23" t="s">
        <v>54</v>
      </c>
      <c r="O779" s="23" t="s">
        <v>739</v>
      </c>
    </row>
    <row r="780" customFormat="false" ht="15" hidden="false" customHeight="true" outlineLevel="0" collapsed="false">
      <c r="A780" s="3" t="s">
        <v>741</v>
      </c>
      <c r="B780" s="3" t="s">
        <v>129</v>
      </c>
      <c r="C780" s="3" t="s">
        <v>742</v>
      </c>
      <c r="M780" s="23"/>
      <c r="N780" s="23"/>
      <c r="O780" s="23"/>
    </row>
    <row r="781" customFormat="false" ht="48" hidden="false" customHeight="true" outlineLevel="0" collapsed="false">
      <c r="C781" s="26" t="s">
        <v>743</v>
      </c>
      <c r="M781" s="23"/>
      <c r="N781" s="23"/>
      <c r="O781" s="23"/>
    </row>
    <row r="782" customFormat="false" ht="15" hidden="false" customHeight="true" outlineLevel="0" collapsed="false">
      <c r="C782" s="27" t="s">
        <v>744</v>
      </c>
      <c r="D782" s="28" t="n">
        <v>1</v>
      </c>
      <c r="H782" s="29" t="n">
        <f aca="false">IF(COUNT(D782:G782)=0,0,D782*IF(E782="",1,E782)*IF(F782="",1,F782)*IF(G782="",1,G782))</f>
        <v>1</v>
      </c>
      <c r="M782" s="23"/>
      <c r="N782" s="23"/>
      <c r="O782" s="23"/>
    </row>
    <row r="783" customFormat="false" ht="18.75" hidden="false" customHeight="true" outlineLevel="0" collapsed="false">
      <c r="H783" s="30"/>
      <c r="I783" s="31" t="n">
        <f aca="false">ROUND(SUM(H782:H782),2)</f>
        <v>1</v>
      </c>
      <c r="J783" s="32" t="n">
        <v>9200</v>
      </c>
      <c r="K783" s="31" t="n">
        <f aca="false">ROUND(I783*J783,2)</f>
        <v>9200</v>
      </c>
      <c r="L783" s="33" t="s">
        <v>238</v>
      </c>
      <c r="M783" s="23" t="s">
        <v>123</v>
      </c>
      <c r="N783" s="23" t="s">
        <v>54</v>
      </c>
      <c r="O783" s="23" t="s">
        <v>739</v>
      </c>
    </row>
    <row r="784" customFormat="false" ht="15" hidden="false" customHeight="true" outlineLevel="0" collapsed="false">
      <c r="A784" s="3" t="s">
        <v>745</v>
      </c>
      <c r="B784" s="3" t="s">
        <v>652</v>
      </c>
      <c r="C784" s="3" t="s">
        <v>746</v>
      </c>
      <c r="M784" s="23"/>
      <c r="N784" s="23"/>
      <c r="O784" s="23"/>
    </row>
    <row r="785" customFormat="false" ht="36" hidden="false" customHeight="true" outlineLevel="0" collapsed="false">
      <c r="C785" s="26" t="s">
        <v>747</v>
      </c>
      <c r="M785" s="23"/>
      <c r="N785" s="23"/>
      <c r="O785" s="23"/>
    </row>
    <row r="786" customFormat="false" ht="15" hidden="false" customHeight="true" outlineLevel="0" collapsed="false">
      <c r="C786" s="27" t="s">
        <v>748</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128.56</v>
      </c>
      <c r="K787" s="31" t="n">
        <f aca="false">ROUND(I787*J787,2)</f>
        <v>128.56</v>
      </c>
      <c r="L787" s="33" t="s">
        <v>212</v>
      </c>
      <c r="M787" s="23" t="s">
        <v>123</v>
      </c>
      <c r="N787" s="23" t="s">
        <v>54</v>
      </c>
      <c r="O787" s="23" t="s">
        <v>739</v>
      </c>
    </row>
    <row r="788" customFormat="false" ht="15" hidden="false" customHeight="true" outlineLevel="0" collapsed="false">
      <c r="A788" s="3" t="s">
        <v>749</v>
      </c>
      <c r="B788" s="3" t="s">
        <v>652</v>
      </c>
      <c r="C788" s="3" t="s">
        <v>750</v>
      </c>
      <c r="M788" s="23"/>
      <c r="N788" s="23"/>
      <c r="O788" s="23"/>
    </row>
    <row r="789" customFormat="false" ht="24" hidden="false" customHeight="true" outlineLevel="0" collapsed="false">
      <c r="C789" s="26" t="s">
        <v>751</v>
      </c>
      <c r="M789" s="23"/>
      <c r="N789" s="23"/>
      <c r="O789" s="23"/>
    </row>
    <row r="790" customFormat="false" ht="15" hidden="false" customHeight="true" outlineLevel="0" collapsed="false">
      <c r="C790" s="27" t="s">
        <v>748</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33.06</v>
      </c>
      <c r="K791" s="31" t="n">
        <f aca="false">ROUND(I791*J791,2)</f>
        <v>33.06</v>
      </c>
      <c r="L791" s="33" t="s">
        <v>212</v>
      </c>
      <c r="M791" s="23" t="s">
        <v>123</v>
      </c>
      <c r="N791" s="23" t="s">
        <v>54</v>
      </c>
      <c r="O791" s="23" t="s">
        <v>739</v>
      </c>
    </row>
    <row r="792" customFormat="false" ht="15" hidden="false" customHeight="true" outlineLevel="0" collapsed="false">
      <c r="A792" s="3" t="s">
        <v>752</v>
      </c>
      <c r="B792" s="3" t="s">
        <v>652</v>
      </c>
      <c r="C792" s="3" t="s">
        <v>753</v>
      </c>
      <c r="M792" s="23"/>
      <c r="N792" s="23"/>
      <c r="O792" s="23"/>
    </row>
    <row r="793" customFormat="false" ht="24" hidden="false" customHeight="true" outlineLevel="0" collapsed="false">
      <c r="C793" s="26" t="s">
        <v>754</v>
      </c>
      <c r="M793" s="23"/>
      <c r="N793" s="23"/>
      <c r="O793" s="23"/>
    </row>
    <row r="794" customFormat="false" ht="15" hidden="false" customHeight="true" outlineLevel="0" collapsed="false">
      <c r="C794" s="27" t="s">
        <v>748</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80.8</v>
      </c>
      <c r="K795" s="31" t="n">
        <f aca="false">ROUND(I795*J795,2)</f>
        <v>80.8</v>
      </c>
      <c r="L795" s="33" t="s">
        <v>212</v>
      </c>
      <c r="M795" s="23" t="s">
        <v>123</v>
      </c>
      <c r="N795" s="23" t="s">
        <v>54</v>
      </c>
      <c r="O795" s="23" t="s">
        <v>739</v>
      </c>
    </row>
    <row r="796" customFormat="false" ht="15" hidden="false" customHeight="true" outlineLevel="0" collapsed="false">
      <c r="A796" s="3" t="s">
        <v>755</v>
      </c>
      <c r="B796" s="3" t="s">
        <v>652</v>
      </c>
      <c r="C796" s="3" t="s">
        <v>756</v>
      </c>
      <c r="M796" s="23"/>
      <c r="N796" s="23"/>
      <c r="O796" s="23"/>
    </row>
    <row r="797" customFormat="false" ht="36" hidden="false" customHeight="true" outlineLevel="0" collapsed="false">
      <c r="C797" s="26" t="s">
        <v>757</v>
      </c>
      <c r="M797" s="23"/>
      <c r="N797" s="23"/>
      <c r="O797" s="23"/>
    </row>
    <row r="798" customFormat="false" ht="15" hidden="false" customHeight="true" outlineLevel="0" collapsed="false">
      <c r="C798" s="27" t="s">
        <v>748</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239.51</v>
      </c>
      <c r="K799" s="31" t="n">
        <f aca="false">ROUND(I799*J799,2)</f>
        <v>239.51</v>
      </c>
      <c r="L799" s="33" t="s">
        <v>212</v>
      </c>
      <c r="M799" s="23" t="s">
        <v>123</v>
      </c>
      <c r="N799" s="23" t="s">
        <v>54</v>
      </c>
      <c r="O799" s="23" t="s">
        <v>739</v>
      </c>
    </row>
    <row r="800" customFormat="false" ht="15" hidden="false" customHeight="true" outlineLevel="0" collapsed="false">
      <c r="A800" s="3" t="s">
        <v>758</v>
      </c>
      <c r="B800" s="3" t="s">
        <v>652</v>
      </c>
      <c r="C800" s="3" t="s">
        <v>759</v>
      </c>
      <c r="M800" s="23"/>
      <c r="N800" s="23"/>
      <c r="O800" s="23"/>
    </row>
    <row r="801" customFormat="false" ht="12" hidden="false" customHeight="true" outlineLevel="0" collapsed="false">
      <c r="C801" s="26" t="s">
        <v>760</v>
      </c>
      <c r="M801" s="23"/>
      <c r="N801" s="23"/>
      <c r="O801" s="23"/>
    </row>
    <row r="802" customFormat="false" ht="15" hidden="false" customHeight="true" outlineLevel="0" collapsed="false">
      <c r="C802" s="27" t="s">
        <v>748</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33.06</v>
      </c>
      <c r="K803" s="31" t="n">
        <f aca="false">ROUND(I803*J803,2)</f>
        <v>33.06</v>
      </c>
      <c r="L803" s="33" t="s">
        <v>212</v>
      </c>
      <c r="M803" s="23" t="s">
        <v>123</v>
      </c>
      <c r="N803" s="23" t="s">
        <v>54</v>
      </c>
      <c r="O803" s="23" t="s">
        <v>739</v>
      </c>
    </row>
    <row r="804" customFormat="false" ht="15" hidden="false" customHeight="true" outlineLevel="0" collapsed="false">
      <c r="A804" s="3" t="s">
        <v>761</v>
      </c>
      <c r="B804" s="3" t="s">
        <v>652</v>
      </c>
      <c r="C804" s="3" t="s">
        <v>762</v>
      </c>
      <c r="M804" s="23"/>
      <c r="N804" s="23"/>
      <c r="O804" s="23"/>
    </row>
    <row r="805" customFormat="false" ht="240" hidden="false" customHeight="true" outlineLevel="0" collapsed="false">
      <c r="C805" s="26" t="s">
        <v>763</v>
      </c>
      <c r="M805" s="23"/>
      <c r="N805" s="23"/>
      <c r="O805" s="23"/>
    </row>
    <row r="806" customFormat="false" ht="15" hidden="false" customHeight="true" outlineLevel="0" collapsed="false">
      <c r="C806" s="27" t="s">
        <v>748</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257.12</v>
      </c>
      <c r="K807" s="31" t="n">
        <f aca="false">ROUND(I807*J807,2)</f>
        <v>257.12</v>
      </c>
      <c r="L807" s="33" t="s">
        <v>212</v>
      </c>
      <c r="M807" s="23" t="s">
        <v>123</v>
      </c>
      <c r="N807" s="23" t="s">
        <v>54</v>
      </c>
      <c r="O807" s="23" t="s">
        <v>739</v>
      </c>
    </row>
    <row r="808" customFormat="false" ht="15" hidden="false" customHeight="true" outlineLevel="0" collapsed="false">
      <c r="A808" s="3" t="s">
        <v>764</v>
      </c>
      <c r="B808" s="3" t="s">
        <v>652</v>
      </c>
      <c r="C808" s="3" t="s">
        <v>765</v>
      </c>
      <c r="M808" s="23"/>
      <c r="N808" s="23"/>
      <c r="O808" s="23"/>
    </row>
    <row r="809" customFormat="false" ht="72" hidden="false" customHeight="true" outlineLevel="0" collapsed="false">
      <c r="C809" s="26" t="s">
        <v>766</v>
      </c>
      <c r="M809" s="23"/>
      <c r="N809" s="23"/>
      <c r="O809" s="23"/>
    </row>
    <row r="810" customFormat="false" ht="15" hidden="false" customHeight="true" outlineLevel="0" collapsed="false">
      <c r="C810" s="27" t="s">
        <v>748</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165.3</v>
      </c>
      <c r="K811" s="31" t="n">
        <f aca="false">ROUND(I811*J811,2)</f>
        <v>165.3</v>
      </c>
      <c r="L811" s="33" t="s">
        <v>212</v>
      </c>
      <c r="M811" s="23" t="s">
        <v>123</v>
      </c>
      <c r="N811" s="23" t="s">
        <v>54</v>
      </c>
      <c r="O811" s="23" t="s">
        <v>739</v>
      </c>
    </row>
    <row r="812" customFormat="false" ht="15" hidden="false" customHeight="true" outlineLevel="0" collapsed="false">
      <c r="A812" s="3" t="s">
        <v>767</v>
      </c>
      <c r="B812" s="3" t="s">
        <v>652</v>
      </c>
      <c r="C812" s="3" t="s">
        <v>768</v>
      </c>
      <c r="M812" s="23"/>
      <c r="N812" s="23"/>
      <c r="O812" s="23"/>
    </row>
    <row r="813" customFormat="false" ht="48" hidden="false" customHeight="true" outlineLevel="0" collapsed="false">
      <c r="C813" s="26" t="s">
        <v>769</v>
      </c>
      <c r="M813" s="23"/>
      <c r="N813" s="23"/>
      <c r="O813" s="23"/>
    </row>
    <row r="814" customFormat="false" ht="15" hidden="false" customHeight="true" outlineLevel="0" collapsed="false">
      <c r="C814" s="27" t="s">
        <v>748</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190.27</v>
      </c>
      <c r="K815" s="31" t="n">
        <f aca="false">ROUND(I815*J815,2)</f>
        <v>190.27</v>
      </c>
      <c r="L815" s="33" t="s">
        <v>212</v>
      </c>
      <c r="M815" s="23" t="s">
        <v>123</v>
      </c>
      <c r="N815" s="23" t="s">
        <v>54</v>
      </c>
      <c r="O815" s="23" t="s">
        <v>739</v>
      </c>
    </row>
    <row r="816" customFormat="false" ht="15" hidden="false" customHeight="true" outlineLevel="0" collapsed="false">
      <c r="A816" s="3" t="s">
        <v>770</v>
      </c>
      <c r="B816" s="3" t="s">
        <v>652</v>
      </c>
      <c r="C816" s="3" t="s">
        <v>771</v>
      </c>
      <c r="M816" s="23"/>
      <c r="N816" s="23"/>
      <c r="O816" s="23"/>
    </row>
    <row r="817" customFormat="false" ht="48" hidden="false" customHeight="true" outlineLevel="0" collapsed="false">
      <c r="C817" s="26" t="s">
        <v>772</v>
      </c>
      <c r="M817" s="23"/>
      <c r="N817" s="23"/>
      <c r="O817" s="23"/>
    </row>
    <row r="818" customFormat="false" ht="15" hidden="false" customHeight="true" outlineLevel="0" collapsed="false">
      <c r="C818" s="27" t="s">
        <v>748</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238.88</v>
      </c>
      <c r="K819" s="31" t="n">
        <f aca="false">ROUND(I819*J819,2)</f>
        <v>238.88</v>
      </c>
      <c r="L819" s="33" t="s">
        <v>212</v>
      </c>
      <c r="M819" s="23" t="s">
        <v>123</v>
      </c>
      <c r="N819" s="23" t="s">
        <v>54</v>
      </c>
      <c r="O819" s="23" t="s">
        <v>739</v>
      </c>
    </row>
    <row r="820" customFormat="false" ht="15" hidden="false" customHeight="true" outlineLevel="0" collapsed="false">
      <c r="A820" s="3" t="s">
        <v>773</v>
      </c>
      <c r="B820" s="3" t="s">
        <v>652</v>
      </c>
      <c r="C820" s="3" t="s">
        <v>774</v>
      </c>
      <c r="M820" s="23"/>
      <c r="N820" s="23"/>
      <c r="O820" s="23"/>
    </row>
    <row r="821" customFormat="false" ht="24" hidden="false" customHeight="true" outlineLevel="0" collapsed="false">
      <c r="C821" s="26" t="s">
        <v>775</v>
      </c>
      <c r="M821" s="23"/>
      <c r="N821" s="23"/>
      <c r="O821" s="23"/>
    </row>
    <row r="822" customFormat="false" ht="15" hidden="false" customHeight="true" outlineLevel="0" collapsed="false">
      <c r="C822" s="27" t="s">
        <v>748</v>
      </c>
      <c r="D822" s="28" t="n">
        <v>1</v>
      </c>
      <c r="H822" s="29" t="n">
        <f aca="false">IF(COUNT(D822:G822)=0,0,D822*IF(E822="",1,E822)*IF(F822="",1,F822)*IF(G822="",1,G822))</f>
        <v>1</v>
      </c>
      <c r="M822" s="23"/>
      <c r="N822" s="23"/>
      <c r="O822" s="23"/>
    </row>
    <row r="823" customFormat="false" ht="15" hidden="false" customHeight="true" outlineLevel="0" collapsed="false">
      <c r="H823" s="30"/>
      <c r="I823" s="31" t="n">
        <f aca="false">ROUND(SUM(H822:H822),2)</f>
        <v>1</v>
      </c>
      <c r="J823" s="32" t="n">
        <v>130.14</v>
      </c>
      <c r="K823" s="31" t="n">
        <f aca="false">ROUND(I823*J823,2)</f>
        <v>130.14</v>
      </c>
      <c r="L823" s="33" t="s">
        <v>212</v>
      </c>
      <c r="M823" s="23" t="s">
        <v>123</v>
      </c>
      <c r="N823" s="23" t="s">
        <v>54</v>
      </c>
      <c r="O823" s="23" t="s">
        <v>739</v>
      </c>
    </row>
    <row r="824" customFormat="false" ht="15" hidden="false" customHeight="true" outlineLevel="0" collapsed="false">
      <c r="A824" s="3" t="s">
        <v>776</v>
      </c>
      <c r="B824" s="3" t="s">
        <v>652</v>
      </c>
      <c r="C824" s="3" t="s">
        <v>777</v>
      </c>
      <c r="M824" s="23"/>
      <c r="N824" s="23"/>
      <c r="O824" s="23"/>
    </row>
    <row r="825" customFormat="false" ht="24" hidden="false" customHeight="true" outlineLevel="0" collapsed="false">
      <c r="C825" s="26" t="s">
        <v>778</v>
      </c>
      <c r="M825" s="23"/>
      <c r="N825" s="23"/>
      <c r="O825" s="23"/>
    </row>
    <row r="826" customFormat="false" ht="15" hidden="false" customHeight="true" outlineLevel="0" collapsed="false">
      <c r="C826" s="27" t="s">
        <v>748</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140.49</v>
      </c>
      <c r="K827" s="31" t="n">
        <f aca="false">ROUND(I827*J827,2)</f>
        <v>140.49</v>
      </c>
      <c r="L827" s="33" t="s">
        <v>212</v>
      </c>
      <c r="M827" s="23" t="s">
        <v>123</v>
      </c>
      <c r="N827" s="23" t="s">
        <v>54</v>
      </c>
      <c r="O827" s="23" t="s">
        <v>739</v>
      </c>
    </row>
    <row r="828" customFormat="false" ht="15" hidden="false" customHeight="true" outlineLevel="0" collapsed="false">
      <c r="A828" s="3" t="s">
        <v>779</v>
      </c>
      <c r="B828" s="3" t="s">
        <v>659</v>
      </c>
      <c r="C828" s="3" t="s">
        <v>780</v>
      </c>
      <c r="M828" s="23"/>
      <c r="N828" s="23"/>
      <c r="O828" s="23"/>
    </row>
    <row r="829" customFormat="false" ht="96" hidden="false" customHeight="true" outlineLevel="0" collapsed="false">
      <c r="C829" s="26" t="s">
        <v>781</v>
      </c>
      <c r="M829" s="23"/>
      <c r="N829" s="23"/>
      <c r="O829" s="23"/>
    </row>
    <row r="830" customFormat="false" ht="15" hidden="false" customHeight="true" outlineLevel="0" collapsed="false">
      <c r="C830" s="27" t="s">
        <v>748</v>
      </c>
      <c r="D830" s="28" t="n">
        <v>23</v>
      </c>
      <c r="H830" s="29" t="n">
        <f aca="false">IF(COUNT(D830:G830)=0,0,D830*IF(E830="",1,E830)*IF(F830="",1,F830)*IF(G830="",1,G830))</f>
        <v>23</v>
      </c>
      <c r="M830" s="23"/>
      <c r="N830" s="23"/>
      <c r="O830" s="23"/>
    </row>
    <row r="831" customFormat="false" ht="15" hidden="false" customHeight="true" outlineLevel="0" collapsed="false">
      <c r="H831" s="30"/>
      <c r="I831" s="31" t="n">
        <f aca="false">ROUND(SUM(H830:H830),2)</f>
        <v>23</v>
      </c>
      <c r="J831" s="32" t="n">
        <v>5.51</v>
      </c>
      <c r="K831" s="31" t="n">
        <f aca="false">ROUND(I831*J831,2)</f>
        <v>126.73</v>
      </c>
      <c r="L831" s="33" t="s">
        <v>212</v>
      </c>
      <c r="M831" s="23" t="s">
        <v>123</v>
      </c>
      <c r="N831" s="23" t="s">
        <v>54</v>
      </c>
      <c r="O831" s="23" t="s">
        <v>739</v>
      </c>
    </row>
    <row r="832" customFormat="false" ht="15" hidden="false" customHeight="true" outlineLevel="0" collapsed="false">
      <c r="A832" s="3" t="s">
        <v>782</v>
      </c>
      <c r="B832" s="3" t="s">
        <v>652</v>
      </c>
      <c r="C832" s="3" t="s">
        <v>783</v>
      </c>
      <c r="M832" s="23"/>
      <c r="N832" s="23"/>
      <c r="O832" s="23"/>
    </row>
    <row r="833" customFormat="false" ht="36" hidden="false" customHeight="true" outlineLevel="0" collapsed="false">
      <c r="C833" s="26" t="s">
        <v>784</v>
      </c>
      <c r="M833" s="23"/>
      <c r="N833" s="23"/>
      <c r="O833" s="23"/>
    </row>
    <row r="834" customFormat="false" ht="15" hidden="false" customHeight="true" outlineLevel="0" collapsed="false">
      <c r="C834" s="27" t="s">
        <v>748</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142.75</v>
      </c>
      <c r="K835" s="31" t="n">
        <f aca="false">ROUND(I835*J835,2)</f>
        <v>142.75</v>
      </c>
      <c r="L835" s="33" t="s">
        <v>212</v>
      </c>
      <c r="M835" s="23" t="s">
        <v>123</v>
      </c>
      <c r="N835" s="23" t="s">
        <v>54</v>
      </c>
      <c r="O835" s="23" t="s">
        <v>739</v>
      </c>
    </row>
    <row r="836" customFormat="false" ht="15" hidden="false" customHeight="true" outlineLevel="0" collapsed="false">
      <c r="A836" s="3" t="s">
        <v>785</v>
      </c>
      <c r="B836" s="3" t="s">
        <v>652</v>
      </c>
      <c r="C836" s="3" t="s">
        <v>786</v>
      </c>
      <c r="M836" s="23"/>
      <c r="N836" s="23"/>
      <c r="O836" s="23"/>
    </row>
    <row r="837" customFormat="false" ht="24" hidden="false" customHeight="true" outlineLevel="0" collapsed="false">
      <c r="C837" s="26" t="s">
        <v>787</v>
      </c>
      <c r="M837" s="23"/>
      <c r="N837" s="23"/>
      <c r="O837" s="23"/>
    </row>
    <row r="838" customFormat="false" ht="15" hidden="false" customHeight="true" outlineLevel="0" collapsed="false">
      <c r="C838" s="27" t="s">
        <v>748</v>
      </c>
      <c r="D838" s="28" t="n">
        <v>1</v>
      </c>
      <c r="H838" s="29" t="n">
        <f aca="false">IF(COUNT(D838:G838)=0,0,D838*IF(E838="",1,E838)*IF(F838="",1,F838)*IF(G838="",1,G838))</f>
        <v>1</v>
      </c>
      <c r="M838" s="23"/>
      <c r="N838" s="23"/>
      <c r="O838" s="23"/>
    </row>
    <row r="839" customFormat="false" ht="15" hidden="false" customHeight="true" outlineLevel="0" collapsed="false">
      <c r="H839" s="30"/>
      <c r="I839" s="31" t="n">
        <f aca="false">ROUND(SUM(H838:H838),2)</f>
        <v>1</v>
      </c>
      <c r="J839" s="32" t="n">
        <v>135.9</v>
      </c>
      <c r="K839" s="31" t="n">
        <f aca="false">ROUND(I839*J839,2)</f>
        <v>135.9</v>
      </c>
      <c r="L839" s="33" t="s">
        <v>212</v>
      </c>
      <c r="M839" s="23" t="s">
        <v>123</v>
      </c>
      <c r="N839" s="23" t="s">
        <v>54</v>
      </c>
      <c r="O839" s="23" t="s">
        <v>739</v>
      </c>
    </row>
    <row r="840" customFormat="false" ht="15" hidden="false" customHeight="true" outlineLevel="0" collapsed="false">
      <c r="A840" s="3" t="s">
        <v>788</v>
      </c>
      <c r="B840" s="3" t="s">
        <v>652</v>
      </c>
      <c r="C840" s="3" t="s">
        <v>789</v>
      </c>
      <c r="M840" s="23"/>
      <c r="N840" s="23"/>
      <c r="O840" s="23"/>
    </row>
    <row r="841" customFormat="false" ht="24" hidden="false" customHeight="true" outlineLevel="0" collapsed="false">
      <c r="C841" s="26" t="s">
        <v>790</v>
      </c>
      <c r="M841" s="23"/>
      <c r="N841" s="23"/>
      <c r="O841" s="23"/>
    </row>
    <row r="842" customFormat="false" ht="15" hidden="false" customHeight="true" outlineLevel="0" collapsed="false">
      <c r="C842" s="27" t="s">
        <v>748</v>
      </c>
      <c r="D842" s="28" t="n">
        <v>1</v>
      </c>
      <c r="H842" s="29" t="n">
        <f aca="false">IF(COUNT(D842:G842)=0,0,D842*IF(E842="",1,E842)*IF(F842="",1,F842)*IF(G842="",1,G842))</f>
        <v>1</v>
      </c>
      <c r="M842" s="23"/>
      <c r="N842" s="23"/>
      <c r="O842" s="23"/>
    </row>
    <row r="843" customFormat="false" ht="15" hidden="false" customHeight="true" outlineLevel="0" collapsed="false">
      <c r="H843" s="30"/>
      <c r="I843" s="31" t="n">
        <f aca="false">ROUND(SUM(H842:H842),2)</f>
        <v>1</v>
      </c>
      <c r="J843" s="32" t="n">
        <v>135.9</v>
      </c>
      <c r="K843" s="31" t="n">
        <f aca="false">ROUND(I843*J843,2)</f>
        <v>135.9</v>
      </c>
      <c r="L843" s="33" t="s">
        <v>212</v>
      </c>
      <c r="M843" s="23" t="s">
        <v>123</v>
      </c>
      <c r="N843" s="23" t="s">
        <v>54</v>
      </c>
      <c r="O843" s="23" t="s">
        <v>739</v>
      </c>
    </row>
    <row r="844" customFormat="false" ht="15" hidden="false" customHeight="true" outlineLevel="0" collapsed="false">
      <c r="A844" s="3" t="s">
        <v>791</v>
      </c>
      <c r="B844" s="3" t="s">
        <v>117</v>
      </c>
      <c r="C844" s="3" t="s">
        <v>792</v>
      </c>
      <c r="M844" s="23"/>
      <c r="N844" s="23"/>
      <c r="O844" s="23"/>
    </row>
    <row r="845" customFormat="false" ht="36" hidden="false" customHeight="true" outlineLevel="0" collapsed="false">
      <c r="C845" s="26" t="s">
        <v>793</v>
      </c>
      <c r="M845" s="23"/>
      <c r="N845" s="23"/>
      <c r="O845" s="23"/>
    </row>
    <row r="846" customFormat="false" ht="15" hidden="false" customHeight="true" outlineLevel="0" collapsed="false">
      <c r="C846" s="27" t="s">
        <v>794</v>
      </c>
      <c r="D846" s="28" t="n">
        <v>1</v>
      </c>
      <c r="E846" s="28" t="n">
        <v>176</v>
      </c>
      <c r="H846" s="29" t="n">
        <f aca="false">IF(COUNT(D846:G846)=0,0,D846*IF(E846="",1,E846)*IF(F846="",1,F846)*IF(G846="",1,G846))</f>
        <v>176</v>
      </c>
      <c r="M846" s="23"/>
      <c r="N846" s="23"/>
      <c r="O846" s="23"/>
    </row>
    <row r="847" customFormat="false" ht="15" hidden="false" customHeight="true" outlineLevel="0" collapsed="false">
      <c r="C847" s="27" t="s">
        <v>795</v>
      </c>
      <c r="D847" s="28" t="n">
        <v>1</v>
      </c>
      <c r="E847" s="28" t="n">
        <v>12.3</v>
      </c>
      <c r="H847" s="29" t="n">
        <f aca="false">IF(COUNT(D847:G847)=0,0,D847*IF(E847="",1,E847)*IF(F847="",1,F847)*IF(G847="",1,G847))</f>
        <v>12.3</v>
      </c>
      <c r="M847" s="23"/>
      <c r="N847" s="23"/>
      <c r="O847" s="23"/>
    </row>
    <row r="848" customFormat="false" ht="15" hidden="false" customHeight="true" outlineLevel="0" collapsed="false">
      <c r="H848" s="30"/>
      <c r="I848" s="31" t="n">
        <f aca="false">ROUND(SUM(H846:H847),2)</f>
        <v>188.3</v>
      </c>
      <c r="J848" s="32" t="n">
        <v>24.21</v>
      </c>
      <c r="K848" s="31" t="n">
        <f aca="false">ROUND(I848*J848,2)</f>
        <v>4558.74</v>
      </c>
      <c r="L848" s="33" t="s">
        <v>212</v>
      </c>
      <c r="M848" s="23" t="s">
        <v>123</v>
      </c>
      <c r="N848" s="23" t="s">
        <v>54</v>
      </c>
      <c r="O848" s="23" t="s">
        <v>739</v>
      </c>
    </row>
    <row r="849" customFormat="false" ht="15" hidden="false" customHeight="true" outlineLevel="0" collapsed="false">
      <c r="A849" s="3" t="s">
        <v>796</v>
      </c>
      <c r="B849" s="3" t="s">
        <v>129</v>
      </c>
      <c r="C849" s="3" t="s">
        <v>797</v>
      </c>
      <c r="M849" s="23"/>
      <c r="N849" s="23"/>
      <c r="O849" s="23"/>
    </row>
    <row r="850" customFormat="false" ht="24" hidden="false" customHeight="true" outlineLevel="0" collapsed="false">
      <c r="C850" s="26" t="s">
        <v>798</v>
      </c>
      <c r="M850" s="23"/>
      <c r="N850" s="23"/>
      <c r="O850" s="23"/>
    </row>
    <row r="851" customFormat="false" ht="15" hidden="false" customHeight="true" outlineLevel="0" collapsed="false">
      <c r="C851" s="27" t="s">
        <v>799</v>
      </c>
      <c r="D851" s="28" t="n">
        <v>3</v>
      </c>
      <c r="H851" s="29" t="n">
        <f aca="false">IF(COUNT(D851:G851)=0,0,D851*IF(E851="",1,E851)*IF(F851="",1,F851)*IF(G851="",1,G851))</f>
        <v>3</v>
      </c>
      <c r="M851" s="23"/>
      <c r="N851" s="23"/>
      <c r="O851" s="23"/>
    </row>
    <row r="852" customFormat="false" ht="18.75" hidden="false" customHeight="true" outlineLevel="0" collapsed="false">
      <c r="H852" s="30"/>
      <c r="I852" s="31" t="n">
        <f aca="false">ROUND(SUM(H851:H851),2)</f>
        <v>3</v>
      </c>
      <c r="J852" s="32" t="n">
        <v>520</v>
      </c>
      <c r="K852" s="31" t="n">
        <f aca="false">ROUND(I852*J852,2)</f>
        <v>1560</v>
      </c>
      <c r="L852" s="33" t="s">
        <v>238</v>
      </c>
      <c r="M852" s="23" t="s">
        <v>123</v>
      </c>
      <c r="N852" s="23" t="s">
        <v>54</v>
      </c>
      <c r="O852" s="23" t="s">
        <v>739</v>
      </c>
    </row>
    <row r="853" customFormat="false" ht="15" hidden="false" customHeight="true" outlineLevel="0" collapsed="false">
      <c r="A853" s="3" t="s">
        <v>800</v>
      </c>
      <c r="B853" s="3" t="s">
        <v>652</v>
      </c>
      <c r="C853" s="3" t="s">
        <v>801</v>
      </c>
      <c r="M853" s="23"/>
      <c r="N853" s="23"/>
      <c r="O853" s="23"/>
    </row>
    <row r="854" customFormat="false" ht="12" hidden="false" customHeight="true" outlineLevel="0" collapsed="false">
      <c r="C854" s="26" t="s">
        <v>802</v>
      </c>
      <c r="M854" s="23"/>
      <c r="N854" s="23"/>
      <c r="O854" s="23"/>
    </row>
    <row r="855" customFormat="false" ht="15" hidden="false" customHeight="true" outlineLevel="0" collapsed="false">
      <c r="C855" s="27" t="s">
        <v>803</v>
      </c>
      <c r="D855" s="28" t="n">
        <v>6</v>
      </c>
      <c r="H855" s="29" t="n">
        <f aca="false">IF(COUNT(D855:G855)=0,0,D855*IF(E855="",1,E855)*IF(F855="",1,F855)*IF(G855="",1,G855))</f>
        <v>6</v>
      </c>
      <c r="M855" s="23"/>
      <c r="N855" s="23"/>
      <c r="O855" s="23"/>
    </row>
    <row r="856" customFormat="false" ht="15" hidden="false" customHeight="true" outlineLevel="0" collapsed="false">
      <c r="H856" s="30"/>
      <c r="I856" s="31" t="n">
        <f aca="false">ROUND(SUM(H855:H855),2)</f>
        <v>6</v>
      </c>
      <c r="J856" s="32" t="n">
        <v>80.8</v>
      </c>
      <c r="K856" s="31" t="n">
        <f aca="false">ROUND(I856*J856,2)</f>
        <v>484.8</v>
      </c>
      <c r="L856" s="33" t="s">
        <v>212</v>
      </c>
      <c r="M856" s="23" t="s">
        <v>123</v>
      </c>
      <c r="N856" s="23" t="s">
        <v>54</v>
      </c>
      <c r="O856" s="23" t="s">
        <v>739</v>
      </c>
    </row>
    <row r="857" customFormat="false" ht="15" hidden="false" customHeight="true" outlineLevel="0" collapsed="false">
      <c r="A857" s="3" t="s">
        <v>804</v>
      </c>
      <c r="B857" s="3" t="s">
        <v>652</v>
      </c>
      <c r="C857" s="3" t="s">
        <v>805</v>
      </c>
      <c r="M857" s="23"/>
      <c r="N857" s="23"/>
      <c r="O857" s="23"/>
    </row>
    <row r="858" customFormat="false" ht="48" hidden="false" customHeight="true" outlineLevel="0" collapsed="false">
      <c r="C858" s="26" t="s">
        <v>806</v>
      </c>
      <c r="M858" s="23"/>
      <c r="N858" s="23"/>
      <c r="O858" s="23"/>
    </row>
    <row r="859" customFormat="false" ht="15" hidden="false" customHeight="true" outlineLevel="0" collapsed="false">
      <c r="C859" s="27" t="s">
        <v>132</v>
      </c>
      <c r="D859" s="28" t="n">
        <v>1</v>
      </c>
      <c r="H859" s="29" t="n">
        <f aca="false">IF(COUNT(D859:G859)=0,0,D859*IF(E859="",1,E859)*IF(F859="",1,F859)*IF(G859="",1,G859))</f>
        <v>1</v>
      </c>
      <c r="M859" s="23"/>
      <c r="N859" s="23"/>
      <c r="O859" s="23"/>
    </row>
    <row r="860" customFormat="false" ht="15" hidden="false" customHeight="true" outlineLevel="0" collapsed="false">
      <c r="H860" s="30"/>
      <c r="I860" s="31" t="n">
        <f aca="false">ROUND(SUM(H859:H859),2)</f>
        <v>1</v>
      </c>
      <c r="J860" s="32" t="n">
        <v>33.06</v>
      </c>
      <c r="K860" s="31" t="n">
        <f aca="false">ROUND(I860*J860,2)</f>
        <v>33.06</v>
      </c>
      <c r="L860" s="33" t="s">
        <v>212</v>
      </c>
      <c r="M860" s="23" t="s">
        <v>123</v>
      </c>
      <c r="N860" s="23" t="s">
        <v>54</v>
      </c>
      <c r="O860" s="23" t="s">
        <v>739</v>
      </c>
    </row>
    <row r="861" customFormat="false" ht="15" hidden="false" customHeight="true" outlineLevel="0" collapsed="false">
      <c r="A861" s="3" t="s">
        <v>807</v>
      </c>
      <c r="C861" s="3" t="s">
        <v>808</v>
      </c>
      <c r="M861" s="23" t="s">
        <v>291</v>
      </c>
      <c r="N861" s="23" t="s">
        <v>54</v>
      </c>
      <c r="O861" s="23" t="s">
        <v>807</v>
      </c>
    </row>
    <row r="862" customFormat="false" ht="15" hidden="false" customHeight="true" outlineLevel="0" collapsed="false">
      <c r="A862" s="3" t="s">
        <v>809</v>
      </c>
      <c r="B862" s="3" t="s">
        <v>129</v>
      </c>
      <c r="C862" s="3" t="s">
        <v>810</v>
      </c>
      <c r="M862" s="23"/>
      <c r="N862" s="23"/>
      <c r="O862" s="23"/>
    </row>
    <row r="863" customFormat="false" ht="24" hidden="false" customHeight="true" outlineLevel="0" collapsed="false">
      <c r="C863" s="26" t="s">
        <v>811</v>
      </c>
      <c r="M863" s="23"/>
      <c r="N863" s="23"/>
      <c r="O863" s="23"/>
    </row>
    <row r="864" customFormat="false" ht="15" hidden="false" customHeight="true" outlineLevel="0" collapsed="false">
      <c r="C864" s="27" t="s">
        <v>812</v>
      </c>
      <c r="D864" s="28" t="n">
        <v>10</v>
      </c>
      <c r="H864" s="29" t="n">
        <f aca="false">IF(COUNT(D864:G864)=0,0,D864*IF(E864="",1,E864)*IF(F864="",1,F864)*IF(G864="",1,G864))</f>
        <v>10</v>
      </c>
      <c r="M864" s="23"/>
      <c r="N864" s="23"/>
      <c r="O864" s="23"/>
    </row>
    <row r="865" customFormat="false" ht="18.75" hidden="false" customHeight="true" outlineLevel="0" collapsed="false">
      <c r="H865" s="30"/>
      <c r="I865" s="31" t="n">
        <f aca="false">ROUND(SUM(H864:H864),2)</f>
        <v>10</v>
      </c>
      <c r="J865" s="32" t="n">
        <v>38</v>
      </c>
      <c r="K865" s="31" t="n">
        <f aca="false">ROUND(I865*J865,2)</f>
        <v>380</v>
      </c>
      <c r="L865" s="33" t="s">
        <v>813</v>
      </c>
      <c r="M865" s="23" t="s">
        <v>123</v>
      </c>
      <c r="N865" s="23" t="s">
        <v>54</v>
      </c>
      <c r="O865" s="23" t="s">
        <v>807</v>
      </c>
    </row>
    <row r="866" customFormat="false" ht="15" hidden="false" customHeight="true" outlineLevel="0" collapsed="false">
      <c r="A866" s="3" t="s">
        <v>814</v>
      </c>
      <c r="B866" s="3" t="s">
        <v>129</v>
      </c>
      <c r="C866" s="3" t="s">
        <v>815</v>
      </c>
      <c r="M866" s="23"/>
      <c r="N866" s="23"/>
      <c r="O866" s="23"/>
    </row>
    <row r="867" customFormat="false" ht="24" hidden="false" customHeight="true" outlineLevel="0" collapsed="false">
      <c r="C867" s="26" t="s">
        <v>816</v>
      </c>
      <c r="M867" s="23"/>
      <c r="N867" s="23"/>
      <c r="O867" s="23"/>
    </row>
    <row r="868" customFormat="false" ht="15" hidden="false" customHeight="true" outlineLevel="0" collapsed="false">
      <c r="C868" s="27" t="s">
        <v>817</v>
      </c>
      <c r="D868" s="28" t="n">
        <v>10</v>
      </c>
      <c r="H868" s="29" t="n">
        <f aca="false">IF(COUNT(D868:G868)=0,0,D868*IF(E868="",1,E868)*IF(F868="",1,F868)*IF(G868="",1,G868))</f>
        <v>10</v>
      </c>
      <c r="M868" s="23"/>
      <c r="N868" s="23"/>
      <c r="O868" s="23"/>
    </row>
    <row r="869" customFormat="false" ht="18.75" hidden="false" customHeight="true" outlineLevel="0" collapsed="false">
      <c r="H869" s="30"/>
      <c r="I869" s="31" t="n">
        <f aca="false">ROUND(SUM(H868:H868),2)</f>
        <v>10</v>
      </c>
      <c r="J869" s="32" t="n">
        <v>265</v>
      </c>
      <c r="K869" s="31" t="n">
        <f aca="false">ROUND(I869*J869,2)</f>
        <v>2650</v>
      </c>
      <c r="L869" s="33" t="s">
        <v>818</v>
      </c>
      <c r="M869" s="23" t="s">
        <v>123</v>
      </c>
      <c r="N869" s="23" t="s">
        <v>54</v>
      </c>
      <c r="O869" s="23" t="s">
        <v>807</v>
      </c>
    </row>
    <row r="870" customFormat="false" ht="15" hidden="false" customHeight="true" outlineLevel="0" collapsed="false">
      <c r="A870" s="3" t="s">
        <v>819</v>
      </c>
      <c r="B870" s="3" t="s">
        <v>129</v>
      </c>
      <c r="C870" s="3" t="s">
        <v>820</v>
      </c>
      <c r="M870" s="23"/>
      <c r="N870" s="23"/>
      <c r="O870" s="23"/>
    </row>
    <row r="871" customFormat="false" ht="24" hidden="false" customHeight="true" outlineLevel="0" collapsed="false">
      <c r="C871" s="26" t="s">
        <v>821</v>
      </c>
      <c r="M871" s="23"/>
      <c r="N871" s="23"/>
      <c r="O871" s="23"/>
    </row>
    <row r="872" customFormat="false" ht="15" hidden="false" customHeight="true" outlineLevel="0" collapsed="false">
      <c r="C872" s="27" t="s">
        <v>822</v>
      </c>
      <c r="D872" s="28" t="n">
        <v>9</v>
      </c>
      <c r="H872" s="29" t="n">
        <f aca="false">IF(COUNT(D872:G872)=0,0,D872*IF(E872="",1,E872)*IF(F872="",1,F872)*IF(G872="",1,G872))</f>
        <v>9</v>
      </c>
      <c r="M872" s="23"/>
      <c r="N872" s="23"/>
      <c r="O872" s="23"/>
    </row>
    <row r="873" customFormat="false" ht="18.75" hidden="false" customHeight="true" outlineLevel="0" collapsed="false">
      <c r="H873" s="30"/>
      <c r="I873" s="31" t="n">
        <f aca="false">ROUND(SUM(H872:H872),2)</f>
        <v>9</v>
      </c>
      <c r="J873" s="32" t="n">
        <v>42</v>
      </c>
      <c r="K873" s="31" t="n">
        <f aca="false">ROUND(I873*J873,2)</f>
        <v>378</v>
      </c>
      <c r="L873" s="33" t="s">
        <v>238</v>
      </c>
      <c r="M873" s="23" t="s">
        <v>123</v>
      </c>
      <c r="N873" s="23" t="s">
        <v>54</v>
      </c>
      <c r="O873" s="23" t="s">
        <v>807</v>
      </c>
    </row>
    <row r="874" customFormat="false" ht="15" hidden="false" customHeight="true" outlineLevel="0" collapsed="false">
      <c r="A874" s="3" t="s">
        <v>823</v>
      </c>
      <c r="B874" s="3" t="s">
        <v>659</v>
      </c>
      <c r="C874" s="3" t="s">
        <v>824</v>
      </c>
      <c r="M874" s="23"/>
      <c r="N874" s="23"/>
      <c r="O874" s="23"/>
    </row>
    <row r="875" customFormat="false" ht="156" hidden="false" customHeight="true" outlineLevel="0" collapsed="false">
      <c r="C875" s="26" t="s">
        <v>825</v>
      </c>
      <c r="M875" s="23"/>
      <c r="N875" s="23"/>
      <c r="O875" s="23"/>
    </row>
    <row r="876" customFormat="false" ht="15" hidden="false" customHeight="true" outlineLevel="0" collapsed="false">
      <c r="C876" s="27" t="s">
        <v>826</v>
      </c>
      <c r="D876" s="28" t="n">
        <v>1</v>
      </c>
      <c r="E876" s="28" t="n">
        <v>20</v>
      </c>
      <c r="H876" s="29" t="n">
        <f aca="false">IF(COUNT(D876:G876)=0,0,D876*IF(E876="",1,E876)*IF(F876="",1,F876)*IF(G876="",1,G876))</f>
        <v>20</v>
      </c>
      <c r="M876" s="23"/>
      <c r="N876" s="23"/>
      <c r="O876" s="23"/>
    </row>
    <row r="877" customFormat="false" ht="15" hidden="false" customHeight="true" outlineLevel="0" collapsed="false">
      <c r="H877" s="30"/>
      <c r="I877" s="31" t="n">
        <f aca="false">ROUND(SUM(H876:H876),2)</f>
        <v>20</v>
      </c>
      <c r="J877" s="32" t="n">
        <v>13.22</v>
      </c>
      <c r="K877" s="31" t="n">
        <f aca="false">ROUND(I877*J877,2)</f>
        <v>264.4</v>
      </c>
      <c r="L877" s="33" t="s">
        <v>212</v>
      </c>
      <c r="M877" s="23" t="s">
        <v>123</v>
      </c>
      <c r="N877" s="23" t="s">
        <v>54</v>
      </c>
      <c r="O877" s="23" t="s">
        <v>807</v>
      </c>
    </row>
    <row r="878" customFormat="false" ht="15" hidden="false" customHeight="true" outlineLevel="0" collapsed="false">
      <c r="A878" s="3" t="s">
        <v>827</v>
      </c>
      <c r="B878" s="3" t="s">
        <v>659</v>
      </c>
      <c r="C878" s="3" t="s">
        <v>828</v>
      </c>
      <c r="M878" s="23"/>
      <c r="N878" s="23"/>
      <c r="O878" s="23"/>
    </row>
    <row r="879" customFormat="false" ht="156" hidden="false" customHeight="true" outlineLevel="0" collapsed="false">
      <c r="C879" s="26" t="s">
        <v>829</v>
      </c>
      <c r="M879" s="23"/>
      <c r="N879" s="23"/>
      <c r="O879" s="23"/>
    </row>
    <row r="880" customFormat="false" ht="15" hidden="false" customHeight="true" outlineLevel="0" collapsed="false">
      <c r="C880" s="27" t="s">
        <v>830</v>
      </c>
      <c r="D880" s="28" t="n">
        <v>1</v>
      </c>
      <c r="E880" s="28" t="n">
        <v>12</v>
      </c>
      <c r="H880" s="29" t="n">
        <f aca="false">IF(COUNT(D880:G880)=0,0,D880*IF(E880="",1,E880)*IF(F880="",1,F880)*IF(G880="",1,G880))</f>
        <v>12</v>
      </c>
      <c r="M880" s="23"/>
      <c r="N880" s="23"/>
      <c r="O880" s="23"/>
    </row>
    <row r="881" customFormat="false" ht="15" hidden="false" customHeight="true" outlineLevel="0" collapsed="false">
      <c r="H881" s="30"/>
      <c r="I881" s="31" t="n">
        <f aca="false">ROUND(SUM(H880:H880),2)</f>
        <v>12</v>
      </c>
      <c r="J881" s="32" t="n">
        <v>16.15</v>
      </c>
      <c r="K881" s="31" t="n">
        <f aca="false">ROUND(I881*J881,2)</f>
        <v>193.8</v>
      </c>
      <c r="L881" s="33" t="s">
        <v>212</v>
      </c>
      <c r="M881" s="23" t="s">
        <v>123</v>
      </c>
      <c r="N881" s="23" t="s">
        <v>54</v>
      </c>
      <c r="O881" s="23" t="s">
        <v>807</v>
      </c>
    </row>
    <row r="882" customFormat="false" ht="15" hidden="false" customHeight="true" outlineLevel="0" collapsed="false">
      <c r="A882" s="3" t="s">
        <v>831</v>
      </c>
      <c r="B882" s="3" t="s">
        <v>652</v>
      </c>
      <c r="C882" s="3" t="s">
        <v>832</v>
      </c>
      <c r="M882" s="23"/>
      <c r="N882" s="23"/>
      <c r="O882" s="23"/>
    </row>
    <row r="883" customFormat="false" ht="96" hidden="false" customHeight="true" outlineLevel="0" collapsed="false">
      <c r="C883" s="26" t="s">
        <v>833</v>
      </c>
      <c r="M883" s="23"/>
      <c r="N883" s="23"/>
      <c r="O883" s="23"/>
    </row>
    <row r="884" customFormat="false" ht="15" hidden="false" customHeight="true" outlineLevel="0" collapsed="false">
      <c r="C884" s="27" t="s">
        <v>834</v>
      </c>
      <c r="D884" s="28" t="n">
        <v>3</v>
      </c>
      <c r="H884" s="29" t="n">
        <f aca="false">IF(COUNT(D884:G884)=0,0,D884*IF(E884="",1,E884)*IF(F884="",1,F884)*IF(G884="",1,G884))</f>
        <v>3</v>
      </c>
      <c r="M884" s="23"/>
      <c r="N884" s="23"/>
      <c r="O884" s="23"/>
    </row>
    <row r="885" customFormat="false" ht="15" hidden="false" customHeight="true" outlineLevel="0" collapsed="false">
      <c r="H885" s="30"/>
      <c r="I885" s="31" t="n">
        <f aca="false">ROUND(SUM(H884:H884),2)</f>
        <v>3</v>
      </c>
      <c r="J885" s="32" t="n">
        <v>55.1</v>
      </c>
      <c r="K885" s="31" t="n">
        <f aca="false">ROUND(I885*J885,2)</f>
        <v>165.3</v>
      </c>
      <c r="L885" s="33" t="s">
        <v>212</v>
      </c>
      <c r="M885" s="23" t="s">
        <v>123</v>
      </c>
      <c r="N885" s="23" t="s">
        <v>54</v>
      </c>
      <c r="O885" s="23" t="s">
        <v>807</v>
      </c>
    </row>
    <row r="886" customFormat="false" ht="15" hidden="false" customHeight="true" outlineLevel="0" collapsed="false">
      <c r="A886" s="3" t="s">
        <v>835</v>
      </c>
      <c r="C886" s="3" t="s">
        <v>836</v>
      </c>
      <c r="M886" s="23" t="s">
        <v>291</v>
      </c>
      <c r="N886" s="23" t="s">
        <v>54</v>
      </c>
      <c r="O886" s="23" t="s">
        <v>835</v>
      </c>
    </row>
    <row r="887" customFormat="false" ht="15" hidden="false" customHeight="true" outlineLevel="0" collapsed="false">
      <c r="A887" s="3" t="s">
        <v>837</v>
      </c>
      <c r="B887" s="3" t="s">
        <v>659</v>
      </c>
      <c r="C887" s="3" t="s">
        <v>838</v>
      </c>
      <c r="M887" s="23"/>
      <c r="N887" s="23"/>
      <c r="O887" s="23"/>
    </row>
    <row r="888" customFormat="false" ht="36" hidden="false" customHeight="true" outlineLevel="0" collapsed="false">
      <c r="C888" s="26" t="s">
        <v>839</v>
      </c>
      <c r="M888" s="23"/>
      <c r="N888" s="23"/>
      <c r="O888" s="23"/>
    </row>
    <row r="889" customFormat="false" ht="15" hidden="false" customHeight="true" outlineLevel="0" collapsed="false">
      <c r="C889" s="27" t="s">
        <v>748</v>
      </c>
      <c r="D889" s="28" t="n">
        <v>10</v>
      </c>
      <c r="H889" s="29" t="n">
        <f aca="false">IF(COUNT(D889:G889)=0,0,D889*IF(E889="",1,E889)*IF(F889="",1,F889)*IF(G889="",1,G889))</f>
        <v>10</v>
      </c>
      <c r="M889" s="23"/>
      <c r="N889" s="23"/>
      <c r="O889" s="23"/>
    </row>
    <row r="890" customFormat="false" ht="15" hidden="false" customHeight="true" outlineLevel="0" collapsed="false">
      <c r="H890" s="30"/>
      <c r="I890" s="31" t="n">
        <f aca="false">ROUND(SUM(H889:H889),2)</f>
        <v>10</v>
      </c>
      <c r="J890" s="32" t="n">
        <v>15.9</v>
      </c>
      <c r="K890" s="31" t="n">
        <f aca="false">ROUND(I890*J890,2)</f>
        <v>159</v>
      </c>
      <c r="L890" s="33" t="s">
        <v>212</v>
      </c>
      <c r="M890" s="23" t="s">
        <v>123</v>
      </c>
      <c r="N890" s="23" t="s">
        <v>54</v>
      </c>
      <c r="O890" s="23" t="s">
        <v>835</v>
      </c>
    </row>
    <row r="891" customFormat="false" ht="15" hidden="false" customHeight="true" outlineLevel="0" collapsed="false">
      <c r="A891" s="3" t="s">
        <v>840</v>
      </c>
      <c r="B891" s="3" t="s">
        <v>659</v>
      </c>
      <c r="C891" s="3" t="s">
        <v>841</v>
      </c>
      <c r="M891" s="23"/>
      <c r="N891" s="23"/>
      <c r="O891" s="23"/>
    </row>
    <row r="892" customFormat="false" ht="60" hidden="false" customHeight="true" outlineLevel="0" collapsed="false">
      <c r="C892" s="26" t="s">
        <v>842</v>
      </c>
      <c r="M892" s="23"/>
      <c r="N892" s="23"/>
      <c r="O892" s="23"/>
    </row>
    <row r="893" customFormat="false" ht="15" hidden="false" customHeight="true" outlineLevel="0" collapsed="false">
      <c r="C893" s="27" t="s">
        <v>748</v>
      </c>
      <c r="D893" s="28" t="n">
        <v>15</v>
      </c>
      <c r="H893" s="29" t="n">
        <f aca="false">IF(COUNT(D893:G893)=0,0,D893*IF(E893="",1,E893)*IF(F893="",1,F893)*IF(G893="",1,G893))</f>
        <v>15</v>
      </c>
      <c r="M893" s="23"/>
      <c r="N893" s="23"/>
      <c r="O893" s="23"/>
    </row>
    <row r="894" customFormat="false" ht="15" hidden="false" customHeight="true" outlineLevel="0" collapsed="false">
      <c r="H894" s="30"/>
      <c r="I894" s="31" t="n">
        <f aca="false">ROUND(SUM(H893:H893),2)</f>
        <v>15</v>
      </c>
      <c r="J894" s="32" t="n">
        <v>8.14</v>
      </c>
      <c r="K894" s="31" t="n">
        <f aca="false">ROUND(I894*J894,2)</f>
        <v>122.1</v>
      </c>
      <c r="L894" s="33" t="s">
        <v>212</v>
      </c>
      <c r="M894" s="23" t="s">
        <v>123</v>
      </c>
      <c r="N894" s="23" t="s">
        <v>54</v>
      </c>
      <c r="O894" s="23" t="s">
        <v>835</v>
      </c>
    </row>
    <row r="895" customFormat="false" ht="15" hidden="false" customHeight="true" outlineLevel="0" collapsed="false">
      <c r="A895" s="3" t="s">
        <v>843</v>
      </c>
      <c r="B895" s="3" t="s">
        <v>652</v>
      </c>
      <c r="C895" s="3" t="s">
        <v>844</v>
      </c>
      <c r="M895" s="23"/>
      <c r="N895" s="23"/>
      <c r="O895" s="23"/>
    </row>
    <row r="896" customFormat="false" ht="48" hidden="false" customHeight="true" outlineLevel="0" collapsed="false">
      <c r="C896" s="26" t="s">
        <v>845</v>
      </c>
      <c r="M896" s="23"/>
      <c r="N896" s="23"/>
      <c r="O896" s="23"/>
    </row>
    <row r="897" customFormat="false" ht="15" hidden="false" customHeight="true" outlineLevel="0" collapsed="false">
      <c r="C897" s="27" t="s">
        <v>748</v>
      </c>
      <c r="D897" s="28" t="n">
        <v>4</v>
      </c>
      <c r="H897" s="29" t="n">
        <f aca="false">IF(COUNT(D897:G897)=0,0,D897*IF(E897="",1,E897)*IF(F897="",1,F897)*IF(G897="",1,G897))</f>
        <v>4</v>
      </c>
      <c r="M897" s="23"/>
      <c r="N897" s="23"/>
      <c r="O897" s="23"/>
    </row>
    <row r="898" customFormat="false" ht="15" hidden="false" customHeight="true" outlineLevel="0" collapsed="false">
      <c r="H898" s="30"/>
      <c r="I898" s="31" t="n">
        <f aca="false">ROUND(SUM(H897:H897),2)</f>
        <v>4</v>
      </c>
      <c r="J898" s="32" t="n">
        <v>19.93</v>
      </c>
      <c r="K898" s="31" t="n">
        <f aca="false">ROUND(I898*J898,2)</f>
        <v>79.72</v>
      </c>
      <c r="L898" s="33" t="s">
        <v>212</v>
      </c>
      <c r="M898" s="23" t="s">
        <v>123</v>
      </c>
      <c r="N898" s="23" t="s">
        <v>54</v>
      </c>
      <c r="O898" s="23" t="s">
        <v>835</v>
      </c>
    </row>
    <row r="899" customFormat="false" ht="15" hidden="false" customHeight="true" outlineLevel="0" collapsed="false">
      <c r="A899" s="3" t="s">
        <v>846</v>
      </c>
      <c r="B899" s="3" t="s">
        <v>652</v>
      </c>
      <c r="C899" s="3" t="s">
        <v>847</v>
      </c>
      <c r="M899" s="23"/>
      <c r="N899" s="23"/>
      <c r="O899" s="23"/>
    </row>
    <row r="900" customFormat="false" ht="48" hidden="false" customHeight="true" outlineLevel="0" collapsed="false">
      <c r="C900" s="26" t="s">
        <v>848</v>
      </c>
      <c r="M900" s="23"/>
      <c r="N900" s="23"/>
      <c r="O900" s="23"/>
    </row>
    <row r="901" customFormat="false" ht="15" hidden="false" customHeight="true" outlineLevel="0" collapsed="false">
      <c r="C901" s="27" t="s">
        <v>748</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26.43</v>
      </c>
      <c r="K902" s="31" t="n">
        <f aca="false">ROUND(I902*J902,2)</f>
        <v>26.43</v>
      </c>
      <c r="L902" s="33" t="s">
        <v>212</v>
      </c>
      <c r="M902" s="23" t="s">
        <v>123</v>
      </c>
      <c r="N902" s="23" t="s">
        <v>54</v>
      </c>
      <c r="O902" s="23" t="s">
        <v>835</v>
      </c>
    </row>
    <row r="903" customFormat="false" ht="15" hidden="false" customHeight="true" outlineLevel="0" collapsed="false">
      <c r="A903" s="3" t="s">
        <v>849</v>
      </c>
      <c r="B903" s="3" t="s">
        <v>652</v>
      </c>
      <c r="C903" s="3" t="s">
        <v>850</v>
      </c>
      <c r="M903" s="23"/>
      <c r="N903" s="23"/>
      <c r="O903" s="23"/>
    </row>
    <row r="904" customFormat="false" ht="36" hidden="false" customHeight="true" outlineLevel="0" collapsed="false">
      <c r="C904" s="26" t="s">
        <v>851</v>
      </c>
      <c r="M904" s="23"/>
      <c r="N904" s="23"/>
      <c r="O904" s="23"/>
    </row>
    <row r="905" customFormat="false" ht="15" hidden="false" customHeight="true" outlineLevel="0" collapsed="false">
      <c r="C905" s="27" t="s">
        <v>748</v>
      </c>
      <c r="D905" s="28" t="n">
        <v>1</v>
      </c>
      <c r="H905" s="29" t="n">
        <f aca="false">IF(COUNT(D905:G905)=0,0,D905*IF(E905="",1,E905)*IF(F905="",1,F905)*IF(G905="",1,G905))</f>
        <v>1</v>
      </c>
      <c r="M905" s="23"/>
      <c r="N905" s="23"/>
      <c r="O905" s="23"/>
    </row>
    <row r="906" customFormat="false" ht="15" hidden="false" customHeight="true" outlineLevel="0" collapsed="false">
      <c r="H906" s="30"/>
      <c r="I906" s="31" t="n">
        <f aca="false">ROUND(SUM(H905:H905),2)</f>
        <v>1</v>
      </c>
      <c r="J906" s="32" t="n">
        <v>222.21</v>
      </c>
      <c r="K906" s="31" t="n">
        <f aca="false">ROUND(I906*J906,2)</f>
        <v>222.21</v>
      </c>
      <c r="L906" s="33" t="s">
        <v>212</v>
      </c>
      <c r="M906" s="23" t="s">
        <v>123</v>
      </c>
      <c r="N906" s="23" t="s">
        <v>54</v>
      </c>
      <c r="O906" s="23" t="s">
        <v>835</v>
      </c>
    </row>
    <row r="907" customFormat="false" ht="15" hidden="false" customHeight="true" outlineLevel="0" collapsed="false">
      <c r="A907" s="3" t="s">
        <v>852</v>
      </c>
      <c r="B907" s="3" t="s">
        <v>652</v>
      </c>
      <c r="C907" s="3" t="s">
        <v>853</v>
      </c>
      <c r="M907" s="23"/>
      <c r="N907" s="23"/>
      <c r="O907" s="23"/>
    </row>
    <row r="908" customFormat="false" ht="216" hidden="false" customHeight="true" outlineLevel="0" collapsed="false">
      <c r="C908" s="26" t="s">
        <v>854</v>
      </c>
      <c r="M908" s="23"/>
      <c r="N908" s="23"/>
      <c r="O908" s="23"/>
    </row>
    <row r="909" customFormat="false" ht="15" hidden="false" customHeight="true" outlineLevel="0" collapsed="false">
      <c r="C909" s="27" t="s">
        <v>748</v>
      </c>
      <c r="D909" s="28" t="n">
        <v>1</v>
      </c>
      <c r="H909" s="29" t="n">
        <f aca="false">IF(COUNT(D909:G909)=0,0,D909*IF(E909="",1,E909)*IF(F909="",1,F909)*IF(G909="",1,G909))</f>
        <v>1</v>
      </c>
      <c r="M909" s="23"/>
      <c r="N909" s="23"/>
      <c r="O909" s="23"/>
    </row>
    <row r="910" customFormat="false" ht="15" hidden="false" customHeight="true" outlineLevel="0" collapsed="false">
      <c r="H910" s="30"/>
      <c r="I910" s="31" t="n">
        <f aca="false">ROUND(SUM(H909:H909),2)</f>
        <v>1</v>
      </c>
      <c r="J910" s="32" t="n">
        <v>117.05</v>
      </c>
      <c r="K910" s="31" t="n">
        <f aca="false">ROUND(I910*J910,2)</f>
        <v>117.05</v>
      </c>
      <c r="L910" s="33" t="s">
        <v>212</v>
      </c>
      <c r="M910" s="23" t="s">
        <v>123</v>
      </c>
      <c r="N910" s="23" t="s">
        <v>54</v>
      </c>
      <c r="O910" s="23" t="s">
        <v>835</v>
      </c>
    </row>
    <row r="911" customFormat="false" ht="15" hidden="false" customHeight="true" outlineLevel="0" collapsed="false">
      <c r="A911" s="3" t="s">
        <v>855</v>
      </c>
      <c r="B911" s="3" t="s">
        <v>659</v>
      </c>
      <c r="C911" s="3" t="s">
        <v>856</v>
      </c>
      <c r="M911" s="23"/>
      <c r="N911" s="23"/>
      <c r="O911" s="23"/>
    </row>
    <row r="912" customFormat="false" ht="48" hidden="false" customHeight="true" outlineLevel="0" collapsed="false">
      <c r="C912" s="26" t="s">
        <v>857</v>
      </c>
      <c r="M912" s="23"/>
      <c r="N912" s="23"/>
      <c r="O912" s="23"/>
    </row>
    <row r="913" customFormat="false" ht="15" hidden="false" customHeight="true" outlineLevel="0" collapsed="false">
      <c r="C913" s="27" t="s">
        <v>748</v>
      </c>
      <c r="D913" s="28" t="n">
        <v>6</v>
      </c>
      <c r="H913" s="29" t="n">
        <f aca="false">IF(COUNT(D913:G913)=0,0,D913*IF(E913="",1,E913)*IF(F913="",1,F913)*IF(G913="",1,G913))</f>
        <v>6</v>
      </c>
      <c r="M913" s="23"/>
      <c r="N913" s="23"/>
      <c r="O913" s="23"/>
    </row>
    <row r="914" customFormat="false" ht="15" hidden="false" customHeight="true" outlineLevel="0" collapsed="false">
      <c r="H914" s="30"/>
      <c r="I914" s="31" t="n">
        <f aca="false">ROUND(SUM(H913:H913),2)</f>
        <v>6</v>
      </c>
      <c r="J914" s="32" t="n">
        <v>16.96</v>
      </c>
      <c r="K914" s="31" t="n">
        <f aca="false">ROUND(I914*J914,2)</f>
        <v>101.76</v>
      </c>
      <c r="L914" s="33" t="s">
        <v>212</v>
      </c>
      <c r="M914" s="23" t="s">
        <v>123</v>
      </c>
      <c r="N914" s="23" t="s">
        <v>54</v>
      </c>
      <c r="O914" s="23" t="s">
        <v>835</v>
      </c>
    </row>
    <row r="915" customFormat="false" ht="15" hidden="false" customHeight="true" outlineLevel="0" collapsed="false">
      <c r="A915" s="3" t="s">
        <v>858</v>
      </c>
      <c r="B915" s="3" t="s">
        <v>129</v>
      </c>
      <c r="C915" s="3" t="s">
        <v>859</v>
      </c>
      <c r="M915" s="23"/>
      <c r="N915" s="23"/>
      <c r="O915" s="23"/>
    </row>
    <row r="916" customFormat="false" ht="36" hidden="false" customHeight="true" outlineLevel="0" collapsed="false">
      <c r="C916" s="26" t="s">
        <v>860</v>
      </c>
      <c r="M916" s="23"/>
      <c r="N916" s="23"/>
      <c r="O916" s="23"/>
    </row>
    <row r="917" customFormat="false" ht="15" hidden="false" customHeight="true" outlineLevel="0" collapsed="false">
      <c r="C917" s="27" t="s">
        <v>861</v>
      </c>
      <c r="D917" s="28" t="n">
        <v>1</v>
      </c>
      <c r="H917" s="29" t="n">
        <f aca="false">IF(COUNT(D917:G917)=0,0,D917*IF(E917="",1,E917)*IF(F917="",1,F917)*IF(G917="",1,G917))</f>
        <v>1</v>
      </c>
      <c r="M917" s="23"/>
      <c r="N917" s="23"/>
      <c r="O917" s="23"/>
    </row>
    <row r="918" customFormat="false" ht="15" hidden="false" customHeight="true" outlineLevel="0" collapsed="false">
      <c r="C918" s="27" t="s">
        <v>862</v>
      </c>
      <c r="D918" s="28" t="n">
        <v>0.5</v>
      </c>
      <c r="H918" s="29" t="n">
        <f aca="false">IF(COUNT(D918:G918)=0,0,D918*IF(E918="",1,E918)*IF(F918="",1,F918)*IF(G918="",1,G918))</f>
        <v>0.5</v>
      </c>
      <c r="M918" s="23"/>
      <c r="N918" s="23"/>
      <c r="O918" s="23"/>
    </row>
    <row r="919" customFormat="false" ht="18.75" hidden="false" customHeight="true" outlineLevel="0" collapsed="false">
      <c r="H919" s="30"/>
      <c r="I919" s="31" t="n">
        <f aca="false">ROUND(SUM(H917:H918),2)</f>
        <v>1.5</v>
      </c>
      <c r="J919" s="32" t="n">
        <v>1250</v>
      </c>
      <c r="K919" s="31" t="n">
        <f aca="false">ROUND(I919*J919,2)</f>
        <v>1875</v>
      </c>
      <c r="L919" s="33" t="s">
        <v>238</v>
      </c>
      <c r="M919" s="23" t="s">
        <v>123</v>
      </c>
      <c r="N919" s="23" t="s">
        <v>54</v>
      </c>
      <c r="O919" s="23" t="s">
        <v>835</v>
      </c>
    </row>
    <row r="920" customFormat="false" ht="15" hidden="false" customHeight="true" outlineLevel="0" collapsed="false">
      <c r="A920" s="3" t="s">
        <v>863</v>
      </c>
      <c r="B920" s="3" t="s">
        <v>659</v>
      </c>
      <c r="C920" s="3" t="s">
        <v>864</v>
      </c>
      <c r="M920" s="23"/>
      <c r="N920" s="23"/>
      <c r="O920" s="23"/>
    </row>
    <row r="921" customFormat="false" ht="48" hidden="false" customHeight="true" outlineLevel="0" collapsed="false">
      <c r="C921" s="26" t="s">
        <v>865</v>
      </c>
      <c r="M921" s="23"/>
      <c r="N921" s="23"/>
      <c r="O921" s="23"/>
    </row>
    <row r="922" customFormat="false" ht="15" hidden="false" customHeight="true" outlineLevel="0" collapsed="false">
      <c r="C922" s="27" t="s">
        <v>748</v>
      </c>
      <c r="D922" s="28" t="n">
        <v>160</v>
      </c>
      <c r="H922" s="29" t="n">
        <f aca="false">IF(COUNT(D922:G922)=0,0,D922*IF(E922="",1,E922)*IF(F922="",1,F922)*IF(G922="",1,G922))</f>
        <v>160</v>
      </c>
      <c r="M922" s="23"/>
      <c r="N922" s="23"/>
      <c r="O922" s="23"/>
    </row>
    <row r="923" customFormat="false" ht="15" hidden="false" customHeight="true" outlineLevel="0" collapsed="false">
      <c r="H923" s="30"/>
      <c r="I923" s="31" t="n">
        <f aca="false">ROUND(SUM(H922:H922),2)</f>
        <v>160</v>
      </c>
      <c r="J923" s="32" t="n">
        <v>0.51</v>
      </c>
      <c r="K923" s="31" t="n">
        <f aca="false">ROUND(I923*J923,2)</f>
        <v>81.6</v>
      </c>
      <c r="L923" s="33" t="s">
        <v>212</v>
      </c>
      <c r="M923" s="23" t="s">
        <v>123</v>
      </c>
      <c r="N923" s="23" t="s">
        <v>54</v>
      </c>
      <c r="O923" s="23" t="s">
        <v>835</v>
      </c>
    </row>
    <row r="924" customFormat="false" ht="15" hidden="false" customHeight="true" outlineLevel="0" collapsed="false">
      <c r="A924" s="3" t="s">
        <v>866</v>
      </c>
      <c r="B924" s="3" t="s">
        <v>129</v>
      </c>
      <c r="C924" s="3" t="s">
        <v>867</v>
      </c>
      <c r="M924" s="23"/>
      <c r="N924" s="23"/>
      <c r="O924" s="23"/>
    </row>
    <row r="925" customFormat="false" ht="48" hidden="false" customHeight="true" outlineLevel="0" collapsed="false">
      <c r="C925" s="26" t="s">
        <v>868</v>
      </c>
      <c r="M925" s="23"/>
      <c r="N925" s="23"/>
      <c r="O925" s="23"/>
    </row>
    <row r="926" customFormat="false" ht="15" hidden="false" customHeight="true" outlineLevel="0" collapsed="false">
      <c r="C926" s="27" t="s">
        <v>748</v>
      </c>
      <c r="D926" s="28" t="n">
        <v>480</v>
      </c>
      <c r="H926" s="29" t="n">
        <f aca="false">IF(COUNT(D926:G926)=0,0,D926*IF(E926="",1,E926)*IF(F926="",1,F926)*IF(G926="",1,G926))</f>
        <v>480</v>
      </c>
      <c r="M926" s="23"/>
      <c r="N926" s="23"/>
      <c r="O926" s="23"/>
    </row>
    <row r="927" customFormat="false" ht="15" hidden="false" customHeight="true" outlineLevel="0" collapsed="false">
      <c r="H927" s="30"/>
      <c r="I927" s="31" t="n">
        <f aca="false">ROUND(SUM(H926:H926),2)</f>
        <v>480</v>
      </c>
      <c r="J927" s="32" t="n">
        <v>0.57</v>
      </c>
      <c r="K927" s="31" t="n">
        <f aca="false">ROUND(I927*J927,2)</f>
        <v>273.6</v>
      </c>
      <c r="L927" s="33" t="s">
        <v>212</v>
      </c>
      <c r="M927" s="23" t="s">
        <v>123</v>
      </c>
      <c r="N927" s="23" t="s">
        <v>54</v>
      </c>
      <c r="O927" s="23" t="s">
        <v>835</v>
      </c>
    </row>
    <row r="928" customFormat="false" ht="15" hidden="false" customHeight="true" outlineLevel="0" collapsed="false">
      <c r="A928" s="3" t="s">
        <v>869</v>
      </c>
      <c r="B928" s="3" t="s">
        <v>659</v>
      </c>
      <c r="C928" s="3" t="s">
        <v>870</v>
      </c>
      <c r="M928" s="23"/>
      <c r="N928" s="23"/>
      <c r="O928" s="23"/>
    </row>
    <row r="929" customFormat="false" ht="48" hidden="false" customHeight="true" outlineLevel="0" collapsed="false">
      <c r="C929" s="26" t="s">
        <v>871</v>
      </c>
      <c r="M929" s="23"/>
      <c r="N929" s="23"/>
      <c r="O929" s="23"/>
    </row>
    <row r="930" customFormat="false" ht="15" hidden="false" customHeight="true" outlineLevel="0" collapsed="false">
      <c r="C930" s="27" t="s">
        <v>748</v>
      </c>
      <c r="D930" s="28" t="n">
        <v>70</v>
      </c>
      <c r="H930" s="29" t="n">
        <f aca="false">IF(COUNT(D930:G930)=0,0,D930*IF(E930="",1,E930)*IF(F930="",1,F930)*IF(G930="",1,G930))</f>
        <v>70</v>
      </c>
      <c r="M930" s="23"/>
      <c r="N930" s="23"/>
      <c r="O930" s="23"/>
    </row>
    <row r="931" customFormat="false" ht="15" hidden="false" customHeight="true" outlineLevel="0" collapsed="false">
      <c r="H931" s="30"/>
      <c r="I931" s="31" t="n">
        <f aca="false">ROUND(SUM(H930:H930),2)</f>
        <v>70</v>
      </c>
      <c r="J931" s="32" t="n">
        <v>0.64</v>
      </c>
      <c r="K931" s="31" t="n">
        <f aca="false">ROUND(I931*J931,2)</f>
        <v>44.8</v>
      </c>
      <c r="L931" s="33" t="s">
        <v>212</v>
      </c>
      <c r="M931" s="23" t="s">
        <v>123</v>
      </c>
      <c r="N931" s="23" t="s">
        <v>54</v>
      </c>
      <c r="O931" s="23" t="s">
        <v>835</v>
      </c>
    </row>
    <row r="932" customFormat="false" ht="15" hidden="false" customHeight="true" outlineLevel="0" collapsed="false">
      <c r="A932" s="3" t="s">
        <v>872</v>
      </c>
      <c r="B932" s="3" t="s">
        <v>659</v>
      </c>
      <c r="C932" s="3" t="s">
        <v>873</v>
      </c>
      <c r="M932" s="23"/>
      <c r="N932" s="23"/>
      <c r="O932" s="23"/>
    </row>
    <row r="933" customFormat="false" ht="48" hidden="false" customHeight="true" outlineLevel="0" collapsed="false">
      <c r="C933" s="26" t="s">
        <v>874</v>
      </c>
      <c r="M933" s="23"/>
      <c r="N933" s="23"/>
      <c r="O933" s="23"/>
    </row>
    <row r="934" customFormat="false" ht="15" hidden="false" customHeight="true" outlineLevel="0" collapsed="false">
      <c r="C934" s="27" t="s">
        <v>748</v>
      </c>
      <c r="D934" s="28" t="n">
        <v>30</v>
      </c>
      <c r="H934" s="29" t="n">
        <f aca="false">IF(COUNT(D934:G934)=0,0,D934*IF(E934="",1,E934)*IF(F934="",1,F934)*IF(G934="",1,G934))</f>
        <v>30</v>
      </c>
      <c r="M934" s="23"/>
      <c r="N934" s="23"/>
      <c r="O934" s="23"/>
    </row>
    <row r="935" customFormat="false" ht="15" hidden="false" customHeight="true" outlineLevel="0" collapsed="false">
      <c r="H935" s="30"/>
      <c r="I935" s="31" t="n">
        <f aca="false">ROUND(SUM(H934:H934),2)</f>
        <v>30</v>
      </c>
      <c r="J935" s="32" t="n">
        <v>0.7</v>
      </c>
      <c r="K935" s="31" t="n">
        <f aca="false">ROUND(I935*J935,2)</f>
        <v>21</v>
      </c>
      <c r="L935" s="33" t="s">
        <v>212</v>
      </c>
      <c r="M935" s="23" t="s">
        <v>123</v>
      </c>
      <c r="N935" s="23" t="s">
        <v>54</v>
      </c>
      <c r="O935" s="23" t="s">
        <v>835</v>
      </c>
    </row>
    <row r="936" customFormat="false" ht="15" hidden="false" customHeight="true" outlineLevel="0" collapsed="false">
      <c r="A936" s="3" t="s">
        <v>875</v>
      </c>
      <c r="B936" s="3" t="s">
        <v>659</v>
      </c>
      <c r="C936" s="3" t="s">
        <v>876</v>
      </c>
      <c r="M936" s="23"/>
      <c r="N936" s="23"/>
      <c r="O936" s="23"/>
    </row>
    <row r="937" customFormat="false" ht="36" hidden="false" customHeight="true" outlineLevel="0" collapsed="false">
      <c r="C937" s="26" t="s">
        <v>877</v>
      </c>
      <c r="M937" s="23"/>
      <c r="N937" s="23"/>
      <c r="O937" s="23"/>
    </row>
    <row r="938" customFormat="false" ht="15" hidden="false" customHeight="true" outlineLevel="0" collapsed="false">
      <c r="C938" s="27" t="s">
        <v>748</v>
      </c>
      <c r="D938" s="28" t="n">
        <v>15</v>
      </c>
      <c r="H938" s="29" t="n">
        <f aca="false">IF(COUNT(D938:G938)=0,0,D938*IF(E938="",1,E938)*IF(F938="",1,F938)*IF(G938="",1,G938))</f>
        <v>15</v>
      </c>
      <c r="M938" s="23"/>
      <c r="N938" s="23"/>
      <c r="O938" s="23"/>
    </row>
    <row r="939" customFormat="false" ht="15" hidden="false" customHeight="true" outlineLevel="0" collapsed="false">
      <c r="H939" s="30"/>
      <c r="I939" s="31" t="n">
        <f aca="false">ROUND(SUM(H938:H938),2)</f>
        <v>15</v>
      </c>
      <c r="J939" s="32" t="n">
        <v>24.42</v>
      </c>
      <c r="K939" s="31" t="n">
        <f aca="false">ROUND(I939*J939,2)</f>
        <v>366.3</v>
      </c>
      <c r="L939" s="33" t="s">
        <v>212</v>
      </c>
      <c r="M939" s="23" t="s">
        <v>123</v>
      </c>
      <c r="N939" s="23" t="s">
        <v>54</v>
      </c>
      <c r="O939" s="23" t="s">
        <v>835</v>
      </c>
    </row>
    <row r="940" customFormat="false" ht="15" hidden="false" customHeight="true" outlineLevel="0" collapsed="false">
      <c r="A940" s="3" t="s">
        <v>878</v>
      </c>
      <c r="B940" s="3" t="s">
        <v>659</v>
      </c>
      <c r="C940" s="3" t="s">
        <v>879</v>
      </c>
      <c r="M940" s="23"/>
      <c r="N940" s="23"/>
      <c r="O940" s="23"/>
    </row>
    <row r="941" customFormat="false" ht="36" hidden="false" customHeight="true" outlineLevel="0" collapsed="false">
      <c r="C941" s="26" t="s">
        <v>880</v>
      </c>
      <c r="M941" s="23"/>
      <c r="N941" s="23"/>
      <c r="O941" s="23"/>
    </row>
    <row r="942" customFormat="false" ht="15" hidden="false" customHeight="true" outlineLevel="0" collapsed="false">
      <c r="C942" s="27" t="s">
        <v>748</v>
      </c>
      <c r="D942" s="28" t="n">
        <v>600</v>
      </c>
      <c r="H942" s="29" t="n">
        <f aca="false">IF(COUNT(D942:G942)=0,0,D942*IF(E942="",1,E942)*IF(F942="",1,F942)*IF(G942="",1,G942))</f>
        <v>600</v>
      </c>
      <c r="M942" s="23"/>
      <c r="N942" s="23"/>
      <c r="O942" s="23"/>
    </row>
    <row r="943" customFormat="false" ht="15" hidden="false" customHeight="true" outlineLevel="0" collapsed="false">
      <c r="H943" s="30"/>
      <c r="I943" s="31" t="n">
        <f aca="false">ROUND(SUM(H942:H942),2)</f>
        <v>600</v>
      </c>
      <c r="J943" s="32" t="n">
        <v>0.95</v>
      </c>
      <c r="K943" s="31" t="n">
        <f aca="false">ROUND(I943*J943,2)</f>
        <v>570</v>
      </c>
      <c r="L943" s="33" t="s">
        <v>212</v>
      </c>
      <c r="M943" s="23" t="s">
        <v>123</v>
      </c>
      <c r="N943" s="23" t="s">
        <v>54</v>
      </c>
      <c r="O943" s="23" t="s">
        <v>835</v>
      </c>
    </row>
    <row r="944" customFormat="false" ht="15" hidden="false" customHeight="true" outlineLevel="0" collapsed="false">
      <c r="A944" s="3" t="s">
        <v>881</v>
      </c>
      <c r="B944" s="3" t="s">
        <v>659</v>
      </c>
      <c r="C944" s="3" t="s">
        <v>882</v>
      </c>
      <c r="M944" s="23"/>
      <c r="N944" s="23"/>
      <c r="O944" s="23"/>
    </row>
    <row r="945" customFormat="false" ht="36" hidden="false" customHeight="true" outlineLevel="0" collapsed="false">
      <c r="C945" s="26" t="s">
        <v>883</v>
      </c>
      <c r="M945" s="23"/>
      <c r="N945" s="23"/>
      <c r="O945" s="23"/>
    </row>
    <row r="946" customFormat="false" ht="15" hidden="false" customHeight="true" outlineLevel="0" collapsed="false">
      <c r="C946" s="27" t="s">
        <v>748</v>
      </c>
      <c r="D946" s="28" t="n">
        <v>1100</v>
      </c>
      <c r="H946" s="29" t="n">
        <f aca="false">IF(COUNT(D946:G946)=0,0,D946*IF(E946="",1,E946)*IF(F946="",1,F946)*IF(G946="",1,G946))</f>
        <v>1100</v>
      </c>
      <c r="M946" s="23"/>
      <c r="N946" s="23"/>
      <c r="O946" s="23"/>
    </row>
    <row r="947" customFormat="false" ht="15" hidden="false" customHeight="true" outlineLevel="0" collapsed="false">
      <c r="H947" s="30"/>
      <c r="I947" s="31" t="n">
        <f aca="false">ROUND(SUM(H946:H946),2)</f>
        <v>1100</v>
      </c>
      <c r="J947" s="32" t="n">
        <v>1.06</v>
      </c>
      <c r="K947" s="31" t="n">
        <f aca="false">ROUND(I947*J947,2)</f>
        <v>1166</v>
      </c>
      <c r="L947" s="33" t="s">
        <v>212</v>
      </c>
      <c r="M947" s="23" t="s">
        <v>123</v>
      </c>
      <c r="N947" s="23" t="s">
        <v>54</v>
      </c>
      <c r="O947" s="23" t="s">
        <v>835</v>
      </c>
    </row>
    <row r="948" customFormat="false" ht="15" hidden="false" customHeight="true" outlineLevel="0" collapsed="false">
      <c r="A948" s="3" t="s">
        <v>884</v>
      </c>
      <c r="B948" s="3" t="s">
        <v>659</v>
      </c>
      <c r="C948" s="3" t="s">
        <v>885</v>
      </c>
      <c r="M948" s="23"/>
      <c r="N948" s="23"/>
      <c r="O948" s="23"/>
    </row>
    <row r="949" customFormat="false" ht="36" hidden="false" customHeight="true" outlineLevel="0" collapsed="false">
      <c r="C949" s="26" t="s">
        <v>886</v>
      </c>
      <c r="M949" s="23"/>
      <c r="N949" s="23"/>
      <c r="O949" s="23"/>
    </row>
    <row r="950" customFormat="false" ht="15" hidden="false" customHeight="true" outlineLevel="0" collapsed="false">
      <c r="C950" s="27" t="s">
        <v>748</v>
      </c>
      <c r="D950" s="28" t="n">
        <v>200</v>
      </c>
      <c r="H950" s="29" t="n">
        <f aca="false">IF(COUNT(D950:G950)=0,0,D950*IF(E950="",1,E950)*IF(F950="",1,F950)*IF(G950="",1,G950))</f>
        <v>200</v>
      </c>
      <c r="M950" s="23"/>
      <c r="N950" s="23"/>
      <c r="O950" s="23"/>
    </row>
    <row r="951" customFormat="false" ht="15" hidden="false" customHeight="true" outlineLevel="0" collapsed="false">
      <c r="H951" s="30"/>
      <c r="I951" s="31" t="n">
        <f aca="false">ROUND(SUM(H950:H950),2)</f>
        <v>200</v>
      </c>
      <c r="J951" s="32" t="n">
        <v>2.12</v>
      </c>
      <c r="K951" s="31" t="n">
        <f aca="false">ROUND(I951*J951,2)</f>
        <v>424</v>
      </c>
      <c r="L951" s="33" t="s">
        <v>212</v>
      </c>
      <c r="M951" s="23" t="s">
        <v>123</v>
      </c>
      <c r="N951" s="23" t="s">
        <v>54</v>
      </c>
      <c r="O951" s="23" t="s">
        <v>835</v>
      </c>
    </row>
    <row r="952" customFormat="false" ht="15" hidden="false" customHeight="true" outlineLevel="0" collapsed="false">
      <c r="A952" s="3" t="s">
        <v>887</v>
      </c>
      <c r="B952" s="3" t="s">
        <v>659</v>
      </c>
      <c r="C952" s="3" t="s">
        <v>888</v>
      </c>
      <c r="M952" s="23"/>
      <c r="N952" s="23"/>
      <c r="O952" s="23"/>
    </row>
    <row r="953" customFormat="false" ht="12" hidden="false" customHeight="true" outlineLevel="0" collapsed="false">
      <c r="C953" s="26"/>
      <c r="M953" s="23"/>
      <c r="N953" s="23"/>
      <c r="O953" s="23"/>
    </row>
    <row r="954" customFormat="false" ht="15" hidden="false" customHeight="true" outlineLevel="0" collapsed="false">
      <c r="C954" s="27" t="s">
        <v>748</v>
      </c>
      <c r="D954" s="28" t="n">
        <v>30</v>
      </c>
      <c r="H954" s="29" t="n">
        <f aca="false">IF(COUNT(D954:G954)=0,0,D954*IF(E954="",1,E954)*IF(F954="",1,F954)*IF(G954="",1,G954))</f>
        <v>30</v>
      </c>
      <c r="M954" s="23"/>
      <c r="N954" s="23"/>
      <c r="O954" s="23"/>
    </row>
    <row r="955" customFormat="false" ht="15" hidden="false" customHeight="true" outlineLevel="0" collapsed="false">
      <c r="H955" s="30"/>
      <c r="I955" s="31" t="n">
        <f aca="false">ROUND(SUM(H954:H954),2)</f>
        <v>30</v>
      </c>
      <c r="J955" s="32" t="n">
        <v>7.08</v>
      </c>
      <c r="K955" s="31" t="n">
        <f aca="false">ROUND(I955*J955,2)</f>
        <v>212.4</v>
      </c>
      <c r="L955" s="33" t="s">
        <v>212</v>
      </c>
      <c r="M955" s="23" t="s">
        <v>123</v>
      </c>
      <c r="N955" s="23" t="s">
        <v>54</v>
      </c>
      <c r="O955" s="23" t="s">
        <v>835</v>
      </c>
    </row>
    <row r="956" customFormat="false" ht="15" hidden="false" customHeight="true" outlineLevel="0" collapsed="false">
      <c r="A956" s="3" t="s">
        <v>889</v>
      </c>
      <c r="B956" s="3" t="s">
        <v>652</v>
      </c>
      <c r="C956" s="3" t="s">
        <v>890</v>
      </c>
      <c r="M956" s="23"/>
      <c r="N956" s="23"/>
      <c r="O956" s="23"/>
    </row>
    <row r="957" customFormat="false" ht="72" hidden="false" customHeight="true" outlineLevel="0" collapsed="false">
      <c r="C957" s="26" t="s">
        <v>891</v>
      </c>
      <c r="M957" s="23"/>
      <c r="N957" s="23"/>
      <c r="O957" s="23"/>
    </row>
    <row r="958" customFormat="false" ht="15" hidden="false" customHeight="true" outlineLevel="0" collapsed="false">
      <c r="C958" s="27" t="s">
        <v>892</v>
      </c>
      <c r="D958" s="28" t="n">
        <v>32</v>
      </c>
      <c r="H958" s="29" t="n">
        <f aca="false">IF(COUNT(D958:G958)=0,0,D958*IF(E958="",1,E958)*IF(F958="",1,F958)*IF(G958="",1,G958))</f>
        <v>32</v>
      </c>
      <c r="M958" s="23"/>
      <c r="N958" s="23"/>
      <c r="O958" s="23"/>
    </row>
    <row r="959" customFormat="false" ht="15" hidden="false" customHeight="true" outlineLevel="0" collapsed="false">
      <c r="H959" s="30"/>
      <c r="I959" s="31" t="n">
        <f aca="false">ROUND(SUM(H958:H958),2)</f>
        <v>32</v>
      </c>
      <c r="J959" s="32" t="n">
        <v>9.54</v>
      </c>
      <c r="K959" s="31" t="n">
        <f aca="false">ROUND(I959*J959,2)</f>
        <v>305.28</v>
      </c>
      <c r="L959" s="33" t="s">
        <v>212</v>
      </c>
      <c r="M959" s="23" t="s">
        <v>123</v>
      </c>
      <c r="N959" s="23" t="s">
        <v>54</v>
      </c>
      <c r="O959" s="23" t="s">
        <v>835</v>
      </c>
    </row>
    <row r="960" customFormat="false" ht="15" hidden="false" customHeight="true" outlineLevel="0" collapsed="false">
      <c r="A960" s="3" t="s">
        <v>893</v>
      </c>
      <c r="B960" s="3" t="s">
        <v>652</v>
      </c>
      <c r="C960" s="3" t="s">
        <v>894</v>
      </c>
      <c r="M960" s="23"/>
      <c r="N960" s="23"/>
      <c r="O960" s="23"/>
    </row>
    <row r="961" customFormat="false" ht="72" hidden="false" customHeight="true" outlineLevel="0" collapsed="false">
      <c r="C961" s="26" t="s">
        <v>895</v>
      </c>
      <c r="M961" s="23"/>
      <c r="N961" s="23"/>
      <c r="O961" s="23"/>
    </row>
    <row r="962" customFormat="false" ht="15" hidden="false" customHeight="true" outlineLevel="0" collapsed="false">
      <c r="C962" s="27" t="s">
        <v>896</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9.54</v>
      </c>
      <c r="K963" s="31" t="n">
        <f aca="false">ROUND(I963*J963,2)</f>
        <v>19.08</v>
      </c>
      <c r="L963" s="33" t="s">
        <v>212</v>
      </c>
      <c r="M963" s="23" t="s">
        <v>123</v>
      </c>
      <c r="N963" s="23" t="s">
        <v>54</v>
      </c>
      <c r="O963" s="23" t="s">
        <v>835</v>
      </c>
    </row>
    <row r="964" customFormat="false" ht="15" hidden="false" customHeight="true" outlineLevel="0" collapsed="false">
      <c r="A964" s="3" t="s">
        <v>897</v>
      </c>
      <c r="B964" s="3" t="s">
        <v>652</v>
      </c>
      <c r="C964" s="3" t="s">
        <v>898</v>
      </c>
      <c r="M964" s="23"/>
      <c r="N964" s="23"/>
      <c r="O964" s="23"/>
    </row>
    <row r="965" customFormat="false" ht="72" hidden="false" customHeight="true" outlineLevel="0" collapsed="false">
      <c r="C965" s="26" t="s">
        <v>899</v>
      </c>
      <c r="M965" s="23"/>
      <c r="N965" s="23"/>
      <c r="O965" s="23"/>
    </row>
    <row r="966" customFormat="false" ht="15" hidden="false" customHeight="true" outlineLevel="0" collapsed="false">
      <c r="C966" s="27" t="s">
        <v>900</v>
      </c>
      <c r="D966" s="28" t="n">
        <v>72</v>
      </c>
      <c r="H966" s="29" t="n">
        <f aca="false">IF(COUNT(D966:G966)=0,0,D966*IF(E966="",1,E966)*IF(F966="",1,F966)*IF(G966="",1,G966))</f>
        <v>72</v>
      </c>
      <c r="M966" s="23"/>
      <c r="N966" s="23"/>
      <c r="O966" s="23"/>
    </row>
    <row r="967" customFormat="false" ht="15" hidden="false" customHeight="true" outlineLevel="0" collapsed="false">
      <c r="H967" s="30"/>
      <c r="I967" s="31" t="n">
        <f aca="false">ROUND(SUM(H966:H966),2)</f>
        <v>72</v>
      </c>
      <c r="J967" s="32" t="n">
        <v>10.07</v>
      </c>
      <c r="K967" s="31" t="n">
        <f aca="false">ROUND(I967*J967,2)</f>
        <v>725.04</v>
      </c>
      <c r="L967" s="33" t="s">
        <v>212</v>
      </c>
      <c r="M967" s="23" t="s">
        <v>123</v>
      </c>
      <c r="N967" s="23" t="s">
        <v>54</v>
      </c>
      <c r="O967" s="23" t="s">
        <v>835</v>
      </c>
    </row>
    <row r="968" customFormat="false" ht="15" hidden="false" customHeight="true" outlineLevel="0" collapsed="false">
      <c r="A968" s="3" t="s">
        <v>901</v>
      </c>
      <c r="B968" s="3" t="s">
        <v>652</v>
      </c>
      <c r="C968" s="3" t="s">
        <v>902</v>
      </c>
      <c r="M968" s="23"/>
      <c r="N968" s="23"/>
      <c r="O968" s="23"/>
    </row>
    <row r="969" customFormat="false" ht="60" hidden="false" customHeight="true" outlineLevel="0" collapsed="false">
      <c r="C969" s="26" t="s">
        <v>903</v>
      </c>
      <c r="M969" s="23"/>
      <c r="N969" s="23"/>
      <c r="O969" s="23"/>
    </row>
    <row r="970" customFormat="false" ht="15" hidden="false" customHeight="true" outlineLevel="0" collapsed="false">
      <c r="C970" s="27" t="s">
        <v>904</v>
      </c>
      <c r="D970" s="28" t="n">
        <v>2</v>
      </c>
      <c r="H970" s="29" t="n">
        <f aca="false">IF(COUNT(D970:G970)=0,0,D970*IF(E970="",1,E970)*IF(F970="",1,F970)*IF(G970="",1,G970))</f>
        <v>2</v>
      </c>
      <c r="M970" s="23"/>
      <c r="N970" s="23"/>
      <c r="O970" s="23"/>
    </row>
    <row r="971" customFormat="false" ht="15" hidden="false" customHeight="true" outlineLevel="0" collapsed="false">
      <c r="H971" s="30"/>
      <c r="I971" s="31" t="n">
        <f aca="false">ROUND(SUM(H970:H970),2)</f>
        <v>2</v>
      </c>
      <c r="J971" s="32" t="n">
        <v>10.6</v>
      </c>
      <c r="K971" s="31" t="n">
        <f aca="false">ROUND(I971*J971,2)</f>
        <v>21.2</v>
      </c>
      <c r="L971" s="33" t="s">
        <v>212</v>
      </c>
      <c r="M971" s="23" t="s">
        <v>123</v>
      </c>
      <c r="N971" s="23" t="s">
        <v>54</v>
      </c>
      <c r="O971" s="23" t="s">
        <v>835</v>
      </c>
    </row>
    <row r="972" customFormat="false" ht="15" hidden="false" customHeight="true" outlineLevel="0" collapsed="false">
      <c r="A972" s="3" t="s">
        <v>905</v>
      </c>
      <c r="B972" s="3" t="s">
        <v>652</v>
      </c>
      <c r="C972" s="3" t="s">
        <v>906</v>
      </c>
      <c r="M972" s="23"/>
      <c r="N972" s="23"/>
      <c r="O972" s="23"/>
    </row>
    <row r="973" customFormat="false" ht="60" hidden="false" customHeight="true" outlineLevel="0" collapsed="false">
      <c r="C973" s="26" t="s">
        <v>907</v>
      </c>
      <c r="M973" s="23"/>
      <c r="N973" s="23"/>
      <c r="O973" s="23"/>
    </row>
    <row r="974" customFormat="false" ht="15" hidden="false" customHeight="true" outlineLevel="0" collapsed="false">
      <c r="C974" s="27" t="s">
        <v>908</v>
      </c>
      <c r="D974" s="28" t="n">
        <v>2</v>
      </c>
      <c r="H974" s="29" t="n">
        <f aca="false">IF(COUNT(D974:G974)=0,0,D974*IF(E974="",1,E974)*IF(F974="",1,F974)*IF(G974="",1,G974))</f>
        <v>2</v>
      </c>
      <c r="M974" s="23"/>
      <c r="N974" s="23"/>
      <c r="O974" s="23"/>
    </row>
    <row r="975" customFormat="false" ht="15" hidden="false" customHeight="true" outlineLevel="0" collapsed="false">
      <c r="H975" s="30"/>
      <c r="I975" s="31" t="n">
        <f aca="false">ROUND(SUM(H974:H974),2)</f>
        <v>2</v>
      </c>
      <c r="J975" s="32" t="n">
        <v>15.86</v>
      </c>
      <c r="K975" s="31" t="n">
        <f aca="false">ROUND(I975*J975,2)</f>
        <v>31.72</v>
      </c>
      <c r="L975" s="33" t="s">
        <v>212</v>
      </c>
      <c r="M975" s="23" t="s">
        <v>123</v>
      </c>
      <c r="N975" s="23" t="s">
        <v>54</v>
      </c>
      <c r="O975" s="23" t="s">
        <v>835</v>
      </c>
    </row>
    <row r="976" customFormat="false" ht="15" hidden="false" customHeight="true" outlineLevel="0" collapsed="false">
      <c r="A976" s="3" t="s">
        <v>909</v>
      </c>
      <c r="B976" s="3" t="s">
        <v>652</v>
      </c>
      <c r="C976" s="3" t="s">
        <v>910</v>
      </c>
      <c r="M976" s="23"/>
      <c r="N976" s="23"/>
      <c r="O976" s="23"/>
    </row>
    <row r="977" customFormat="false" ht="36" hidden="false" customHeight="true" outlineLevel="0" collapsed="false">
      <c r="C977" s="26" t="s">
        <v>911</v>
      </c>
      <c r="M977" s="23"/>
      <c r="N977" s="23"/>
      <c r="O977" s="23"/>
    </row>
    <row r="978" customFormat="false" ht="15" hidden="false" customHeight="true" outlineLevel="0" collapsed="false">
      <c r="C978" s="27" t="s">
        <v>912</v>
      </c>
      <c r="D978" s="28" t="n">
        <v>9</v>
      </c>
      <c r="H978" s="29" t="n">
        <f aca="false">IF(COUNT(D978:G978)=0,0,D978*IF(E978="",1,E978)*IF(F978="",1,F978)*IF(G978="",1,G978))</f>
        <v>9</v>
      </c>
      <c r="M978" s="23"/>
      <c r="N978" s="23"/>
      <c r="O978" s="23"/>
    </row>
    <row r="979" customFormat="false" ht="15" hidden="false" customHeight="true" outlineLevel="0" collapsed="false">
      <c r="H979" s="30"/>
      <c r="I979" s="31" t="n">
        <f aca="false">ROUND(SUM(H978:H978),2)</f>
        <v>9</v>
      </c>
      <c r="J979" s="32" t="n">
        <v>10.07</v>
      </c>
      <c r="K979" s="31" t="n">
        <f aca="false">ROUND(I979*J979,2)</f>
        <v>90.63</v>
      </c>
      <c r="L979" s="33" t="s">
        <v>212</v>
      </c>
      <c r="M979" s="23" t="s">
        <v>123</v>
      </c>
      <c r="N979" s="23" t="s">
        <v>54</v>
      </c>
      <c r="O979" s="23" t="s">
        <v>835</v>
      </c>
    </row>
    <row r="980" customFormat="false" ht="15" hidden="false" customHeight="true" outlineLevel="0" collapsed="false">
      <c r="A980" s="3" t="s">
        <v>913</v>
      </c>
      <c r="B980" s="3" t="s">
        <v>652</v>
      </c>
      <c r="C980" s="3" t="s">
        <v>914</v>
      </c>
      <c r="M980" s="23"/>
      <c r="N980" s="23"/>
      <c r="O980" s="23"/>
    </row>
    <row r="981" customFormat="false" ht="60" hidden="false" customHeight="true" outlineLevel="0" collapsed="false">
      <c r="C981" s="26" t="s">
        <v>915</v>
      </c>
      <c r="M981" s="23"/>
      <c r="N981" s="23"/>
      <c r="O981" s="23"/>
    </row>
    <row r="982" customFormat="false" ht="15" hidden="false" customHeight="true" outlineLevel="0" collapsed="false">
      <c r="C982" s="27" t="s">
        <v>916</v>
      </c>
      <c r="D982" s="28" t="n">
        <v>11</v>
      </c>
      <c r="H982" s="29" t="n">
        <f aca="false">IF(COUNT(D982:G982)=0,0,D982*IF(E982="",1,E982)*IF(F982="",1,F982)*IF(G982="",1,G982))</f>
        <v>11</v>
      </c>
      <c r="M982" s="23"/>
      <c r="N982" s="23"/>
      <c r="O982" s="23"/>
    </row>
    <row r="983" customFormat="false" ht="15" hidden="false" customHeight="true" outlineLevel="0" collapsed="false">
      <c r="H983" s="30"/>
      <c r="I983" s="31" t="n">
        <f aca="false">ROUND(SUM(H982:H982),2)</f>
        <v>11</v>
      </c>
      <c r="J983" s="32" t="n">
        <v>9.54</v>
      </c>
      <c r="K983" s="31" t="n">
        <f aca="false">ROUND(I983*J983,2)</f>
        <v>104.94</v>
      </c>
      <c r="L983" s="33" t="s">
        <v>212</v>
      </c>
      <c r="M983" s="23" t="s">
        <v>123</v>
      </c>
      <c r="N983" s="23" t="s">
        <v>54</v>
      </c>
      <c r="O983" s="23" t="s">
        <v>835</v>
      </c>
    </row>
    <row r="984" customFormat="false" ht="15" hidden="false" customHeight="true" outlineLevel="0" collapsed="false">
      <c r="A984" s="3" t="s">
        <v>917</v>
      </c>
      <c r="B984" s="3" t="s">
        <v>652</v>
      </c>
      <c r="C984" s="3" t="s">
        <v>918</v>
      </c>
      <c r="M984" s="23"/>
      <c r="N984" s="23"/>
      <c r="O984" s="23"/>
    </row>
    <row r="985" customFormat="false" ht="48" hidden="false" customHeight="true" outlineLevel="0" collapsed="false">
      <c r="C985" s="26" t="s">
        <v>919</v>
      </c>
      <c r="M985" s="23"/>
      <c r="N985" s="23"/>
      <c r="O985" s="23"/>
    </row>
    <row r="986" customFormat="false" ht="15" hidden="false" customHeight="true" outlineLevel="0" collapsed="false">
      <c r="C986" s="27" t="s">
        <v>920</v>
      </c>
      <c r="D986" s="28" t="n">
        <v>15</v>
      </c>
      <c r="H986" s="29" t="n">
        <f aca="false">IF(COUNT(D986:G986)=0,0,D986*IF(E986="",1,E986)*IF(F986="",1,F986)*IF(G986="",1,G986))</f>
        <v>15</v>
      </c>
      <c r="M986" s="23"/>
      <c r="N986" s="23"/>
      <c r="O986" s="23"/>
    </row>
    <row r="987" customFormat="false" ht="15" hidden="false" customHeight="true" outlineLevel="0" collapsed="false">
      <c r="H987" s="30"/>
      <c r="I987" s="31" t="n">
        <f aca="false">ROUND(SUM(H986:H986),2)</f>
        <v>15</v>
      </c>
      <c r="J987" s="32" t="n">
        <v>13.78</v>
      </c>
      <c r="K987" s="31" t="n">
        <f aca="false">ROUND(I987*J987,2)</f>
        <v>206.7</v>
      </c>
      <c r="L987" s="33" t="s">
        <v>212</v>
      </c>
      <c r="M987" s="23" t="s">
        <v>123</v>
      </c>
      <c r="N987" s="23" t="s">
        <v>54</v>
      </c>
      <c r="O987" s="23" t="s">
        <v>835</v>
      </c>
    </row>
    <row r="988" customFormat="false" ht="15" hidden="false" customHeight="true" outlineLevel="0" collapsed="false">
      <c r="A988" s="3" t="s">
        <v>921</v>
      </c>
      <c r="B988" s="3" t="s">
        <v>652</v>
      </c>
      <c r="C988" s="3" t="s">
        <v>922</v>
      </c>
      <c r="M988" s="23"/>
      <c r="N988" s="23"/>
      <c r="O988" s="23"/>
    </row>
    <row r="989" customFormat="false" ht="48" hidden="false" customHeight="true" outlineLevel="0" collapsed="false">
      <c r="C989" s="26" t="s">
        <v>923</v>
      </c>
      <c r="M989" s="23"/>
      <c r="N989" s="23"/>
      <c r="O989" s="23"/>
    </row>
    <row r="990" customFormat="false" ht="15" hidden="false" customHeight="true" outlineLevel="0" collapsed="false">
      <c r="C990" s="27" t="s">
        <v>924</v>
      </c>
      <c r="D990" s="28" t="n">
        <v>10</v>
      </c>
      <c r="H990" s="29" t="n">
        <f aca="false">IF(COUNT(D990:G990)=0,0,D990*IF(E990="",1,E990)*IF(F990="",1,F990)*IF(G990="",1,G990))</f>
        <v>10</v>
      </c>
      <c r="M990" s="23"/>
      <c r="N990" s="23"/>
      <c r="O990" s="23"/>
    </row>
    <row r="991" customFormat="false" ht="15" hidden="false" customHeight="true" outlineLevel="0" collapsed="false">
      <c r="H991" s="30"/>
      <c r="I991" s="31" t="n">
        <f aca="false">ROUND(SUM(H990:H990),2)</f>
        <v>10</v>
      </c>
      <c r="J991" s="32" t="n">
        <v>9.69</v>
      </c>
      <c r="K991" s="31" t="n">
        <f aca="false">ROUND(I991*J991,2)</f>
        <v>96.9</v>
      </c>
      <c r="L991" s="33" t="s">
        <v>212</v>
      </c>
      <c r="M991" s="23" t="s">
        <v>123</v>
      </c>
      <c r="N991" s="23" t="s">
        <v>54</v>
      </c>
      <c r="O991" s="23" t="s">
        <v>835</v>
      </c>
    </row>
    <row r="992" customFormat="false" ht="15" hidden="false" customHeight="true" outlineLevel="0" collapsed="false">
      <c r="A992" s="3" t="s">
        <v>925</v>
      </c>
      <c r="B992" s="3" t="s">
        <v>652</v>
      </c>
      <c r="C992" s="3" t="s">
        <v>926</v>
      </c>
      <c r="M992" s="23"/>
      <c r="N992" s="23"/>
      <c r="O992" s="23"/>
    </row>
    <row r="993" customFormat="false" ht="48" hidden="false" customHeight="true" outlineLevel="0" collapsed="false">
      <c r="C993" s="26" t="s">
        <v>927</v>
      </c>
      <c r="M993" s="23"/>
      <c r="N993" s="23"/>
      <c r="O993" s="23"/>
    </row>
    <row r="994" customFormat="false" ht="15" hidden="false" customHeight="true" outlineLevel="0" collapsed="false">
      <c r="C994" s="27" t="s">
        <v>713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6.26</v>
      </c>
      <c r="K995" s="31" t="n">
        <f aca="false">ROUND(I995*J995,2)</f>
        <v>25.04</v>
      </c>
      <c r="L995" s="33" t="s">
        <v>212</v>
      </c>
      <c r="M995" s="23" t="s">
        <v>123</v>
      </c>
      <c r="N995" s="23" t="s">
        <v>54</v>
      </c>
      <c r="O995" s="23" t="s">
        <v>835</v>
      </c>
    </row>
    <row r="996" customFormat="false" ht="15" hidden="false" customHeight="true" outlineLevel="0" collapsed="false">
      <c r="A996" s="3" t="s">
        <v>928</v>
      </c>
      <c r="B996" s="3" t="s">
        <v>652</v>
      </c>
      <c r="C996" s="3" t="s">
        <v>929</v>
      </c>
      <c r="M996" s="23"/>
      <c r="N996" s="23"/>
      <c r="O996" s="23"/>
    </row>
    <row r="997" customFormat="false" ht="36" hidden="false" customHeight="true" outlineLevel="0" collapsed="false">
      <c r="C997" s="26" t="s">
        <v>930</v>
      </c>
      <c r="M997" s="23"/>
      <c r="N997" s="23"/>
      <c r="O997" s="23"/>
    </row>
    <row r="998" customFormat="false" ht="15" hidden="false" customHeight="true" outlineLevel="0" collapsed="false">
      <c r="C998" s="27" t="s">
        <v>931</v>
      </c>
      <c r="D998" s="28" t="n">
        <v>3</v>
      </c>
      <c r="H998" s="29" t="n">
        <f aca="false">IF(COUNT(D998:G998)=0,0,D998*IF(E998="",1,E998)*IF(F998="",1,F998)*IF(G998="",1,G998))</f>
        <v>3</v>
      </c>
      <c r="M998" s="23"/>
      <c r="N998" s="23"/>
      <c r="O998" s="23"/>
    </row>
    <row r="999" customFormat="false" ht="15" hidden="false" customHeight="true" outlineLevel="0" collapsed="false">
      <c r="H999" s="30"/>
      <c r="I999" s="31" t="n">
        <f aca="false">ROUND(SUM(H998:H998),2)</f>
        <v>3</v>
      </c>
      <c r="J999" s="32" t="n">
        <v>72.34</v>
      </c>
      <c r="K999" s="31" t="n">
        <f aca="false">ROUND(I999*J999,2)</f>
        <v>217.02</v>
      </c>
      <c r="L999" s="33" t="s">
        <v>212</v>
      </c>
      <c r="M999" s="23" t="s">
        <v>123</v>
      </c>
      <c r="N999" s="23" t="s">
        <v>54</v>
      </c>
      <c r="O999" s="23" t="s">
        <v>835</v>
      </c>
    </row>
    <row r="1000" customFormat="false" ht="15" hidden="false" customHeight="true" outlineLevel="0" collapsed="false">
      <c r="A1000" s="3" t="s">
        <v>932</v>
      </c>
      <c r="B1000" s="3" t="s">
        <v>652</v>
      </c>
      <c r="C1000" s="3" t="s">
        <v>933</v>
      </c>
      <c r="M1000" s="23"/>
      <c r="N1000" s="23"/>
      <c r="O1000" s="23"/>
    </row>
    <row r="1001" customFormat="false" ht="24" hidden="false" customHeight="true" outlineLevel="0" collapsed="false">
      <c r="C1001" s="26" t="s">
        <v>934</v>
      </c>
      <c r="M1001" s="23"/>
      <c r="N1001" s="23"/>
      <c r="O1001" s="23"/>
    </row>
    <row r="1002" customFormat="false" ht="15" hidden="false" customHeight="true" outlineLevel="0" collapsed="false">
      <c r="C1002" s="27" t="s">
        <v>935</v>
      </c>
      <c r="D1002" s="28" t="n">
        <v>4</v>
      </c>
      <c r="H1002" s="29" t="n">
        <f aca="false">IF(COUNT(D1002:G1002)=0,0,D1002*IF(E1002="",1,E1002)*IF(F1002="",1,F1002)*IF(G1002="",1,G1002))</f>
        <v>4</v>
      </c>
      <c r="M1002" s="23"/>
      <c r="N1002" s="23"/>
      <c r="O1002" s="23"/>
    </row>
    <row r="1003" customFormat="false" ht="15" hidden="false" customHeight="true" outlineLevel="0" collapsed="false">
      <c r="H1003" s="30"/>
      <c r="I1003" s="31" t="n">
        <f aca="false">ROUND(SUM(H1002:H1002),2)</f>
        <v>4</v>
      </c>
      <c r="J1003" s="32" t="n">
        <v>95.4</v>
      </c>
      <c r="K1003" s="31" t="n">
        <f aca="false">ROUND(I1003*J1003,2)</f>
        <v>381.6</v>
      </c>
      <c r="L1003" s="33" t="s">
        <v>212</v>
      </c>
      <c r="M1003" s="23" t="s">
        <v>123</v>
      </c>
      <c r="N1003" s="23" t="s">
        <v>54</v>
      </c>
      <c r="O1003" s="23" t="s">
        <v>835</v>
      </c>
    </row>
    <row r="1004" customFormat="false" ht="15" hidden="false" customHeight="true" outlineLevel="0" collapsed="false">
      <c r="A1004" s="3" t="s">
        <v>936</v>
      </c>
      <c r="B1004" s="3" t="s">
        <v>652</v>
      </c>
      <c r="C1004" s="3" t="s">
        <v>937</v>
      </c>
      <c r="M1004" s="23"/>
      <c r="N1004" s="23"/>
      <c r="O1004" s="23"/>
    </row>
    <row r="1005" customFormat="false" ht="12" hidden="false" customHeight="true" outlineLevel="0" collapsed="false">
      <c r="C1005" s="26" t="s">
        <v>938</v>
      </c>
      <c r="M1005" s="23"/>
      <c r="N1005" s="23"/>
      <c r="O1005" s="23"/>
    </row>
    <row r="1006" customFormat="false" ht="15" hidden="false" customHeight="true" outlineLevel="0" collapsed="false">
      <c r="C1006" s="27" t="s">
        <v>939</v>
      </c>
      <c r="D1006" s="28" t="n">
        <v>7</v>
      </c>
      <c r="H1006" s="29" t="n">
        <f aca="false">IF(COUNT(D1006:G1006)=0,0,D1006*IF(E1006="",1,E1006)*IF(F1006="",1,F1006)*IF(G1006="",1,G1006))</f>
        <v>7</v>
      </c>
      <c r="M1006" s="23"/>
      <c r="N1006" s="23"/>
      <c r="O1006" s="23"/>
    </row>
    <row r="1007" customFormat="false" ht="15" hidden="false" customHeight="true" outlineLevel="0" collapsed="false">
      <c r="H1007" s="30"/>
      <c r="I1007" s="31" t="n">
        <f aca="false">ROUND(SUM(H1006:H1006),2)</f>
        <v>7</v>
      </c>
      <c r="J1007" s="32" t="n">
        <v>28.49</v>
      </c>
      <c r="K1007" s="31" t="n">
        <f aca="false">ROUND(I1007*J1007,2)</f>
        <v>199.43</v>
      </c>
      <c r="L1007" s="33" t="s">
        <v>212</v>
      </c>
      <c r="M1007" s="23" t="s">
        <v>123</v>
      </c>
      <c r="N1007" s="23" t="s">
        <v>54</v>
      </c>
      <c r="O1007" s="23" t="s">
        <v>835</v>
      </c>
    </row>
    <row r="1008" customFormat="false" ht="15" hidden="false" customHeight="true" outlineLevel="0" collapsed="false">
      <c r="A1008" s="3" t="s">
        <v>940</v>
      </c>
      <c r="B1008" s="3" t="s">
        <v>652</v>
      </c>
      <c r="C1008" s="3" t="s">
        <v>941</v>
      </c>
      <c r="M1008" s="23"/>
      <c r="N1008" s="23"/>
      <c r="O1008" s="23"/>
    </row>
    <row r="1009" customFormat="false" ht="60" hidden="false" customHeight="true" outlineLevel="0" collapsed="false">
      <c r="C1009" s="26" t="s">
        <v>942</v>
      </c>
      <c r="M1009" s="23"/>
      <c r="N1009" s="23"/>
      <c r="O1009" s="23"/>
    </row>
    <row r="1010" customFormat="false" ht="15" hidden="false" customHeight="true" outlineLevel="0" collapsed="false">
      <c r="C1010" s="27" t="s">
        <v>896</v>
      </c>
      <c r="D1010" s="28" t="n">
        <v>2</v>
      </c>
      <c r="H1010" s="29" t="n">
        <f aca="false">IF(COUNT(D1010:G1010)=0,0,D1010*IF(E1010="",1,E1010)*IF(F1010="",1,F1010)*IF(G1010="",1,G1010))</f>
        <v>2</v>
      </c>
      <c r="M1010" s="23"/>
      <c r="N1010" s="23"/>
      <c r="O1010" s="23"/>
    </row>
    <row r="1011" customFormat="false" ht="15" hidden="false" customHeight="true" outlineLevel="0" collapsed="false">
      <c r="H1011" s="30"/>
      <c r="I1011" s="31" t="n">
        <f aca="false">ROUND(SUM(H1010:H1010),2)</f>
        <v>2</v>
      </c>
      <c r="J1011" s="32" t="n">
        <v>45.56</v>
      </c>
      <c r="K1011" s="31" t="n">
        <f aca="false">ROUND(I1011*J1011,2)</f>
        <v>91.12</v>
      </c>
      <c r="L1011" s="33" t="s">
        <v>212</v>
      </c>
      <c r="M1011" s="23" t="s">
        <v>123</v>
      </c>
      <c r="N1011" s="23" t="s">
        <v>54</v>
      </c>
      <c r="O1011" s="23" t="s">
        <v>835</v>
      </c>
    </row>
    <row r="1012" customFormat="false" ht="15" hidden="false" customHeight="true" outlineLevel="0" collapsed="false">
      <c r="A1012" s="3" t="s">
        <v>943</v>
      </c>
      <c r="B1012" s="3" t="s">
        <v>652</v>
      </c>
      <c r="C1012" s="3" t="s">
        <v>944</v>
      </c>
      <c r="M1012" s="23"/>
      <c r="N1012" s="23"/>
      <c r="O1012" s="23"/>
    </row>
    <row r="1013" customFormat="false" ht="36" hidden="false" customHeight="true" outlineLevel="0" collapsed="false">
      <c r="C1013" s="26" t="s">
        <v>945</v>
      </c>
      <c r="M1013" s="23"/>
      <c r="N1013" s="23"/>
      <c r="O1013" s="23"/>
    </row>
    <row r="1014" customFormat="false" ht="15" hidden="false" customHeight="true" outlineLevel="0" collapsed="false">
      <c r="C1014" s="27" t="s">
        <v>920</v>
      </c>
      <c r="D1014" s="28" t="n">
        <v>15</v>
      </c>
      <c r="H1014" s="29" t="n">
        <f aca="false">IF(COUNT(D1014:G1014)=0,0,D1014*IF(E1014="",1,E1014)*IF(F1014="",1,F1014)*IF(G1014="",1,G1014))</f>
        <v>15</v>
      </c>
      <c r="M1014" s="23"/>
      <c r="N1014" s="23"/>
      <c r="O1014" s="23"/>
    </row>
    <row r="1015" customFormat="false" ht="15" hidden="false" customHeight="true" outlineLevel="0" collapsed="false">
      <c r="H1015" s="30"/>
      <c r="I1015" s="31" t="n">
        <f aca="false">ROUND(SUM(H1014:H1014),2)</f>
        <v>15</v>
      </c>
      <c r="J1015" s="32" t="n">
        <v>12.37</v>
      </c>
      <c r="K1015" s="31" t="n">
        <f aca="false">ROUND(I1015*J1015,2)</f>
        <v>185.55</v>
      </c>
      <c r="L1015" s="33" t="s">
        <v>212</v>
      </c>
      <c r="M1015" s="23" t="s">
        <v>123</v>
      </c>
      <c r="N1015" s="23" t="s">
        <v>54</v>
      </c>
      <c r="O1015" s="23" t="s">
        <v>835</v>
      </c>
    </row>
    <row r="1016" customFormat="false" ht="15" hidden="false" customHeight="true" outlineLevel="0" collapsed="false">
      <c r="A1016" s="3" t="s">
        <v>946</v>
      </c>
      <c r="B1016" s="3" t="s">
        <v>652</v>
      </c>
      <c r="C1016" s="3" t="s">
        <v>947</v>
      </c>
      <c r="M1016" s="23"/>
      <c r="N1016" s="23"/>
      <c r="O1016" s="23"/>
    </row>
    <row r="1017" customFormat="false" ht="36" hidden="false" customHeight="true" outlineLevel="0" collapsed="false">
      <c r="C1017" s="26" t="s">
        <v>948</v>
      </c>
      <c r="M1017" s="23"/>
      <c r="N1017" s="23"/>
      <c r="O1017" s="23"/>
    </row>
    <row r="1018" customFormat="false" ht="15" hidden="false" customHeight="true" outlineLevel="0" collapsed="false">
      <c r="C1018" s="27" t="s">
        <v>949</v>
      </c>
      <c r="D1018" s="28" t="n">
        <v>10</v>
      </c>
      <c r="H1018" s="29" t="n">
        <f aca="false">IF(COUNT(D1018:G1018)=0,0,D1018*IF(E1018="",1,E1018)*IF(F1018="",1,F1018)*IF(G1018="",1,G1018))</f>
        <v>10</v>
      </c>
      <c r="M1018" s="23"/>
      <c r="N1018" s="23"/>
      <c r="O1018" s="23"/>
    </row>
    <row r="1019" customFormat="false" ht="15" hidden="false" customHeight="true" outlineLevel="0" collapsed="false">
      <c r="H1019" s="30"/>
      <c r="I1019" s="31" t="n">
        <f aca="false">ROUND(SUM(H1018:H1018),2)</f>
        <v>10</v>
      </c>
      <c r="J1019" s="32" t="n">
        <v>15.49</v>
      </c>
      <c r="K1019" s="31" t="n">
        <f aca="false">ROUND(I1019*J1019,2)</f>
        <v>154.9</v>
      </c>
      <c r="L1019" s="33" t="s">
        <v>212</v>
      </c>
      <c r="M1019" s="23" t="s">
        <v>123</v>
      </c>
      <c r="N1019" s="23" t="s">
        <v>54</v>
      </c>
      <c r="O1019" s="23" t="s">
        <v>835</v>
      </c>
    </row>
    <row r="1020" customFormat="false" ht="15" hidden="false" customHeight="true" outlineLevel="0" collapsed="false">
      <c r="A1020" s="3" t="s">
        <v>950</v>
      </c>
      <c r="B1020" s="3" t="s">
        <v>652</v>
      </c>
      <c r="C1020" s="3" t="s">
        <v>951</v>
      </c>
      <c r="M1020" s="23"/>
      <c r="N1020" s="23"/>
      <c r="O1020" s="23"/>
    </row>
    <row r="1021" customFormat="false" ht="36" hidden="false" customHeight="true" outlineLevel="0" collapsed="false">
      <c r="C1021" s="26" t="s">
        <v>952</v>
      </c>
      <c r="M1021" s="23"/>
      <c r="N1021" s="23"/>
      <c r="O1021" s="23"/>
    </row>
    <row r="1022" customFormat="false" ht="15" hidden="false" customHeight="true" outlineLevel="0" collapsed="false">
      <c r="C1022" s="27" t="s">
        <v>908</v>
      </c>
      <c r="D1022" s="28" t="n">
        <v>2</v>
      </c>
      <c r="H1022" s="29" t="n">
        <f aca="false">IF(COUNT(D1022:G1022)=0,0,D1022*IF(E1022="",1,E1022)*IF(F1022="",1,F1022)*IF(G1022="",1,G1022))</f>
        <v>2</v>
      </c>
      <c r="M1022" s="23"/>
      <c r="N1022" s="23"/>
      <c r="O1022" s="23"/>
    </row>
    <row r="1023" customFormat="false" ht="15" hidden="false" customHeight="true" outlineLevel="0" collapsed="false">
      <c r="H1023" s="30"/>
      <c r="I1023" s="31" t="n">
        <f aca="false">ROUND(SUM(H1022:H1022),2)</f>
        <v>2</v>
      </c>
      <c r="J1023" s="32" t="n">
        <v>17.07</v>
      </c>
      <c r="K1023" s="31" t="n">
        <f aca="false">ROUND(I1023*J1023,2)</f>
        <v>34.14</v>
      </c>
      <c r="L1023" s="33" t="s">
        <v>212</v>
      </c>
      <c r="M1023" s="23" t="s">
        <v>123</v>
      </c>
      <c r="N1023" s="23" t="s">
        <v>54</v>
      </c>
      <c r="O1023" s="23" t="s">
        <v>835</v>
      </c>
    </row>
    <row r="1024" customFormat="false" ht="15" hidden="false" customHeight="true" outlineLevel="0" collapsed="false">
      <c r="A1024" s="3" t="s">
        <v>953</v>
      </c>
      <c r="B1024" s="3" t="s">
        <v>652</v>
      </c>
      <c r="C1024" s="3" t="s">
        <v>954</v>
      </c>
      <c r="M1024" s="23"/>
      <c r="N1024" s="23"/>
      <c r="O1024" s="23"/>
    </row>
    <row r="1025" customFormat="false" ht="36" hidden="false" customHeight="true" outlineLevel="0" collapsed="false">
      <c r="C1025" s="26" t="s">
        <v>955</v>
      </c>
      <c r="M1025" s="23"/>
      <c r="N1025" s="23"/>
      <c r="O1025" s="23"/>
    </row>
    <row r="1026" customFormat="false" ht="15" hidden="false" customHeight="true" outlineLevel="0" collapsed="false">
      <c r="C1026" s="27" t="s">
        <v>900</v>
      </c>
      <c r="D1026" s="28" t="n">
        <v>72</v>
      </c>
      <c r="H1026" s="29" t="n">
        <f aca="false">IF(COUNT(D1026:G1026)=0,0,D1026*IF(E1026="",1,E1026)*IF(F1026="",1,F1026)*IF(G1026="",1,G1026))</f>
        <v>72</v>
      </c>
      <c r="M1026" s="23"/>
      <c r="N1026" s="23"/>
      <c r="O1026" s="23"/>
    </row>
    <row r="1027" customFormat="false" ht="15" hidden="false" customHeight="true" outlineLevel="0" collapsed="false">
      <c r="H1027" s="30"/>
      <c r="I1027" s="31" t="n">
        <f aca="false">ROUND(SUM(H1026:H1026),2)</f>
        <v>72</v>
      </c>
      <c r="J1027" s="32" t="n">
        <v>12.37</v>
      </c>
      <c r="K1027" s="31" t="n">
        <f aca="false">ROUND(I1027*J1027,2)</f>
        <v>890.64</v>
      </c>
      <c r="L1027" s="33" t="s">
        <v>212</v>
      </c>
      <c r="M1027" s="23" t="s">
        <v>123</v>
      </c>
      <c r="N1027" s="23" t="s">
        <v>54</v>
      </c>
      <c r="O1027" s="23" t="s">
        <v>835</v>
      </c>
    </row>
    <row r="1028" customFormat="false" ht="15" hidden="false" customHeight="true" outlineLevel="0" collapsed="false">
      <c r="A1028" s="3" t="s">
        <v>956</v>
      </c>
      <c r="B1028" s="3" t="s">
        <v>652</v>
      </c>
      <c r="C1028" s="3" t="s">
        <v>957</v>
      </c>
      <c r="M1028" s="23"/>
      <c r="N1028" s="23"/>
      <c r="O1028" s="23"/>
    </row>
    <row r="1029" customFormat="false" ht="24" hidden="false" customHeight="true" outlineLevel="0" collapsed="false">
      <c r="C1029" s="26" t="s">
        <v>958</v>
      </c>
      <c r="M1029" s="23"/>
      <c r="N1029" s="23"/>
      <c r="O1029" s="23"/>
    </row>
    <row r="1030" customFormat="false" ht="15" hidden="false" customHeight="true" outlineLevel="0" collapsed="false">
      <c r="C1030" s="27" t="s">
        <v>959</v>
      </c>
      <c r="D1030" s="28" t="n">
        <v>9</v>
      </c>
      <c r="H1030" s="29" t="n">
        <f aca="false">IF(COUNT(D1030:G1030)=0,0,D1030*IF(E1030="",1,E1030)*IF(F1030="",1,F1030)*IF(G1030="",1,G1030))</f>
        <v>9</v>
      </c>
      <c r="M1030" s="23"/>
      <c r="N1030" s="23"/>
      <c r="O1030" s="23"/>
    </row>
    <row r="1031" customFormat="false" ht="15" hidden="false" customHeight="true" outlineLevel="0" collapsed="false">
      <c r="H1031" s="30"/>
      <c r="I1031" s="31" t="n">
        <f aca="false">ROUND(SUM(H1030:H1030),2)</f>
        <v>9</v>
      </c>
      <c r="J1031" s="32" t="n">
        <v>19.07</v>
      </c>
      <c r="K1031" s="31" t="n">
        <f aca="false">ROUND(I1031*J1031,2)</f>
        <v>171.63</v>
      </c>
      <c r="L1031" s="33" t="s">
        <v>212</v>
      </c>
      <c r="M1031" s="23" t="s">
        <v>123</v>
      </c>
      <c r="N1031" s="23" t="s">
        <v>54</v>
      </c>
      <c r="O1031" s="23" t="s">
        <v>835</v>
      </c>
    </row>
    <row r="1032" customFormat="false" ht="15" hidden="false" customHeight="true" outlineLevel="0" collapsed="false">
      <c r="A1032" s="3" t="s">
        <v>960</v>
      </c>
      <c r="B1032" s="3" t="s">
        <v>129</v>
      </c>
      <c r="C1032" s="3" t="s">
        <v>961</v>
      </c>
      <c r="M1032" s="23"/>
      <c r="N1032" s="23"/>
      <c r="O1032" s="23"/>
    </row>
    <row r="1033" customFormat="false" ht="36" hidden="false" customHeight="true" outlineLevel="0" collapsed="false">
      <c r="C1033" s="26" t="s">
        <v>962</v>
      </c>
      <c r="M1033" s="23"/>
      <c r="N1033" s="23"/>
      <c r="O1033" s="23"/>
    </row>
    <row r="1034" customFormat="false" ht="15" hidden="false" customHeight="true" outlineLevel="0" collapsed="false">
      <c r="C1034" s="27" t="s">
        <v>963</v>
      </c>
      <c r="D1034" s="28" t="n">
        <v>1</v>
      </c>
      <c r="H1034" s="29" t="n">
        <f aca="false">IF(COUNT(D1034:G1034)=0,0,D1034*IF(E1034="",1,E1034)*IF(F1034="",1,F1034)*IF(G1034="",1,G1034))</f>
        <v>1</v>
      </c>
      <c r="M1034" s="23"/>
      <c r="N1034" s="23"/>
      <c r="O1034" s="23"/>
    </row>
    <row r="1035" customFormat="false" ht="18.75" hidden="false" customHeight="true" outlineLevel="0" collapsed="false">
      <c r="H1035" s="30"/>
      <c r="I1035" s="31" t="n">
        <f aca="false">ROUND(SUM(H1034:H1034),2)</f>
        <v>1</v>
      </c>
      <c r="J1035" s="32" t="n">
        <v>210</v>
      </c>
      <c r="K1035" s="31" t="n">
        <f aca="false">ROUND(I1035*J1035,2)</f>
        <v>210</v>
      </c>
      <c r="L1035" s="33" t="s">
        <v>238</v>
      </c>
      <c r="M1035" s="23" t="s">
        <v>123</v>
      </c>
      <c r="N1035" s="23" t="s">
        <v>54</v>
      </c>
      <c r="O1035" s="23" t="s">
        <v>835</v>
      </c>
    </row>
    <row r="1036" customFormat="false" ht="15" hidden="false" customHeight="true" outlineLevel="0" collapsed="false">
      <c r="A1036" s="3" t="s">
        <v>964</v>
      </c>
      <c r="B1036" s="3" t="s">
        <v>129</v>
      </c>
      <c r="C1036" s="3" t="s">
        <v>965</v>
      </c>
      <c r="M1036" s="23"/>
      <c r="N1036" s="23"/>
      <c r="O1036" s="23"/>
    </row>
    <row r="1037" customFormat="false" ht="24" hidden="false" customHeight="true" outlineLevel="0" collapsed="false">
      <c r="C1037" s="26" t="s">
        <v>966</v>
      </c>
      <c r="M1037" s="23"/>
      <c r="N1037" s="23"/>
      <c r="O1037" s="23"/>
    </row>
    <row r="1038" customFormat="false" ht="15" hidden="false" customHeight="true" outlineLevel="0" collapsed="false">
      <c r="C1038" s="27" t="s">
        <v>730</v>
      </c>
      <c r="D1038" s="28" t="n">
        <v>1</v>
      </c>
      <c r="H1038" s="29" t="n">
        <f aca="false">IF(COUNT(D1038:G1038)=0,0,D1038*IF(E1038="",1,E1038)*IF(F1038="",1,F1038)*IF(G1038="",1,G1038))</f>
        <v>1</v>
      </c>
      <c r="M1038" s="23"/>
      <c r="N1038" s="23"/>
      <c r="O1038" s="23"/>
    </row>
    <row r="1039" customFormat="false" ht="27.75" hidden="false" customHeight="true" outlineLevel="0" collapsed="false">
      <c r="H1039" s="30"/>
      <c r="I1039" s="31" t="n">
        <f aca="false">ROUND(SUM(H1038:H1038),2)</f>
        <v>1</v>
      </c>
      <c r="J1039" s="32" t="n">
        <v>2500</v>
      </c>
      <c r="K1039" s="31" t="n">
        <f aca="false">ROUND(I1039*J1039,2)</f>
        <v>2500</v>
      </c>
      <c r="L1039" s="33" t="s">
        <v>967</v>
      </c>
      <c r="M1039" s="23" t="s">
        <v>123</v>
      </c>
      <c r="N1039" s="23" t="s">
        <v>54</v>
      </c>
      <c r="O1039" s="23" t="s">
        <v>835</v>
      </c>
    </row>
    <row r="1040" customFormat="false" ht="15" hidden="false" customHeight="true" outlineLevel="0" collapsed="false">
      <c r="A1040" s="3" t="s">
        <v>968</v>
      </c>
      <c r="C1040" s="3" t="s">
        <v>969</v>
      </c>
      <c r="M1040" s="23" t="s">
        <v>291</v>
      </c>
      <c r="N1040" s="23" t="s">
        <v>54</v>
      </c>
      <c r="O1040" s="23" t="s">
        <v>968</v>
      </c>
    </row>
    <row r="1041" customFormat="false" ht="15" hidden="false" customHeight="true" outlineLevel="0" collapsed="false">
      <c r="A1041" s="3" t="s">
        <v>970</v>
      </c>
      <c r="B1041" s="3" t="s">
        <v>652</v>
      </c>
      <c r="C1041" s="3" t="s">
        <v>971</v>
      </c>
      <c r="M1041" s="23"/>
      <c r="N1041" s="23"/>
      <c r="O1041" s="23"/>
    </row>
    <row r="1042" customFormat="false" ht="36" hidden="false" customHeight="true" outlineLevel="0" collapsed="false">
      <c r="C1042" s="26" t="s">
        <v>972</v>
      </c>
      <c r="M1042" s="23"/>
      <c r="N1042" s="23"/>
      <c r="O1042" s="23"/>
    </row>
    <row r="1043" customFormat="false" ht="15" hidden="false" customHeight="true" outlineLevel="0" collapsed="false">
      <c r="C1043" s="27" t="s">
        <v>748</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371</v>
      </c>
      <c r="K1044" s="31" t="n">
        <f aca="false">ROUND(I1044*J1044,2)</f>
        <v>371</v>
      </c>
      <c r="L1044" s="33" t="s">
        <v>212</v>
      </c>
      <c r="M1044" s="23" t="s">
        <v>123</v>
      </c>
      <c r="N1044" s="23" t="s">
        <v>54</v>
      </c>
      <c r="O1044" s="23" t="s">
        <v>968</v>
      </c>
    </row>
    <row r="1045" customFormat="false" ht="15" hidden="false" customHeight="true" outlineLevel="0" collapsed="false">
      <c r="A1045" s="3" t="s">
        <v>973</v>
      </c>
      <c r="B1045" s="3" t="s">
        <v>652</v>
      </c>
      <c r="C1045" s="3" t="s">
        <v>974</v>
      </c>
      <c r="M1045" s="23"/>
      <c r="N1045" s="23"/>
      <c r="O1045" s="23"/>
    </row>
    <row r="1046" customFormat="false" ht="24" hidden="false" customHeight="true" outlineLevel="0" collapsed="false">
      <c r="C1046" s="26" t="s">
        <v>975</v>
      </c>
      <c r="M1046" s="23"/>
      <c r="N1046" s="23"/>
      <c r="O1046" s="23"/>
    </row>
    <row r="1047" customFormat="false" ht="15" hidden="false" customHeight="true" outlineLevel="0" collapsed="false">
      <c r="C1047" s="27" t="s">
        <v>748</v>
      </c>
      <c r="D1047" s="28" t="n">
        <v>1</v>
      </c>
      <c r="H1047" s="29" t="n">
        <f aca="false">IF(COUNT(D1047:G1047)=0,0,D1047*IF(E1047="",1,E1047)*IF(F1047="",1,F1047)*IF(G1047="",1,G1047))</f>
        <v>1</v>
      </c>
      <c r="M1047" s="23"/>
      <c r="N1047" s="23"/>
      <c r="O1047" s="23"/>
    </row>
    <row r="1048" customFormat="false" ht="15" hidden="false" customHeight="true" outlineLevel="0" collapsed="false">
      <c r="H1048" s="30"/>
      <c r="I1048" s="31" t="n">
        <f aca="false">ROUND(SUM(H1047:H1047),2)</f>
        <v>1</v>
      </c>
      <c r="J1048" s="32" t="n">
        <v>270.3</v>
      </c>
      <c r="K1048" s="31" t="n">
        <f aca="false">ROUND(I1048*J1048,2)</f>
        <v>270.3</v>
      </c>
      <c r="L1048" s="33" t="s">
        <v>212</v>
      </c>
      <c r="M1048" s="23" t="s">
        <v>123</v>
      </c>
      <c r="N1048" s="23" t="s">
        <v>54</v>
      </c>
      <c r="O1048" s="23" t="s">
        <v>968</v>
      </c>
    </row>
    <row r="1049" customFormat="false" ht="15" hidden="false" customHeight="true" outlineLevel="0" collapsed="false">
      <c r="A1049" s="3" t="s">
        <v>976</v>
      </c>
      <c r="B1049" s="3" t="s">
        <v>652</v>
      </c>
      <c r="C1049" s="3" t="s">
        <v>977</v>
      </c>
      <c r="M1049" s="23"/>
      <c r="N1049" s="23"/>
      <c r="O1049" s="23"/>
    </row>
    <row r="1050" customFormat="false" ht="72" hidden="false" customHeight="true" outlineLevel="0" collapsed="false">
      <c r="C1050" s="26" t="s">
        <v>978</v>
      </c>
      <c r="M1050" s="23"/>
      <c r="N1050" s="23"/>
      <c r="O1050" s="23"/>
    </row>
    <row r="1051" customFormat="false" ht="15" hidden="false" customHeight="true" outlineLevel="0" collapsed="false">
      <c r="C1051" s="27" t="s">
        <v>748</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381.6</v>
      </c>
      <c r="K1052" s="31" t="n">
        <f aca="false">ROUND(I1052*J1052,2)</f>
        <v>381.6</v>
      </c>
      <c r="L1052" s="33" t="s">
        <v>212</v>
      </c>
      <c r="M1052" s="23" t="s">
        <v>123</v>
      </c>
      <c r="N1052" s="23" t="s">
        <v>54</v>
      </c>
      <c r="O1052" s="23" t="s">
        <v>968</v>
      </c>
    </row>
    <row r="1053" customFormat="false" ht="15" hidden="false" customHeight="true" outlineLevel="0" collapsed="false">
      <c r="A1053" s="3" t="s">
        <v>979</v>
      </c>
      <c r="B1053" s="3" t="s">
        <v>659</v>
      </c>
      <c r="C1053" s="3" t="s">
        <v>980</v>
      </c>
      <c r="M1053" s="23"/>
      <c r="N1053" s="23"/>
      <c r="O1053" s="23"/>
    </row>
    <row r="1054" customFormat="false" ht="12" hidden="false" customHeight="true" outlineLevel="0" collapsed="false">
      <c r="C1054" s="26" t="s">
        <v>981</v>
      </c>
      <c r="M1054" s="23"/>
      <c r="N1054" s="23"/>
      <c r="O1054" s="23"/>
    </row>
    <row r="1055" customFormat="false" ht="15" hidden="false" customHeight="true" outlineLevel="0" collapsed="false">
      <c r="C1055" s="27" t="s">
        <v>748</v>
      </c>
      <c r="D1055" s="28" t="n">
        <v>100</v>
      </c>
      <c r="H1055" s="29" t="n">
        <f aca="false">IF(COUNT(D1055:G1055)=0,0,D1055*IF(E1055="",1,E1055)*IF(F1055="",1,F1055)*IF(G1055="",1,G1055))</f>
        <v>100</v>
      </c>
      <c r="M1055" s="23"/>
      <c r="N1055" s="23"/>
      <c r="O1055" s="23"/>
    </row>
    <row r="1056" customFormat="false" ht="15" hidden="false" customHeight="true" outlineLevel="0" collapsed="false">
      <c r="H1056" s="30"/>
      <c r="I1056" s="31" t="n">
        <f aca="false">ROUND(SUM(H1055:H1055),2)</f>
        <v>100</v>
      </c>
      <c r="J1056" s="32" t="n">
        <v>2.12</v>
      </c>
      <c r="K1056" s="31" t="n">
        <f aca="false">ROUND(I1056*J1056,2)</f>
        <v>212</v>
      </c>
      <c r="L1056" s="33" t="s">
        <v>212</v>
      </c>
      <c r="M1056" s="23" t="s">
        <v>123</v>
      </c>
      <c r="N1056" s="23" t="s">
        <v>54</v>
      </c>
      <c r="O1056" s="23" t="s">
        <v>968</v>
      </c>
    </row>
    <row r="1057" customFormat="false" ht="15" hidden="false" customHeight="true" outlineLevel="0" collapsed="false">
      <c r="A1057" s="3" t="s">
        <v>982</v>
      </c>
      <c r="B1057" s="3" t="s">
        <v>652</v>
      </c>
      <c r="C1057" s="3" t="s">
        <v>983</v>
      </c>
      <c r="M1057" s="23"/>
      <c r="N1057" s="23"/>
      <c r="O1057" s="23"/>
    </row>
    <row r="1058" customFormat="false" ht="12" hidden="false" customHeight="true" outlineLevel="0" collapsed="false">
      <c r="C1058" s="26" t="s">
        <v>984</v>
      </c>
      <c r="M1058" s="23"/>
      <c r="N1058" s="23"/>
      <c r="O1058" s="23"/>
    </row>
    <row r="1059" customFormat="false" ht="15" hidden="false" customHeight="true" outlineLevel="0" collapsed="false">
      <c r="C1059" s="27" t="s">
        <v>748</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127.2</v>
      </c>
      <c r="K1060" s="31" t="n">
        <f aca="false">ROUND(I1060*J1060,2)</f>
        <v>127.2</v>
      </c>
      <c r="L1060" s="33" t="s">
        <v>212</v>
      </c>
      <c r="M1060" s="23" t="s">
        <v>123</v>
      </c>
      <c r="N1060" s="23" t="s">
        <v>54</v>
      </c>
      <c r="O1060" s="23" t="s">
        <v>968</v>
      </c>
    </row>
    <row r="1061" customFormat="false" ht="15" hidden="false" customHeight="true" outlineLevel="0" collapsed="false">
      <c r="A1061" s="3" t="s">
        <v>985</v>
      </c>
      <c r="B1061" s="3" t="s">
        <v>652</v>
      </c>
      <c r="C1061" s="3" t="s">
        <v>986</v>
      </c>
      <c r="M1061" s="23"/>
      <c r="N1061" s="23"/>
      <c r="O1061" s="23"/>
    </row>
    <row r="1062" customFormat="false" ht="48" hidden="false" customHeight="true" outlineLevel="0" collapsed="false">
      <c r="C1062" s="26" t="s">
        <v>987</v>
      </c>
      <c r="M1062" s="23"/>
      <c r="N1062" s="23"/>
      <c r="O1062" s="23"/>
    </row>
    <row r="1063" customFormat="false" ht="15" hidden="false" customHeight="true" outlineLevel="0" collapsed="false">
      <c r="C1063" s="27" t="s">
        <v>748</v>
      </c>
      <c r="D1063" s="28" t="n">
        <v>3</v>
      </c>
      <c r="H1063" s="29" t="n">
        <f aca="false">IF(COUNT(D1063:G1063)=0,0,D1063*IF(E1063="",1,E1063)*IF(F1063="",1,F1063)*IF(G1063="",1,G1063))</f>
        <v>3</v>
      </c>
      <c r="M1063" s="23"/>
      <c r="N1063" s="23"/>
      <c r="O1063" s="23"/>
    </row>
    <row r="1064" customFormat="false" ht="15" hidden="false" customHeight="true" outlineLevel="0" collapsed="false">
      <c r="H1064" s="30"/>
      <c r="I1064" s="31" t="n">
        <f aca="false">ROUND(SUM(H1063:H1063),2)</f>
        <v>3</v>
      </c>
      <c r="J1064" s="32" t="n">
        <v>16.15</v>
      </c>
      <c r="K1064" s="31" t="n">
        <f aca="false">ROUND(I1064*J1064,2)</f>
        <v>48.45</v>
      </c>
      <c r="L1064" s="33" t="s">
        <v>212</v>
      </c>
      <c r="M1064" s="23" t="s">
        <v>123</v>
      </c>
      <c r="N1064" s="23" t="s">
        <v>54</v>
      </c>
      <c r="O1064" s="23" t="s">
        <v>968</v>
      </c>
    </row>
    <row r="1065" customFormat="false" ht="15" hidden="false" customHeight="true" outlineLevel="0" collapsed="false">
      <c r="A1065" s="3" t="s">
        <v>988</v>
      </c>
      <c r="B1065" s="3" t="s">
        <v>652</v>
      </c>
      <c r="C1065" s="3" t="s">
        <v>989</v>
      </c>
      <c r="M1065" s="23"/>
      <c r="N1065" s="23"/>
      <c r="O1065" s="23"/>
    </row>
    <row r="1066" customFormat="false" ht="120" hidden="false" customHeight="true" outlineLevel="0" collapsed="false">
      <c r="C1066" s="26" t="s">
        <v>990</v>
      </c>
      <c r="M1066" s="23"/>
      <c r="N1066" s="23"/>
      <c r="O1066" s="23"/>
    </row>
    <row r="1067" customFormat="false" ht="15" hidden="false" customHeight="true" outlineLevel="0" collapsed="false">
      <c r="C1067" s="27" t="s">
        <v>748</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614.8</v>
      </c>
      <c r="K1068" s="31" t="n">
        <f aca="false">ROUND(I1068*J1068,2)</f>
        <v>614.8</v>
      </c>
      <c r="L1068" s="33" t="s">
        <v>212</v>
      </c>
      <c r="M1068" s="23" t="s">
        <v>123</v>
      </c>
      <c r="N1068" s="23" t="s">
        <v>54</v>
      </c>
      <c r="O1068" s="23" t="s">
        <v>968</v>
      </c>
    </row>
    <row r="1069" customFormat="false" ht="15" hidden="false" customHeight="true" outlineLevel="0" collapsed="false">
      <c r="A1069" s="3" t="s">
        <v>991</v>
      </c>
      <c r="B1069" s="3" t="s">
        <v>659</v>
      </c>
      <c r="C1069" s="3" t="s">
        <v>992</v>
      </c>
      <c r="M1069" s="23"/>
      <c r="N1069" s="23"/>
      <c r="O1069" s="23"/>
    </row>
    <row r="1070" customFormat="false" ht="48" hidden="false" customHeight="true" outlineLevel="0" collapsed="false">
      <c r="C1070" s="26" t="s">
        <v>993</v>
      </c>
      <c r="M1070" s="23"/>
      <c r="N1070" s="23"/>
      <c r="O1070" s="23"/>
    </row>
    <row r="1071" customFormat="false" ht="15" hidden="false" customHeight="true" outlineLevel="0" collapsed="false">
      <c r="C1071" s="27" t="s">
        <v>748</v>
      </c>
      <c r="D1071" s="28" t="n">
        <v>35</v>
      </c>
      <c r="H1071" s="29" t="n">
        <f aca="false">IF(COUNT(D1071:G1071)=0,0,D1071*IF(E1071="",1,E1071)*IF(F1071="",1,F1071)*IF(G1071="",1,G1071))</f>
        <v>35</v>
      </c>
      <c r="M1071" s="23"/>
      <c r="N1071" s="23"/>
      <c r="O1071" s="23"/>
    </row>
    <row r="1072" customFormat="false" ht="15" hidden="false" customHeight="true" outlineLevel="0" collapsed="false">
      <c r="H1072" s="30"/>
      <c r="I1072" s="31" t="n">
        <f aca="false">ROUND(SUM(H1071:H1071),2)</f>
        <v>35</v>
      </c>
      <c r="J1072" s="32" t="n">
        <v>11.66</v>
      </c>
      <c r="K1072" s="31" t="n">
        <f aca="false">ROUND(I1072*J1072,2)</f>
        <v>408.1</v>
      </c>
      <c r="L1072" s="33" t="s">
        <v>212</v>
      </c>
      <c r="M1072" s="23" t="s">
        <v>123</v>
      </c>
      <c r="N1072" s="23" t="s">
        <v>54</v>
      </c>
      <c r="O1072" s="23" t="s">
        <v>968</v>
      </c>
    </row>
    <row r="1073" customFormat="false" ht="15" hidden="false" customHeight="true" outlineLevel="0" collapsed="false">
      <c r="A1073" s="3" t="s">
        <v>994</v>
      </c>
      <c r="B1073" s="3" t="s">
        <v>652</v>
      </c>
      <c r="C1073" s="3" t="s">
        <v>995</v>
      </c>
      <c r="M1073" s="23"/>
      <c r="N1073" s="23"/>
      <c r="O1073" s="23"/>
    </row>
    <row r="1074" customFormat="false" ht="84" hidden="false" customHeight="true" outlineLevel="0" collapsed="false">
      <c r="C1074" s="26" t="s">
        <v>996</v>
      </c>
      <c r="M1074" s="23"/>
      <c r="N1074" s="23"/>
      <c r="O1074" s="23"/>
    </row>
    <row r="1075" customFormat="false" ht="15" hidden="false" customHeight="true" outlineLevel="0" collapsed="false">
      <c r="C1075" s="27" t="s">
        <v>748</v>
      </c>
      <c r="D1075" s="28" t="n">
        <v>1</v>
      </c>
      <c r="H1075" s="29" t="n">
        <f aca="false">IF(COUNT(D1075:G1075)=0,0,D1075*IF(E1075="",1,E1075)*IF(F1075="",1,F1075)*IF(G1075="",1,G1075))</f>
        <v>1</v>
      </c>
      <c r="M1075" s="23"/>
      <c r="N1075" s="23"/>
      <c r="O1075" s="23"/>
    </row>
    <row r="1076" customFormat="false" ht="15" hidden="false" customHeight="true" outlineLevel="0" collapsed="false">
      <c r="H1076" s="30"/>
      <c r="I1076" s="31" t="n">
        <f aca="false">ROUND(SUM(H1075:H1075),2)</f>
        <v>1</v>
      </c>
      <c r="J1076" s="32" t="n">
        <v>148.4</v>
      </c>
      <c r="K1076" s="31" t="n">
        <f aca="false">ROUND(I1076*J1076,2)</f>
        <v>148.4</v>
      </c>
      <c r="L1076" s="33" t="s">
        <v>212</v>
      </c>
      <c r="M1076" s="23" t="s">
        <v>123</v>
      </c>
      <c r="N1076" s="23" t="s">
        <v>54</v>
      </c>
      <c r="O1076" s="23" t="s">
        <v>968</v>
      </c>
    </row>
    <row r="1077" customFormat="false" ht="15" hidden="false" customHeight="true" outlineLevel="0" collapsed="false">
      <c r="A1077" s="3" t="s">
        <v>997</v>
      </c>
      <c r="B1077" s="3" t="s">
        <v>652</v>
      </c>
      <c r="C1077" s="3" t="s">
        <v>998</v>
      </c>
      <c r="M1077" s="23"/>
      <c r="N1077" s="23"/>
      <c r="O1077" s="23"/>
    </row>
    <row r="1078" customFormat="false" ht="36" hidden="false" customHeight="true" outlineLevel="0" collapsed="false">
      <c r="C1078" s="26" t="s">
        <v>999</v>
      </c>
      <c r="M1078" s="23"/>
      <c r="N1078" s="23"/>
      <c r="O1078" s="23"/>
    </row>
    <row r="1079" customFormat="false" ht="15" hidden="false" customHeight="true" outlineLevel="0" collapsed="false">
      <c r="C1079" s="27" t="s">
        <v>1000</v>
      </c>
      <c r="D1079" s="28" t="n">
        <v>7</v>
      </c>
      <c r="H1079" s="29" t="n">
        <f aca="false">IF(COUNT(D1079:G1079)=0,0,D1079*IF(E1079="",1,E1079)*IF(F1079="",1,F1079)*IF(G1079="",1,G1079))</f>
        <v>7</v>
      </c>
      <c r="M1079" s="23"/>
      <c r="N1079" s="23"/>
      <c r="O1079" s="23"/>
    </row>
    <row r="1080" customFormat="false" ht="15" hidden="false" customHeight="true" outlineLevel="0" collapsed="false">
      <c r="H1080" s="30"/>
      <c r="I1080" s="31" t="n">
        <f aca="false">ROUND(SUM(H1079:H1079),2)</f>
        <v>7</v>
      </c>
      <c r="J1080" s="32" t="n">
        <v>13.78</v>
      </c>
      <c r="K1080" s="31" t="n">
        <f aca="false">ROUND(I1080*J1080,2)</f>
        <v>96.46</v>
      </c>
      <c r="L1080" s="33" t="s">
        <v>212</v>
      </c>
      <c r="M1080" s="23" t="s">
        <v>123</v>
      </c>
      <c r="N1080" s="23" t="s">
        <v>54</v>
      </c>
      <c r="O1080" s="23" t="s">
        <v>968</v>
      </c>
    </row>
    <row r="1081" customFormat="false" ht="15" hidden="false" customHeight="true" outlineLevel="0" collapsed="false">
      <c r="C1081" s="34" t="s">
        <v>1001</v>
      </c>
      <c r="K1081" s="14" t="n">
        <f aca="false">SUMIFS($K$5:$K$1080,$M$5:$M$1080,"P",$N$5:$N$1080,"16")</f>
        <v>45949.51</v>
      </c>
      <c r="M1081" s="23"/>
      <c r="N1081" s="23"/>
      <c r="O1081" s="23"/>
    </row>
    <row r="1082" customFormat="false" ht="15" hidden="false" customHeight="true" outlineLevel="0" collapsed="false">
      <c r="M1082" s="23"/>
      <c r="N1082" s="23"/>
      <c r="O1082" s="23"/>
    </row>
    <row r="1083" customFormat="false" ht="15" hidden="false" customHeight="true" outlineLevel="0" collapsed="false">
      <c r="A1083" s="24" t="s">
        <v>68</v>
      </c>
      <c r="B1083" s="25"/>
      <c r="C1083" s="24" t="s">
        <v>69</v>
      </c>
      <c r="D1083" s="25"/>
      <c r="E1083" s="25"/>
      <c r="F1083" s="25"/>
      <c r="G1083" s="25"/>
      <c r="H1083" s="25"/>
      <c r="I1083" s="25"/>
      <c r="J1083" s="25"/>
      <c r="K1083" s="25"/>
      <c r="L1083" s="25"/>
      <c r="M1083" s="23" t="s">
        <v>115</v>
      </c>
      <c r="N1083" s="23" t="s">
        <v>68</v>
      </c>
      <c r="O1083" s="23"/>
    </row>
    <row r="1084" customFormat="false" ht="15" hidden="false" customHeight="true" outlineLevel="0" collapsed="false">
      <c r="A1084" s="3" t="s">
        <v>1002</v>
      </c>
      <c r="C1084" s="3" t="s">
        <v>1003</v>
      </c>
      <c r="M1084" s="23" t="s">
        <v>291</v>
      </c>
      <c r="N1084" s="23" t="s">
        <v>68</v>
      </c>
      <c r="O1084" s="23" t="s">
        <v>1002</v>
      </c>
    </row>
    <row r="1085" customFormat="false" ht="15" hidden="false" customHeight="true" outlineLevel="0" collapsed="false">
      <c r="A1085" s="3" t="s">
        <v>1004</v>
      </c>
      <c r="B1085" s="3" t="s">
        <v>652</v>
      </c>
      <c r="C1085" s="3" t="s">
        <v>1005</v>
      </c>
      <c r="M1085" s="23"/>
      <c r="N1085" s="23"/>
      <c r="O1085" s="23"/>
    </row>
    <row r="1086" customFormat="false" ht="96" hidden="false" customHeight="true" outlineLevel="0" collapsed="false">
      <c r="C1086" s="26" t="s">
        <v>1006</v>
      </c>
      <c r="M1086" s="23"/>
      <c r="N1086" s="23"/>
      <c r="O1086" s="23"/>
    </row>
    <row r="1087" customFormat="false" ht="15" hidden="false" customHeight="true" outlineLevel="0" collapsed="false">
      <c r="C1087" s="27" t="s">
        <v>1007</v>
      </c>
      <c r="D1087" s="28" t="n">
        <v>1</v>
      </c>
      <c r="H1087" s="29" t="n">
        <f aca="false">IF(COUNT(D1087:G1087)=0,0,D1087*IF(E1087="",1,E1087)*IF(F1087="",1,F1087)*IF(G1087="",1,G1087))</f>
        <v>1</v>
      </c>
      <c r="M1087" s="23"/>
      <c r="N1087" s="23"/>
      <c r="O1087" s="23"/>
    </row>
    <row r="1088" customFormat="false" ht="15" hidden="false" customHeight="true" outlineLevel="0" collapsed="false">
      <c r="H1088" s="30"/>
      <c r="I1088" s="31" t="n">
        <f aca="false">ROUND(SUM(H1087:H1087),2)</f>
        <v>1</v>
      </c>
      <c r="J1088" s="32" t="n">
        <v>140</v>
      </c>
      <c r="K1088" s="31" t="n">
        <f aca="false">ROUND(I1088*J1088,2)</f>
        <v>140</v>
      </c>
      <c r="L1088" s="33" t="s">
        <v>122</v>
      </c>
      <c r="M1088" s="23" t="s">
        <v>123</v>
      </c>
      <c r="N1088" s="23" t="s">
        <v>68</v>
      </c>
      <c r="O1088" s="23" t="s">
        <v>1002</v>
      </c>
    </row>
    <row r="1089" customFormat="false" ht="15" hidden="false" customHeight="true" outlineLevel="0" collapsed="false">
      <c r="A1089" s="3" t="s">
        <v>1008</v>
      </c>
      <c r="B1089" s="3" t="s">
        <v>652</v>
      </c>
      <c r="C1089" s="3" t="s">
        <v>1009</v>
      </c>
      <c r="M1089" s="23"/>
      <c r="N1089" s="23"/>
      <c r="O1089" s="23"/>
    </row>
    <row r="1090" customFormat="false" ht="120" hidden="false" customHeight="true" outlineLevel="0" collapsed="false">
      <c r="C1090" s="26" t="s">
        <v>1010</v>
      </c>
      <c r="M1090" s="23"/>
      <c r="N1090" s="23"/>
      <c r="O1090" s="23"/>
    </row>
    <row r="1091" customFormat="false" ht="15" hidden="false" customHeight="true" outlineLevel="0" collapsed="false">
      <c r="C1091" s="27" t="s">
        <v>1007</v>
      </c>
      <c r="D1091" s="28" t="n">
        <v>4</v>
      </c>
      <c r="H1091" s="29" t="n">
        <f aca="false">IF(COUNT(D1091:G1091)=0,0,D1091*IF(E1091="",1,E1091)*IF(F1091="",1,F1091)*IF(G1091="",1,G1091))</f>
        <v>4</v>
      </c>
      <c r="M1091" s="23"/>
      <c r="N1091" s="23"/>
      <c r="O1091" s="23"/>
    </row>
    <row r="1092" customFormat="false" ht="15" hidden="false" customHeight="true" outlineLevel="0" collapsed="false">
      <c r="H1092" s="30"/>
      <c r="I1092" s="31" t="n">
        <f aca="false">ROUND(SUM(H1091:H1091),2)</f>
        <v>4</v>
      </c>
      <c r="J1092" s="32" t="n">
        <v>90</v>
      </c>
      <c r="K1092" s="31" t="n">
        <f aca="false">ROUND(I1092*J1092,2)</f>
        <v>360</v>
      </c>
      <c r="L1092" s="33" t="s">
        <v>122</v>
      </c>
      <c r="M1092" s="23" t="s">
        <v>123</v>
      </c>
      <c r="N1092" s="23" t="s">
        <v>68</v>
      </c>
      <c r="O1092" s="23" t="s">
        <v>1002</v>
      </c>
    </row>
    <row r="1093" customFormat="false" ht="15" hidden="false" customHeight="true" outlineLevel="0" collapsed="false">
      <c r="A1093" s="3" t="s">
        <v>1011</v>
      </c>
      <c r="C1093" s="3" t="s">
        <v>1012</v>
      </c>
      <c r="M1093" s="23" t="s">
        <v>291</v>
      </c>
      <c r="N1093" s="23" t="s">
        <v>68</v>
      </c>
      <c r="O1093" s="23" t="s">
        <v>1011</v>
      </c>
    </row>
    <row r="1094" customFormat="false" ht="15" hidden="false" customHeight="true" outlineLevel="0" collapsed="false">
      <c r="A1094" s="3" t="s">
        <v>1013</v>
      </c>
      <c r="B1094" s="3" t="s">
        <v>652</v>
      </c>
      <c r="C1094" s="3" t="s">
        <v>1012</v>
      </c>
      <c r="M1094" s="23"/>
      <c r="N1094" s="23"/>
      <c r="O1094" s="23"/>
    </row>
    <row r="1095" customFormat="false" ht="204" hidden="false" customHeight="true" outlineLevel="0" collapsed="false">
      <c r="C1095" s="26" t="s">
        <v>1014</v>
      </c>
      <c r="M1095" s="23"/>
      <c r="N1095" s="23"/>
      <c r="O1095" s="23"/>
    </row>
    <row r="1096" customFormat="false" ht="15" hidden="false" customHeight="true" outlineLevel="0" collapsed="false">
      <c r="C1096" s="27" t="s">
        <v>1007</v>
      </c>
      <c r="D1096" s="28" t="n">
        <v>1</v>
      </c>
      <c r="H1096" s="29" t="n">
        <f aca="false">IF(COUNT(D1096:G1096)=0,0,D1096*IF(E1096="",1,E1096)*IF(F1096="",1,F1096)*IF(G1096="",1,G1096))</f>
        <v>1</v>
      </c>
      <c r="M1096" s="23"/>
      <c r="N1096" s="23"/>
      <c r="O1096" s="23"/>
    </row>
    <row r="1097" customFormat="false" ht="15" hidden="false" customHeight="true" outlineLevel="0" collapsed="false">
      <c r="H1097" s="30"/>
      <c r="I1097" s="31" t="n">
        <f aca="false">ROUND(SUM(H1096:H1096),2)</f>
        <v>1</v>
      </c>
      <c r="J1097" s="32" t="n">
        <v>1024.5</v>
      </c>
      <c r="K1097" s="31" t="n">
        <f aca="false">ROUND(I1097*J1097,2)</f>
        <v>1024.5</v>
      </c>
      <c r="L1097" s="33" t="s">
        <v>122</v>
      </c>
      <c r="M1097" s="23" t="s">
        <v>123</v>
      </c>
      <c r="N1097" s="23" t="s">
        <v>68</v>
      </c>
      <c r="O1097" s="23" t="s">
        <v>1011</v>
      </c>
    </row>
    <row r="1098" customFormat="false" ht="15" hidden="false" customHeight="true" outlineLevel="0" collapsed="false">
      <c r="C1098" s="34" t="s">
        <v>1015</v>
      </c>
      <c r="K1098" s="14" t="n">
        <f aca="false">SUMIFS($K$5:$K$1097,$M$5:$M$1097,"P",$N$5:$N$1097,"18")</f>
        <v>1524.5</v>
      </c>
      <c r="M1098" s="23"/>
      <c r="N1098" s="23"/>
      <c r="O1098" s="23"/>
    </row>
    <row r="1099" customFormat="false" ht="15" hidden="false" customHeight="true" outlineLevel="0" collapsed="false">
      <c r="M1099" s="23"/>
      <c r="N1099" s="23"/>
      <c r="O1099" s="23"/>
    </row>
    <row r="1100" customFormat="false" ht="15" hidden="false" customHeight="true" outlineLevel="0" collapsed="false">
      <c r="A1100" s="24" t="s">
        <v>74</v>
      </c>
      <c r="B1100" s="25"/>
      <c r="C1100" s="24" t="s">
        <v>14</v>
      </c>
      <c r="D1100" s="25"/>
      <c r="E1100" s="25"/>
      <c r="F1100" s="25"/>
      <c r="G1100" s="25"/>
      <c r="H1100" s="25"/>
      <c r="I1100" s="25"/>
      <c r="J1100" s="25"/>
      <c r="K1100" s="25"/>
      <c r="L1100" s="25"/>
      <c r="M1100" s="23" t="s">
        <v>115</v>
      </c>
      <c r="N1100" s="23" t="s">
        <v>74</v>
      </c>
      <c r="O1100" s="23"/>
    </row>
    <row r="1101" customFormat="false" ht="15" hidden="false" customHeight="true" outlineLevel="0" collapsed="false">
      <c r="A1101" s="3" t="s">
        <v>1016</v>
      </c>
      <c r="B1101" s="3" t="s">
        <v>103</v>
      </c>
      <c r="C1101" s="3" t="s">
        <v>1017</v>
      </c>
      <c r="M1101" s="23"/>
      <c r="N1101" s="23"/>
      <c r="O1101" s="23"/>
    </row>
    <row r="1102" customFormat="false" ht="132" hidden="false" customHeight="true" outlineLevel="0" collapsed="false">
      <c r="C1102" s="26" t="s">
        <v>1018</v>
      </c>
      <c r="M1102" s="23"/>
      <c r="N1102" s="23"/>
      <c r="O1102" s="23"/>
    </row>
    <row r="1103" customFormat="false" ht="15" hidden="false" customHeight="true" outlineLevel="0" collapsed="false">
      <c r="C1103" s="27" t="s">
        <v>1007</v>
      </c>
      <c r="D1103" s="28" t="n">
        <v>4</v>
      </c>
      <c r="H1103" s="29" t="n">
        <f aca="false">IF(COUNT(D1103:G1103)=0,0,D1103*IF(E1103="",1,E1103)*IF(F1103="",1,F1103)*IF(G1103="",1,G1103))</f>
        <v>4</v>
      </c>
      <c r="M1103" s="23"/>
      <c r="N1103" s="23"/>
      <c r="O1103" s="23"/>
    </row>
    <row r="1104" customFormat="false" ht="15" hidden="false" customHeight="true" outlineLevel="0" collapsed="false">
      <c r="H1104" s="30"/>
      <c r="I1104" s="31" t="n">
        <f aca="false">ROUND(SUM(H1103:H1103),2)</f>
        <v>4</v>
      </c>
      <c r="J1104" s="32" t="n">
        <v>152.78</v>
      </c>
      <c r="K1104" s="31" t="n">
        <f aca="false">ROUND(I1104*J1104,2)</f>
        <v>611.12</v>
      </c>
      <c r="L1104" s="33" t="s">
        <v>122</v>
      </c>
      <c r="M1104" s="23" t="s">
        <v>123</v>
      </c>
      <c r="N1104" s="23" t="s">
        <v>74</v>
      </c>
      <c r="O1104" s="23"/>
    </row>
    <row r="1105" customFormat="false" ht="15" hidden="false" customHeight="true" outlineLevel="0" collapsed="false">
      <c r="A1105" s="3" t="s">
        <v>1019</v>
      </c>
      <c r="B1105" s="3" t="s">
        <v>103</v>
      </c>
      <c r="C1105" s="3" t="s">
        <v>1020</v>
      </c>
      <c r="M1105" s="23"/>
      <c r="N1105" s="23"/>
      <c r="O1105" s="23"/>
    </row>
    <row r="1106" customFormat="false" ht="132" hidden="false" customHeight="true" outlineLevel="0" collapsed="false">
      <c r="C1106" s="26" t="s">
        <v>1021</v>
      </c>
      <c r="M1106" s="23"/>
      <c r="N1106" s="23"/>
      <c r="O1106" s="23"/>
    </row>
    <row r="1107" customFormat="false" ht="15" hidden="false" customHeight="true" outlineLevel="0" collapsed="false">
      <c r="C1107" s="27" t="s">
        <v>1007</v>
      </c>
      <c r="D1107" s="28" t="n">
        <v>8</v>
      </c>
      <c r="H1107" s="29" t="n">
        <f aca="false">IF(COUNT(D1107:G1107)=0,0,D1107*IF(E1107="",1,E1107)*IF(F1107="",1,F1107)*IF(G1107="",1,G1107))</f>
        <v>8</v>
      </c>
      <c r="M1107" s="23"/>
      <c r="N1107" s="23"/>
      <c r="O1107" s="23"/>
    </row>
    <row r="1108" customFormat="false" ht="15" hidden="false" customHeight="true" outlineLevel="0" collapsed="false">
      <c r="H1108" s="30"/>
      <c r="I1108" s="31" t="n">
        <f aca="false">ROUND(SUM(H1107:H1107),2)</f>
        <v>8</v>
      </c>
      <c r="J1108" s="32" t="n">
        <v>152.78</v>
      </c>
      <c r="K1108" s="31" t="n">
        <f aca="false">ROUND(I1108*J1108,2)</f>
        <v>1222.24</v>
      </c>
      <c r="L1108" s="33" t="s">
        <v>122</v>
      </c>
      <c r="M1108" s="23" t="s">
        <v>123</v>
      </c>
      <c r="N1108" s="23" t="s">
        <v>74</v>
      </c>
      <c r="O1108" s="23"/>
    </row>
    <row r="1109" customFormat="false" ht="15" hidden="false" customHeight="true" outlineLevel="0" collapsed="false">
      <c r="A1109" s="3" t="s">
        <v>1022</v>
      </c>
      <c r="B1109" s="3" t="s">
        <v>103</v>
      </c>
      <c r="C1109" s="3" t="s">
        <v>1023</v>
      </c>
      <c r="M1109" s="23"/>
      <c r="N1109" s="23"/>
      <c r="O1109" s="23"/>
    </row>
    <row r="1110" customFormat="false" ht="120" hidden="false" customHeight="true" outlineLevel="0" collapsed="false">
      <c r="C1110" s="26" t="s">
        <v>1024</v>
      </c>
      <c r="M1110" s="23"/>
      <c r="N1110" s="23"/>
      <c r="O1110" s="23"/>
    </row>
    <row r="1111" customFormat="false" ht="15" hidden="false" customHeight="true" outlineLevel="0" collapsed="false">
      <c r="C1111" s="27" t="s">
        <v>1007</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1025</v>
      </c>
      <c r="B1113" s="3" t="s">
        <v>103</v>
      </c>
      <c r="C1113" s="3" t="s">
        <v>1026</v>
      </c>
      <c r="M1113" s="23"/>
      <c r="N1113" s="23"/>
      <c r="O1113" s="23"/>
    </row>
    <row r="1114" customFormat="false" ht="120" hidden="false" customHeight="true" outlineLevel="0" collapsed="false">
      <c r="C1114" s="26" t="s">
        <v>1027</v>
      </c>
      <c r="M1114" s="23"/>
      <c r="N1114" s="23"/>
      <c r="O1114" s="23"/>
    </row>
    <row r="1115" customFormat="false" ht="15" hidden="false" customHeight="true" outlineLevel="0" collapsed="false">
      <c r="C1115" s="27" t="s">
        <v>1007</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1028</v>
      </c>
      <c r="B1117" s="3" t="s">
        <v>103</v>
      </c>
      <c r="C1117" s="3" t="s">
        <v>1029</v>
      </c>
      <c r="M1117" s="23"/>
      <c r="N1117" s="23"/>
      <c r="O1117" s="23"/>
    </row>
    <row r="1118" customFormat="false" ht="120" hidden="false" customHeight="true" outlineLevel="0" collapsed="false">
      <c r="C1118" s="26" t="s">
        <v>1030</v>
      </c>
      <c r="M1118" s="23"/>
      <c r="N1118" s="23"/>
      <c r="O1118" s="23"/>
    </row>
    <row r="1119" customFormat="false" ht="15" hidden="false" customHeight="true" outlineLevel="0" collapsed="false">
      <c r="C1119" s="27" t="s">
        <v>1007</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1031</v>
      </c>
      <c r="B1121" s="3" t="s">
        <v>103</v>
      </c>
      <c r="C1121" s="3" t="s">
        <v>1032</v>
      </c>
      <c r="M1121" s="23"/>
      <c r="N1121" s="23"/>
      <c r="O1121" s="23"/>
    </row>
    <row r="1122" customFormat="false" ht="120" hidden="false" customHeight="true" outlineLevel="0" collapsed="false">
      <c r="C1122" s="26" t="s">
        <v>1033</v>
      </c>
      <c r="M1122" s="23"/>
      <c r="N1122" s="23"/>
      <c r="O1122" s="23"/>
    </row>
    <row r="1123" customFormat="false" ht="15" hidden="false" customHeight="true" outlineLevel="0" collapsed="false">
      <c r="C1123" s="27" t="s">
        <v>1007</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A1125" s="3" t="s">
        <v>1034</v>
      </c>
      <c r="B1125" s="3" t="s">
        <v>103</v>
      </c>
      <c r="C1125" s="3" t="s">
        <v>1035</v>
      </c>
      <c r="M1125" s="23"/>
      <c r="N1125" s="23"/>
      <c r="O1125" s="23"/>
    </row>
    <row r="1126" customFormat="false" ht="120" hidden="false" customHeight="true" outlineLevel="0" collapsed="false">
      <c r="C1126" s="26" t="s">
        <v>1036</v>
      </c>
      <c r="M1126" s="23"/>
      <c r="N1126" s="23"/>
      <c r="O1126" s="23"/>
    </row>
    <row r="1127" customFormat="false" ht="15" hidden="false" customHeight="true" outlineLevel="0" collapsed="false">
      <c r="C1127" s="27" t="s">
        <v>1007</v>
      </c>
      <c r="D1127" s="28" t="n">
        <v>1</v>
      </c>
      <c r="H1127" s="29" t="n">
        <f aca="false">IF(COUNT(D1127:G1127)=0,0,D1127*IF(E1127="",1,E1127)*IF(F1127="",1,F1127)*IF(G1127="",1,G1127))</f>
        <v>1</v>
      </c>
      <c r="M1127" s="23"/>
      <c r="N1127" s="23"/>
      <c r="O1127" s="23"/>
    </row>
    <row r="1128" customFormat="false" ht="15" hidden="false" customHeight="true" outlineLevel="0" collapsed="false">
      <c r="H1128" s="30"/>
      <c r="I1128" s="31" t="n">
        <f aca="false">ROUND(SUM(H1127:H1127),2)</f>
        <v>1</v>
      </c>
      <c r="J1128" s="32" t="n">
        <v>152.78</v>
      </c>
      <c r="K1128" s="31" t="n">
        <f aca="false">ROUND(I1128*J1128,2)</f>
        <v>152.78</v>
      </c>
      <c r="L1128" s="33" t="s">
        <v>122</v>
      </c>
      <c r="M1128" s="23" t="s">
        <v>123</v>
      </c>
      <c r="N1128" s="23" t="s">
        <v>74</v>
      </c>
      <c r="O1128" s="23"/>
    </row>
    <row r="1129" customFormat="false" ht="15" hidden="false" customHeight="true" outlineLevel="0" collapsed="false">
      <c r="A1129" s="3" t="s">
        <v>1037</v>
      </c>
      <c r="B1129" s="3" t="s">
        <v>103</v>
      </c>
      <c r="C1129" s="3" t="s">
        <v>1038</v>
      </c>
      <c r="M1129" s="23"/>
      <c r="N1129" s="23"/>
      <c r="O1129" s="23"/>
    </row>
    <row r="1130" customFormat="false" ht="108" hidden="false" customHeight="true" outlineLevel="0" collapsed="false">
      <c r="C1130" s="26" t="s">
        <v>1039</v>
      </c>
      <c r="M1130" s="23"/>
      <c r="N1130" s="23"/>
      <c r="O1130" s="23"/>
    </row>
    <row r="1131" customFormat="false" ht="15" hidden="false" customHeight="true" outlineLevel="0" collapsed="false">
      <c r="C1131" s="27" t="s">
        <v>1007</v>
      </c>
      <c r="D1131" s="28" t="n">
        <v>1</v>
      </c>
      <c r="H1131" s="29" t="n">
        <f aca="false">IF(COUNT(D1131:G1131)=0,0,D1131*IF(E1131="",1,E1131)*IF(F1131="",1,F1131)*IF(G1131="",1,G1131))</f>
        <v>1</v>
      </c>
      <c r="M1131" s="23"/>
      <c r="N1131" s="23"/>
      <c r="O1131" s="23"/>
    </row>
    <row r="1132" customFormat="false" ht="15" hidden="false" customHeight="true" outlineLevel="0" collapsed="false">
      <c r="H1132" s="30"/>
      <c r="I1132" s="31" t="n">
        <f aca="false">ROUND(SUM(H1131:H1131),2)</f>
        <v>1</v>
      </c>
      <c r="J1132" s="32" t="n">
        <v>152.78</v>
      </c>
      <c r="K1132" s="31" t="n">
        <f aca="false">ROUND(I1132*J1132,2)</f>
        <v>152.78</v>
      </c>
      <c r="L1132" s="33" t="s">
        <v>122</v>
      </c>
      <c r="M1132" s="23" t="s">
        <v>123</v>
      </c>
      <c r="N1132" s="23" t="s">
        <v>74</v>
      </c>
      <c r="O1132" s="23"/>
    </row>
    <row r="1133" customFormat="false" ht="15" hidden="false" customHeight="true" outlineLevel="0" collapsed="false">
      <c r="C1133" s="34" t="s">
        <v>1040</v>
      </c>
      <c r="K1133" s="14" t="n">
        <f aca="false">SUMIFS($K$5:$K$1132,$M$5:$M$1132,"P",$N$5:$N$1132,"19")</f>
        <v>2750.04</v>
      </c>
      <c r="M1133" s="23"/>
      <c r="N1133" s="23"/>
      <c r="O1133" s="23"/>
    </row>
    <row r="1134" customFormat="false" ht="15" hidden="false" customHeight="true" outlineLevel="0" collapsed="false">
      <c r="M1134" s="23"/>
      <c r="N1134" s="23"/>
      <c r="O1134" s="23"/>
    </row>
    <row r="1135" customFormat="false" ht="15" hidden="false" customHeight="true" outlineLevel="0" collapsed="false">
      <c r="A1135" s="24" t="s">
        <v>75</v>
      </c>
      <c r="B1135" s="25"/>
      <c r="C1135" s="24" t="s">
        <v>16</v>
      </c>
      <c r="D1135" s="25"/>
      <c r="E1135" s="25"/>
      <c r="F1135" s="25"/>
      <c r="G1135" s="25"/>
      <c r="H1135" s="25"/>
      <c r="I1135" s="25"/>
      <c r="J1135" s="25"/>
      <c r="K1135" s="25"/>
      <c r="L1135" s="25"/>
      <c r="M1135" s="23" t="s">
        <v>115</v>
      </c>
      <c r="N1135" s="23" t="s">
        <v>75</v>
      </c>
      <c r="O1135" s="23"/>
    </row>
    <row r="1136" customFormat="false" ht="15" hidden="false" customHeight="true" outlineLevel="0" collapsed="false">
      <c r="A1136" s="3" t="s">
        <v>1041</v>
      </c>
      <c r="C1136" s="3" t="s">
        <v>1042</v>
      </c>
      <c r="M1136" s="23" t="s">
        <v>291</v>
      </c>
      <c r="N1136" s="23" t="s">
        <v>75</v>
      </c>
      <c r="O1136" s="23" t="s">
        <v>1041</v>
      </c>
    </row>
    <row r="1137" customFormat="false" ht="15" hidden="false" customHeight="true" outlineLevel="0" collapsed="false">
      <c r="A1137" s="3" t="s">
        <v>1043</v>
      </c>
      <c r="B1137" s="3" t="s">
        <v>1044</v>
      </c>
      <c r="C1137" s="3" t="s">
        <v>1045</v>
      </c>
      <c r="M1137" s="23"/>
      <c r="N1137" s="23"/>
      <c r="O1137" s="23"/>
    </row>
    <row r="1138" customFormat="false" ht="48" hidden="false" customHeight="true" outlineLevel="0" collapsed="false">
      <c r="C1138" s="26" t="s">
        <v>1046</v>
      </c>
      <c r="M1138" s="23"/>
      <c r="N1138" s="23"/>
      <c r="O1138" s="23"/>
    </row>
    <row r="1139" customFormat="false" ht="15" hidden="false" customHeight="true" outlineLevel="0" collapsed="false">
      <c r="C1139" s="27" t="s">
        <v>1007</v>
      </c>
      <c r="D1139" s="28" t="n">
        <v>156</v>
      </c>
      <c r="H1139" s="29" t="n">
        <f aca="false">IF(COUNT(D1139:G1139)=0,0,D1139*IF(E1139="",1,E1139)*IF(F1139="",1,F1139)*IF(G1139="",1,G1139))</f>
        <v>156</v>
      </c>
      <c r="M1139" s="23"/>
      <c r="N1139" s="23"/>
      <c r="O1139" s="23"/>
    </row>
    <row r="1140" customFormat="false" ht="15" hidden="false" customHeight="true" outlineLevel="0" collapsed="false">
      <c r="H1140" s="30"/>
      <c r="I1140" s="31" t="n">
        <f aca="false">ROUND(SUM(H1139:H1139),2)</f>
        <v>156</v>
      </c>
      <c r="J1140" s="32" t="n">
        <v>15.41</v>
      </c>
      <c r="K1140" s="31" t="n">
        <f aca="false">ROUND(I1140*J1140,2)</f>
        <v>2403.96</v>
      </c>
      <c r="L1140" s="33" t="s">
        <v>122</v>
      </c>
      <c r="M1140" s="23" t="s">
        <v>123</v>
      </c>
      <c r="N1140" s="23" t="s">
        <v>75</v>
      </c>
      <c r="O1140" s="23" t="s">
        <v>1041</v>
      </c>
    </row>
    <row r="1141" customFormat="false" ht="15" hidden="false" customHeight="true" outlineLevel="0" collapsed="false">
      <c r="A1141" s="3" t="s">
        <v>1047</v>
      </c>
      <c r="B1141" s="3" t="s">
        <v>659</v>
      </c>
      <c r="C1141" s="3" t="s">
        <v>1048</v>
      </c>
      <c r="M1141" s="23"/>
      <c r="N1141" s="23"/>
      <c r="O1141" s="23"/>
    </row>
    <row r="1142" customFormat="false" ht="84" hidden="false" customHeight="true" outlineLevel="0" collapsed="false">
      <c r="C1142" s="26" t="s">
        <v>1049</v>
      </c>
      <c r="M1142" s="23"/>
      <c r="N1142" s="23"/>
      <c r="O1142" s="23"/>
    </row>
    <row r="1143" customFormat="false" ht="15" hidden="false" customHeight="true" outlineLevel="0" collapsed="false">
      <c r="C1143" s="27" t="s">
        <v>1007</v>
      </c>
      <c r="D1143" s="28" t="n">
        <v>25</v>
      </c>
      <c r="H1143" s="29" t="n">
        <f aca="false">IF(COUNT(D1143:G1143)=0,0,D1143*IF(E1143="",1,E1143)*IF(F1143="",1,F1143)*IF(G1143="",1,G1143))</f>
        <v>25</v>
      </c>
      <c r="M1143" s="23"/>
      <c r="N1143" s="23"/>
      <c r="O1143" s="23"/>
    </row>
    <row r="1144" customFormat="false" ht="15" hidden="false" customHeight="true" outlineLevel="0" collapsed="false">
      <c r="H1144" s="30"/>
      <c r="I1144" s="31" t="n">
        <f aca="false">ROUND(SUM(H1143:H1143),2)</f>
        <v>25</v>
      </c>
      <c r="J1144" s="32" t="n">
        <v>11.84</v>
      </c>
      <c r="K1144" s="31" t="n">
        <f aca="false">ROUND(I1144*J1144,2)</f>
        <v>296</v>
      </c>
      <c r="L1144" s="33" t="s">
        <v>122</v>
      </c>
      <c r="M1144" s="23" t="s">
        <v>123</v>
      </c>
      <c r="N1144" s="23" t="s">
        <v>75</v>
      </c>
      <c r="O1144" s="23" t="s">
        <v>1041</v>
      </c>
    </row>
    <row r="1145" customFormat="false" ht="15" hidden="false" customHeight="true" outlineLevel="0" collapsed="false">
      <c r="A1145" s="3" t="s">
        <v>1050</v>
      </c>
      <c r="B1145" s="3" t="s">
        <v>659</v>
      </c>
      <c r="C1145" s="3" t="s">
        <v>1051</v>
      </c>
      <c r="M1145" s="23"/>
      <c r="N1145" s="23"/>
      <c r="O1145" s="23"/>
    </row>
    <row r="1146" customFormat="false" ht="84" hidden="false" customHeight="true" outlineLevel="0" collapsed="false">
      <c r="C1146" s="26" t="s">
        <v>1052</v>
      </c>
      <c r="M1146" s="23"/>
      <c r="N1146" s="23"/>
      <c r="O1146" s="23"/>
    </row>
    <row r="1147" customFormat="false" ht="15" hidden="false" customHeight="true" outlineLevel="0" collapsed="false">
      <c r="C1147" s="27" t="s">
        <v>1007</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8.68</v>
      </c>
      <c r="K1148" s="31" t="n">
        <f aca="false">ROUND(I1148*J1148,2)</f>
        <v>86.8</v>
      </c>
      <c r="L1148" s="33" t="s">
        <v>122</v>
      </c>
      <c r="M1148" s="23" t="s">
        <v>123</v>
      </c>
      <c r="N1148" s="23" t="s">
        <v>75</v>
      </c>
      <c r="O1148" s="23" t="s">
        <v>1041</v>
      </c>
    </row>
    <row r="1149" customFormat="false" ht="15" hidden="false" customHeight="true" outlineLevel="0" collapsed="false">
      <c r="A1149" s="3" t="s">
        <v>1053</v>
      </c>
      <c r="B1149" s="3" t="s">
        <v>659</v>
      </c>
      <c r="C1149" s="3" t="s">
        <v>1054</v>
      </c>
      <c r="M1149" s="23"/>
      <c r="N1149" s="23"/>
      <c r="O1149" s="23"/>
    </row>
    <row r="1150" customFormat="false" ht="72" hidden="false" customHeight="true" outlineLevel="0" collapsed="false">
      <c r="C1150" s="26" t="s">
        <v>1055</v>
      </c>
      <c r="M1150" s="23"/>
      <c r="N1150" s="23"/>
      <c r="O1150" s="23"/>
    </row>
    <row r="1151" customFormat="false" ht="15" hidden="false" customHeight="true" outlineLevel="0" collapsed="false">
      <c r="C1151" s="27" t="s">
        <v>1007</v>
      </c>
      <c r="D1151" s="28" t="n">
        <v>10</v>
      </c>
      <c r="H1151" s="29" t="n">
        <f aca="false">IF(COUNT(D1151:G1151)=0,0,D1151*IF(E1151="",1,E1151)*IF(F1151="",1,F1151)*IF(G1151="",1,G1151))</f>
        <v>10</v>
      </c>
      <c r="M1151" s="23"/>
      <c r="N1151" s="23"/>
      <c r="O1151" s="23"/>
    </row>
    <row r="1152" customFormat="false" ht="15" hidden="false" customHeight="true" outlineLevel="0" collapsed="false">
      <c r="H1152" s="30"/>
      <c r="I1152" s="31" t="n">
        <f aca="false">ROUND(SUM(H1151:H1151),2)</f>
        <v>10</v>
      </c>
      <c r="J1152" s="32" t="n">
        <v>6.31</v>
      </c>
      <c r="K1152" s="31" t="n">
        <f aca="false">ROUND(I1152*J1152,2)</f>
        <v>63.1</v>
      </c>
      <c r="L1152" s="33" t="s">
        <v>122</v>
      </c>
      <c r="M1152" s="23" t="s">
        <v>123</v>
      </c>
      <c r="N1152" s="23" t="s">
        <v>75</v>
      </c>
      <c r="O1152" s="23" t="s">
        <v>1041</v>
      </c>
    </row>
    <row r="1153" customFormat="false" ht="15" hidden="false" customHeight="true" outlineLevel="0" collapsed="false">
      <c r="A1153" s="3" t="s">
        <v>1056</v>
      </c>
      <c r="B1153" s="3" t="s">
        <v>652</v>
      </c>
      <c r="C1153" s="3" t="s">
        <v>1057</v>
      </c>
      <c r="M1153" s="23"/>
      <c r="N1153" s="23"/>
      <c r="O1153" s="23"/>
    </row>
    <row r="1154" customFormat="false" ht="108" hidden="false" customHeight="true" outlineLevel="0" collapsed="false">
      <c r="C1154" s="26" t="s">
        <v>1058</v>
      </c>
      <c r="M1154" s="23"/>
      <c r="N1154" s="23"/>
      <c r="O1154" s="23"/>
    </row>
    <row r="1155" customFormat="false" ht="15" hidden="false" customHeight="true" outlineLevel="0" collapsed="false">
      <c r="C1155" s="27" t="s">
        <v>1007</v>
      </c>
      <c r="D1155" s="28" t="n">
        <v>10</v>
      </c>
      <c r="H1155" s="29" t="n">
        <f aca="false">IF(COUNT(D1155:G1155)=0,0,D1155*IF(E1155="",1,E1155)*IF(F1155="",1,F1155)*IF(G1155="",1,G1155))</f>
        <v>10</v>
      </c>
      <c r="M1155" s="23"/>
      <c r="N1155" s="23"/>
      <c r="O1155" s="23"/>
    </row>
    <row r="1156" customFormat="false" ht="15" hidden="false" customHeight="true" outlineLevel="0" collapsed="false">
      <c r="H1156" s="30"/>
      <c r="I1156" s="31" t="n">
        <f aca="false">ROUND(SUM(H1155:H1155),2)</f>
        <v>10</v>
      </c>
      <c r="J1156" s="32" t="n">
        <v>11.84</v>
      </c>
      <c r="K1156" s="31" t="n">
        <f aca="false">ROUND(I1156*J1156,2)</f>
        <v>118.4</v>
      </c>
      <c r="L1156" s="33" t="s">
        <v>122</v>
      </c>
      <c r="M1156" s="23" t="s">
        <v>123</v>
      </c>
      <c r="N1156" s="23" t="s">
        <v>75</v>
      </c>
      <c r="O1156" s="23" t="s">
        <v>1041</v>
      </c>
    </row>
    <row r="1157" customFormat="false" ht="15" hidden="false" customHeight="true" outlineLevel="0" collapsed="false">
      <c r="A1157" s="3" t="s">
        <v>1059</v>
      </c>
      <c r="B1157" s="3" t="s">
        <v>659</v>
      </c>
      <c r="C1157" s="3" t="s">
        <v>1060</v>
      </c>
      <c r="M1157" s="23"/>
      <c r="N1157" s="23"/>
      <c r="O1157" s="23"/>
    </row>
    <row r="1158" customFormat="false" ht="144" hidden="false" customHeight="true" outlineLevel="0" collapsed="false">
      <c r="C1158" s="26" t="s">
        <v>1061</v>
      </c>
      <c r="M1158" s="23"/>
      <c r="N1158" s="23"/>
      <c r="O1158" s="23"/>
    </row>
    <row r="1159" customFormat="false" ht="15" hidden="false" customHeight="true" outlineLevel="0" collapsed="false">
      <c r="C1159" s="27" t="s">
        <v>1007</v>
      </c>
      <c r="D1159" s="28" t="n">
        <v>5</v>
      </c>
      <c r="H1159" s="29" t="n">
        <f aca="false">IF(COUNT(D1159:G1159)=0,0,D1159*IF(E1159="",1,E1159)*IF(F1159="",1,F1159)*IF(G1159="",1,G1159))</f>
        <v>5</v>
      </c>
      <c r="M1159" s="23"/>
      <c r="N1159" s="23"/>
      <c r="O1159" s="23"/>
    </row>
    <row r="1160" customFormat="false" ht="15" hidden="false" customHeight="true" outlineLevel="0" collapsed="false">
      <c r="H1160" s="30"/>
      <c r="I1160" s="31" t="n">
        <f aca="false">ROUND(SUM(H1159:H1159),2)</f>
        <v>5</v>
      </c>
      <c r="J1160" s="32" t="n">
        <v>1.37</v>
      </c>
      <c r="K1160" s="31" t="n">
        <f aca="false">ROUND(I1160*J1160,2)</f>
        <v>6.85</v>
      </c>
      <c r="L1160" s="33" t="s">
        <v>122</v>
      </c>
      <c r="M1160" s="23" t="s">
        <v>123</v>
      </c>
      <c r="N1160" s="23" t="s">
        <v>75</v>
      </c>
      <c r="O1160" s="23" t="s">
        <v>1041</v>
      </c>
    </row>
    <row r="1161" customFormat="false" ht="15" hidden="false" customHeight="true" outlineLevel="0" collapsed="false">
      <c r="A1161" s="3" t="s">
        <v>1062</v>
      </c>
      <c r="B1161" s="3" t="s">
        <v>1044</v>
      </c>
      <c r="C1161" s="3" t="s">
        <v>1063</v>
      </c>
      <c r="M1161" s="23"/>
      <c r="N1161" s="23"/>
      <c r="O1161" s="23"/>
    </row>
    <row r="1162" customFormat="false" ht="84" hidden="false" customHeight="true" outlineLevel="0" collapsed="false">
      <c r="C1162" s="26" t="s">
        <v>1064</v>
      </c>
      <c r="M1162" s="23"/>
      <c r="N1162" s="23"/>
      <c r="O1162" s="23"/>
    </row>
    <row r="1163" customFormat="false" ht="15" hidden="false" customHeight="true" outlineLevel="0" collapsed="false">
      <c r="C1163" s="27" t="s">
        <v>1007</v>
      </c>
      <c r="D1163" s="28" t="n">
        <v>25</v>
      </c>
      <c r="H1163" s="29" t="n">
        <f aca="false">IF(COUNT(D1163:G1163)=0,0,D1163*IF(E1163="",1,E1163)*IF(F1163="",1,F1163)*IF(G1163="",1,G1163))</f>
        <v>25</v>
      </c>
      <c r="M1163" s="23"/>
      <c r="N1163" s="23"/>
      <c r="O1163" s="23"/>
    </row>
    <row r="1164" customFormat="false" ht="15" hidden="false" customHeight="true" outlineLevel="0" collapsed="false">
      <c r="H1164" s="30"/>
      <c r="I1164" s="31" t="n">
        <f aca="false">ROUND(SUM(H1163:H1163),2)</f>
        <v>25</v>
      </c>
      <c r="J1164" s="32" t="n">
        <v>2.54</v>
      </c>
      <c r="K1164" s="31" t="n">
        <f aca="false">ROUND(I1164*J1164,2)</f>
        <v>63.5</v>
      </c>
      <c r="L1164" s="33" t="s">
        <v>122</v>
      </c>
      <c r="M1164" s="23" t="s">
        <v>123</v>
      </c>
      <c r="N1164" s="23" t="s">
        <v>75</v>
      </c>
      <c r="O1164" s="23" t="s">
        <v>1041</v>
      </c>
    </row>
    <row r="1165" customFormat="false" ht="15" hidden="false" customHeight="true" outlineLevel="0" collapsed="false">
      <c r="A1165" s="3" t="s">
        <v>1065</v>
      </c>
      <c r="B1165" s="3" t="s">
        <v>652</v>
      </c>
      <c r="C1165" s="3" t="s">
        <v>1066</v>
      </c>
      <c r="M1165" s="23"/>
      <c r="N1165" s="23"/>
      <c r="O1165" s="23"/>
    </row>
    <row r="1166" customFormat="false" ht="48" hidden="false" customHeight="true" outlineLevel="0" collapsed="false">
      <c r="C1166" s="26" t="s">
        <v>1067</v>
      </c>
      <c r="M1166" s="23"/>
      <c r="N1166" s="23"/>
      <c r="O1166" s="23"/>
    </row>
    <row r="1167" customFormat="false" ht="15" hidden="false" customHeight="true" outlineLevel="0" collapsed="false">
      <c r="C1167" s="27" t="s">
        <v>1007</v>
      </c>
      <c r="D1167" s="28" t="n">
        <v>100</v>
      </c>
      <c r="H1167" s="29" t="n">
        <f aca="false">IF(COUNT(D1167:G1167)=0,0,D1167*IF(E1167="",1,E1167)*IF(F1167="",1,F1167)*IF(G1167="",1,G1167))</f>
        <v>100</v>
      </c>
      <c r="M1167" s="23"/>
      <c r="N1167" s="23"/>
      <c r="O1167" s="23"/>
    </row>
    <row r="1168" customFormat="false" ht="15" hidden="false" customHeight="true" outlineLevel="0" collapsed="false">
      <c r="H1168" s="30"/>
      <c r="I1168" s="31" t="n">
        <f aca="false">ROUND(SUM(H1167:H1167),2)</f>
        <v>100</v>
      </c>
      <c r="J1168" s="32" t="n">
        <v>0.03</v>
      </c>
      <c r="K1168" s="31" t="n">
        <f aca="false">ROUND(I1168*J1168,2)</f>
        <v>3</v>
      </c>
      <c r="L1168" s="33" t="s">
        <v>122</v>
      </c>
      <c r="M1168" s="23" t="s">
        <v>123</v>
      </c>
      <c r="N1168" s="23" t="s">
        <v>75</v>
      </c>
      <c r="O1168" s="23" t="s">
        <v>1041</v>
      </c>
    </row>
    <row r="1169" customFormat="false" ht="15" hidden="false" customHeight="true" outlineLevel="0" collapsed="false">
      <c r="A1169" s="3" t="s">
        <v>1068</v>
      </c>
      <c r="B1169" s="3" t="s">
        <v>652</v>
      </c>
      <c r="C1169" s="3" t="s">
        <v>1069</v>
      </c>
      <c r="M1169" s="23"/>
      <c r="N1169" s="23"/>
      <c r="O1169" s="23"/>
    </row>
    <row r="1170" customFormat="false" ht="84" hidden="false" customHeight="true" outlineLevel="0" collapsed="false">
      <c r="C1170" s="26" t="s">
        <v>1070</v>
      </c>
      <c r="M1170" s="23"/>
      <c r="N1170" s="23"/>
      <c r="O1170" s="23"/>
    </row>
    <row r="1171" customFormat="false" ht="15" hidden="false" customHeight="true" outlineLevel="0" collapsed="false">
      <c r="C1171" s="27" t="s">
        <v>1007</v>
      </c>
      <c r="D1171" s="28" t="n">
        <v>10</v>
      </c>
      <c r="H1171" s="29" t="n">
        <f aca="false">IF(COUNT(D1171:G1171)=0,0,D1171*IF(E1171="",1,E1171)*IF(F1171="",1,F1171)*IF(G1171="",1,G1171))</f>
        <v>10</v>
      </c>
      <c r="M1171" s="23"/>
      <c r="N1171" s="23"/>
      <c r="O1171" s="23"/>
    </row>
    <row r="1172" customFormat="false" ht="15" hidden="false" customHeight="true" outlineLevel="0" collapsed="false">
      <c r="H1172" s="30"/>
      <c r="I1172" s="31" t="n">
        <f aca="false">ROUND(SUM(H1171:H1171),2)</f>
        <v>10</v>
      </c>
      <c r="J1172" s="32" t="n">
        <v>3.75</v>
      </c>
      <c r="K1172" s="31" t="n">
        <f aca="false">ROUND(I1172*J1172,2)</f>
        <v>37.5</v>
      </c>
      <c r="L1172" s="33" t="s">
        <v>122</v>
      </c>
      <c r="M1172" s="23" t="s">
        <v>123</v>
      </c>
      <c r="N1172" s="23" t="s">
        <v>75</v>
      </c>
      <c r="O1172" s="23" t="s">
        <v>1041</v>
      </c>
    </row>
    <row r="1173" customFormat="false" ht="15" hidden="false" customHeight="true" outlineLevel="0" collapsed="false">
      <c r="A1173" s="3" t="s">
        <v>1071</v>
      </c>
      <c r="B1173" s="3" t="s">
        <v>652</v>
      </c>
      <c r="C1173" s="3" t="s">
        <v>1072</v>
      </c>
      <c r="M1173" s="23"/>
      <c r="N1173" s="23"/>
      <c r="O1173" s="23"/>
    </row>
    <row r="1174" customFormat="false" ht="48" hidden="false" customHeight="true" outlineLevel="0" collapsed="false">
      <c r="C1174" s="26" t="s">
        <v>1073</v>
      </c>
      <c r="M1174" s="23"/>
      <c r="N1174" s="23"/>
      <c r="O1174" s="23"/>
    </row>
    <row r="1175" customFormat="false" ht="15" hidden="false" customHeight="true" outlineLevel="0" collapsed="false">
      <c r="C1175" s="27" t="s">
        <v>1007</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3.36</v>
      </c>
      <c r="K1176" s="31" t="n">
        <f aca="false">ROUND(I1176*J1176,2)</f>
        <v>3.36</v>
      </c>
      <c r="L1176" s="33" t="s">
        <v>122</v>
      </c>
      <c r="M1176" s="23" t="s">
        <v>123</v>
      </c>
      <c r="N1176" s="23" t="s">
        <v>75</v>
      </c>
      <c r="O1176" s="23" t="s">
        <v>1041</v>
      </c>
    </row>
    <row r="1177" customFormat="false" ht="15" hidden="false" customHeight="true" outlineLevel="0" collapsed="false">
      <c r="A1177" s="3" t="s">
        <v>1074</v>
      </c>
      <c r="B1177" s="3" t="s">
        <v>652</v>
      </c>
      <c r="C1177" s="3" t="s">
        <v>1075</v>
      </c>
      <c r="M1177" s="23"/>
      <c r="N1177" s="23"/>
      <c r="O1177" s="23"/>
    </row>
    <row r="1178" customFormat="false" ht="72" hidden="false" customHeight="true" outlineLevel="0" collapsed="false">
      <c r="C1178" s="26" t="s">
        <v>1076</v>
      </c>
      <c r="M1178" s="23"/>
      <c r="N1178" s="23"/>
      <c r="O1178" s="23"/>
    </row>
    <row r="1179" customFormat="false" ht="15" hidden="false" customHeight="true" outlineLevel="0" collapsed="false">
      <c r="C1179" s="27" t="s">
        <v>1007</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125.15</v>
      </c>
      <c r="K1180" s="31" t="n">
        <f aca="false">ROUND(I1180*J1180,2)</f>
        <v>125.15</v>
      </c>
      <c r="L1180" s="33" t="s">
        <v>122</v>
      </c>
      <c r="M1180" s="23" t="s">
        <v>123</v>
      </c>
      <c r="N1180" s="23" t="s">
        <v>75</v>
      </c>
      <c r="O1180" s="23" t="s">
        <v>1041</v>
      </c>
    </row>
    <row r="1181" customFormat="false" ht="15" hidden="false" customHeight="true" outlineLevel="0" collapsed="false">
      <c r="A1181" s="3" t="s">
        <v>1077</v>
      </c>
      <c r="B1181" s="3" t="s">
        <v>652</v>
      </c>
      <c r="C1181" s="3" t="s">
        <v>1078</v>
      </c>
      <c r="M1181" s="23"/>
      <c r="N1181" s="23"/>
      <c r="O1181" s="23"/>
    </row>
    <row r="1182" customFormat="false" ht="120" hidden="false" customHeight="true" outlineLevel="0" collapsed="false">
      <c r="C1182" s="26" t="s">
        <v>1079</v>
      </c>
      <c r="M1182" s="23"/>
      <c r="N1182" s="23"/>
      <c r="O1182" s="23"/>
    </row>
    <row r="1183" customFormat="false" ht="15" hidden="false" customHeight="true" outlineLevel="0" collapsed="false">
      <c r="C1183" s="27" t="s">
        <v>1007</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67.62</v>
      </c>
      <c r="K1184" s="31" t="n">
        <f aca="false">ROUND(I1184*J1184,2)</f>
        <v>67.62</v>
      </c>
      <c r="L1184" s="33" t="s">
        <v>122</v>
      </c>
      <c r="M1184" s="23" t="s">
        <v>123</v>
      </c>
      <c r="N1184" s="23" t="s">
        <v>75</v>
      </c>
      <c r="O1184" s="23" t="s">
        <v>1041</v>
      </c>
    </row>
    <row r="1185" customFormat="false" ht="15" hidden="false" customHeight="true" outlineLevel="0" collapsed="false">
      <c r="A1185" s="3" t="s">
        <v>1080</v>
      </c>
      <c r="B1185" s="3" t="s">
        <v>652</v>
      </c>
      <c r="C1185" s="3" t="s">
        <v>1081</v>
      </c>
      <c r="M1185" s="23"/>
      <c r="N1185" s="23"/>
      <c r="O1185" s="23"/>
    </row>
    <row r="1186" customFormat="false" ht="72" hidden="false" customHeight="true" outlineLevel="0" collapsed="false">
      <c r="C1186" s="26" t="s">
        <v>1082</v>
      </c>
      <c r="M1186" s="23"/>
      <c r="N1186" s="23"/>
      <c r="O1186" s="23"/>
    </row>
    <row r="1187" customFormat="false" ht="15" hidden="false" customHeight="true" outlineLevel="0" collapsed="false">
      <c r="C1187" s="27" t="s">
        <v>1007</v>
      </c>
      <c r="D1187" s="28" t="n">
        <v>1</v>
      </c>
      <c r="H1187" s="29" t="n">
        <f aca="false">IF(COUNT(D1187:G1187)=0,0,D1187*IF(E1187="",1,E1187)*IF(F1187="",1,F1187)*IF(G1187="",1,G1187))</f>
        <v>1</v>
      </c>
      <c r="M1187" s="23"/>
      <c r="N1187" s="23"/>
      <c r="O1187" s="23"/>
    </row>
    <row r="1188" customFormat="false" ht="15" hidden="false" customHeight="true" outlineLevel="0" collapsed="false">
      <c r="H1188" s="30"/>
      <c r="I1188" s="31" t="n">
        <f aca="false">ROUND(SUM(H1187:H1187),2)</f>
        <v>1</v>
      </c>
      <c r="J1188" s="32" t="n">
        <v>6.9</v>
      </c>
      <c r="K1188" s="31" t="n">
        <f aca="false">ROUND(I1188*J1188,2)</f>
        <v>6.9</v>
      </c>
      <c r="L1188" s="33" t="s">
        <v>122</v>
      </c>
      <c r="M1188" s="23" t="s">
        <v>123</v>
      </c>
      <c r="N1188" s="23" t="s">
        <v>75</v>
      </c>
      <c r="O1188" s="23" t="s">
        <v>1041</v>
      </c>
    </row>
    <row r="1189" customFormat="false" ht="15" hidden="false" customHeight="true" outlineLevel="0" collapsed="false">
      <c r="A1189" s="3" t="s">
        <v>1083</v>
      </c>
      <c r="B1189" s="3" t="s">
        <v>652</v>
      </c>
      <c r="C1189" s="3" t="s">
        <v>1084</v>
      </c>
      <c r="M1189" s="23"/>
      <c r="N1189" s="23"/>
      <c r="O1189" s="23"/>
    </row>
    <row r="1190" customFormat="false" ht="60" hidden="false" customHeight="true" outlineLevel="0" collapsed="false">
      <c r="C1190" s="26" t="s">
        <v>1085</v>
      </c>
      <c r="M1190" s="23"/>
      <c r="N1190" s="23"/>
      <c r="O1190" s="23"/>
    </row>
    <row r="1191" customFormat="false" ht="15" hidden="false" customHeight="true" outlineLevel="0" collapsed="false">
      <c r="C1191" s="27" t="s">
        <v>1007</v>
      </c>
      <c r="D1191" s="28" t="n">
        <v>1</v>
      </c>
      <c r="H1191" s="29" t="n">
        <f aca="false">IF(COUNT(D1191:G1191)=0,0,D1191*IF(E1191="",1,E1191)*IF(F1191="",1,F1191)*IF(G1191="",1,G1191))</f>
        <v>1</v>
      </c>
      <c r="M1191" s="23"/>
      <c r="N1191" s="23"/>
      <c r="O1191" s="23"/>
    </row>
    <row r="1192" customFormat="false" ht="15" hidden="false" customHeight="true" outlineLevel="0" collapsed="false">
      <c r="H1192" s="30"/>
      <c r="I1192" s="31" t="n">
        <f aca="false">ROUND(SUM(H1191:H1191),2)</f>
        <v>1</v>
      </c>
      <c r="J1192" s="32" t="n">
        <v>12.57</v>
      </c>
      <c r="K1192" s="31" t="n">
        <f aca="false">ROUND(I1192*J1192,2)</f>
        <v>12.57</v>
      </c>
      <c r="L1192" s="33" t="s">
        <v>122</v>
      </c>
      <c r="M1192" s="23" t="s">
        <v>123</v>
      </c>
      <c r="N1192" s="23" t="s">
        <v>75</v>
      </c>
      <c r="O1192" s="23" t="s">
        <v>1041</v>
      </c>
    </row>
    <row r="1193" customFormat="false" ht="15" hidden="false" customHeight="true" outlineLevel="0" collapsed="false">
      <c r="A1193" s="3" t="s">
        <v>1086</v>
      </c>
      <c r="B1193" s="3" t="s">
        <v>659</v>
      </c>
      <c r="C1193" s="3" t="s">
        <v>1087</v>
      </c>
      <c r="M1193" s="23"/>
      <c r="N1193" s="23"/>
      <c r="O1193" s="23"/>
    </row>
    <row r="1194" customFormat="false" ht="72" hidden="false" customHeight="true" outlineLevel="0" collapsed="false">
      <c r="C1194" s="26" t="s">
        <v>1088</v>
      </c>
      <c r="M1194" s="23"/>
      <c r="N1194" s="23"/>
      <c r="O1194" s="23"/>
    </row>
    <row r="1195" customFormat="false" ht="15" hidden="false" customHeight="true" outlineLevel="0" collapsed="false">
      <c r="C1195" s="27" t="s">
        <v>1007</v>
      </c>
      <c r="D1195" s="28" t="n">
        <v>5</v>
      </c>
      <c r="H1195" s="29" t="n">
        <f aca="false">IF(COUNT(D1195:G1195)=0,0,D1195*IF(E1195="",1,E1195)*IF(F1195="",1,F1195)*IF(G1195="",1,G1195))</f>
        <v>5</v>
      </c>
      <c r="M1195" s="23"/>
      <c r="N1195" s="23"/>
      <c r="O1195" s="23"/>
    </row>
    <row r="1196" customFormat="false" ht="15" hidden="false" customHeight="true" outlineLevel="0" collapsed="false">
      <c r="H1196" s="30"/>
      <c r="I1196" s="31" t="n">
        <f aca="false">ROUND(SUM(H1195:H1195),2)</f>
        <v>5</v>
      </c>
      <c r="J1196" s="32" t="n">
        <v>5.08</v>
      </c>
      <c r="K1196" s="31" t="n">
        <f aca="false">ROUND(I1196*J1196,2)</f>
        <v>25.4</v>
      </c>
      <c r="L1196" s="33" t="s">
        <v>122</v>
      </c>
      <c r="M1196" s="23" t="s">
        <v>123</v>
      </c>
      <c r="N1196" s="23" t="s">
        <v>75</v>
      </c>
      <c r="O1196" s="23" t="s">
        <v>1041</v>
      </c>
    </row>
    <row r="1197" customFormat="false" ht="15" hidden="false" customHeight="true" outlineLevel="0" collapsed="false">
      <c r="A1197" s="3" t="s">
        <v>1089</v>
      </c>
      <c r="B1197" s="3" t="s">
        <v>652</v>
      </c>
      <c r="C1197" s="3" t="s">
        <v>1090</v>
      </c>
      <c r="M1197" s="23"/>
      <c r="N1197" s="23"/>
      <c r="O1197" s="23"/>
    </row>
    <row r="1198" customFormat="false" ht="72" hidden="false" customHeight="true" outlineLevel="0" collapsed="false">
      <c r="C1198" s="26" t="s">
        <v>1091</v>
      </c>
      <c r="M1198" s="23"/>
      <c r="N1198" s="23"/>
      <c r="O1198" s="23"/>
    </row>
    <row r="1199" customFormat="false" ht="15" hidden="false" customHeight="true" outlineLevel="0" collapsed="false">
      <c r="C1199" s="27" t="s">
        <v>1007</v>
      </c>
      <c r="D1199" s="28" t="n">
        <v>5</v>
      </c>
      <c r="H1199" s="29" t="n">
        <f aca="false">IF(COUNT(D1199:G1199)=0,0,D1199*IF(E1199="",1,E1199)*IF(F1199="",1,F1199)*IF(G1199="",1,G1199))</f>
        <v>5</v>
      </c>
      <c r="M1199" s="23"/>
      <c r="N1199" s="23"/>
      <c r="O1199" s="23"/>
    </row>
    <row r="1200" customFormat="false" ht="15" hidden="false" customHeight="true" outlineLevel="0" collapsed="false">
      <c r="H1200" s="30"/>
      <c r="I1200" s="31" t="n">
        <f aca="false">ROUND(SUM(H1199:H1199),2)</f>
        <v>5</v>
      </c>
      <c r="J1200" s="32" t="n">
        <v>5.2</v>
      </c>
      <c r="K1200" s="31" t="n">
        <f aca="false">ROUND(I1200*J1200,2)</f>
        <v>26</v>
      </c>
      <c r="L1200" s="33" t="s">
        <v>122</v>
      </c>
      <c r="M1200" s="23" t="s">
        <v>123</v>
      </c>
      <c r="N1200" s="23" t="s">
        <v>75</v>
      </c>
      <c r="O1200" s="23" t="s">
        <v>1041</v>
      </c>
    </row>
    <row r="1201" customFormat="false" ht="15" hidden="false" customHeight="true" outlineLevel="0" collapsed="false">
      <c r="A1201" s="3" t="s">
        <v>1092</v>
      </c>
      <c r="C1201" s="3" t="s">
        <v>1093</v>
      </c>
      <c r="M1201" s="23" t="s">
        <v>291</v>
      </c>
      <c r="N1201" s="23" t="s">
        <v>75</v>
      </c>
      <c r="O1201" s="23" t="s">
        <v>1092</v>
      </c>
    </row>
    <row r="1202" customFormat="false" ht="15" hidden="false" customHeight="true" outlineLevel="0" collapsed="false">
      <c r="A1202" s="3" t="s">
        <v>1094</v>
      </c>
      <c r="B1202" s="3" t="s">
        <v>652</v>
      </c>
      <c r="C1202" s="3" t="s">
        <v>1095</v>
      </c>
      <c r="M1202" s="23"/>
      <c r="N1202" s="23"/>
      <c r="O1202" s="23"/>
    </row>
    <row r="1203" customFormat="false" ht="60" hidden="false" customHeight="true" outlineLevel="0" collapsed="false">
      <c r="C1203" s="26" t="s">
        <v>1096</v>
      </c>
      <c r="M1203" s="23"/>
      <c r="N1203" s="23"/>
      <c r="O1203" s="23"/>
    </row>
    <row r="1204" customFormat="false" ht="15" hidden="false" customHeight="true" outlineLevel="0" collapsed="false">
      <c r="C1204" s="27" t="s">
        <v>1007</v>
      </c>
      <c r="D1204" s="28" t="n">
        <v>5</v>
      </c>
      <c r="H1204" s="29" t="n">
        <f aca="false">IF(COUNT(D1204:G1204)=0,0,D1204*IF(E1204="",1,E1204)*IF(F1204="",1,F1204)*IF(G1204="",1,G1204))</f>
        <v>5</v>
      </c>
      <c r="M1204" s="23"/>
      <c r="N1204" s="23"/>
      <c r="O1204" s="23"/>
    </row>
    <row r="1205" customFormat="false" ht="15" hidden="false" customHeight="true" outlineLevel="0" collapsed="false">
      <c r="H1205" s="30"/>
      <c r="I1205" s="31" t="n">
        <f aca="false">ROUND(SUM(H1204:H1204),2)</f>
        <v>5</v>
      </c>
      <c r="J1205" s="32" t="n">
        <v>11.37</v>
      </c>
      <c r="K1205" s="31" t="n">
        <f aca="false">ROUND(I1205*J1205,2)</f>
        <v>56.85</v>
      </c>
      <c r="L1205" s="33" t="s">
        <v>122</v>
      </c>
      <c r="M1205" s="23" t="s">
        <v>123</v>
      </c>
      <c r="N1205" s="23" t="s">
        <v>75</v>
      </c>
      <c r="O1205" s="23" t="s">
        <v>1092</v>
      </c>
    </row>
    <row r="1206" customFormat="false" ht="15" hidden="false" customHeight="true" outlineLevel="0" collapsed="false">
      <c r="A1206" s="3" t="s">
        <v>1097</v>
      </c>
      <c r="B1206" s="3" t="s">
        <v>652</v>
      </c>
      <c r="C1206" s="3" t="s">
        <v>1098</v>
      </c>
      <c r="M1206" s="23"/>
      <c r="N1206" s="23"/>
      <c r="O1206" s="23"/>
    </row>
    <row r="1207" customFormat="false" ht="60" hidden="false" customHeight="true" outlineLevel="0" collapsed="false">
      <c r="C1207" s="26" t="s">
        <v>1099</v>
      </c>
      <c r="M1207" s="23"/>
      <c r="N1207" s="23"/>
      <c r="O1207" s="23"/>
    </row>
    <row r="1208" customFormat="false" ht="15" hidden="false" customHeight="true" outlineLevel="0" collapsed="false">
      <c r="C1208" s="27" t="s">
        <v>1007</v>
      </c>
      <c r="D1208" s="28" t="n">
        <v>5</v>
      </c>
      <c r="H1208" s="29" t="n">
        <f aca="false">IF(COUNT(D1208:G1208)=0,0,D1208*IF(E1208="",1,E1208)*IF(F1208="",1,F1208)*IF(G1208="",1,G1208))</f>
        <v>5</v>
      </c>
      <c r="M1208" s="23"/>
      <c r="N1208" s="23"/>
      <c r="O1208" s="23"/>
    </row>
    <row r="1209" customFormat="false" ht="15" hidden="false" customHeight="true" outlineLevel="0" collapsed="false">
      <c r="H1209" s="30"/>
      <c r="I1209" s="31" t="n">
        <f aca="false">ROUND(SUM(H1208:H1208),2)</f>
        <v>5</v>
      </c>
      <c r="J1209" s="32" t="n">
        <v>11.37</v>
      </c>
      <c r="K1209" s="31" t="n">
        <f aca="false">ROUND(I1209*J1209,2)</f>
        <v>56.85</v>
      </c>
      <c r="L1209" s="33" t="s">
        <v>122</v>
      </c>
      <c r="M1209" s="23" t="s">
        <v>123</v>
      </c>
      <c r="N1209" s="23" t="s">
        <v>75</v>
      </c>
      <c r="O1209" s="23" t="s">
        <v>1092</v>
      </c>
    </row>
    <row r="1210" customFormat="false" ht="15" hidden="false" customHeight="true" outlineLevel="0" collapsed="false">
      <c r="A1210" s="3" t="s">
        <v>1100</v>
      </c>
      <c r="C1210" s="3" t="s">
        <v>1101</v>
      </c>
      <c r="M1210" s="23" t="s">
        <v>291</v>
      </c>
      <c r="N1210" s="23" t="s">
        <v>75</v>
      </c>
      <c r="O1210" s="23" t="s">
        <v>1100</v>
      </c>
    </row>
    <row r="1211" customFormat="false" ht="15" hidden="false" customHeight="true" outlineLevel="0" collapsed="false">
      <c r="A1211" s="3" t="s">
        <v>1102</v>
      </c>
      <c r="B1211" s="3" t="s">
        <v>103</v>
      </c>
      <c r="C1211" s="3" t="s">
        <v>1103</v>
      </c>
      <c r="M1211" s="23"/>
      <c r="N1211" s="23"/>
      <c r="O1211" s="23"/>
    </row>
    <row r="1212" customFormat="false" ht="36" hidden="false" customHeight="true" outlineLevel="0" collapsed="false">
      <c r="C1212" s="26" t="s">
        <v>1104</v>
      </c>
      <c r="M1212" s="23"/>
      <c r="N1212" s="23"/>
      <c r="O1212" s="23"/>
    </row>
    <row r="1213" customFormat="false" ht="15" hidden="false" customHeight="true" outlineLevel="0" collapsed="false">
      <c r="C1213" s="27" t="s">
        <v>1007</v>
      </c>
      <c r="D1213" s="28" t="n">
        <v>9</v>
      </c>
      <c r="H1213" s="29" t="n">
        <f aca="false">IF(COUNT(D1213:G1213)=0,0,D1213*IF(E1213="",1,E1213)*IF(F1213="",1,F1213)*IF(G1213="",1,G1213))</f>
        <v>9</v>
      </c>
      <c r="M1213" s="23"/>
      <c r="N1213" s="23"/>
      <c r="O1213" s="23"/>
    </row>
    <row r="1214" customFormat="false" ht="15" hidden="false" customHeight="true" outlineLevel="0" collapsed="false">
      <c r="H1214" s="30"/>
      <c r="I1214" s="31" t="n">
        <f aca="false">ROUND(SUM(H1213:H1213),2)</f>
        <v>9</v>
      </c>
      <c r="J1214" s="32" t="n">
        <v>0.62</v>
      </c>
      <c r="K1214" s="31" t="n">
        <f aca="false">ROUND(I1214*J1214,2)</f>
        <v>5.58</v>
      </c>
      <c r="L1214" s="33" t="s">
        <v>122</v>
      </c>
      <c r="M1214" s="23" t="s">
        <v>123</v>
      </c>
      <c r="N1214" s="23" t="s">
        <v>75</v>
      </c>
      <c r="O1214" s="23" t="s">
        <v>1100</v>
      </c>
    </row>
    <row r="1215" customFormat="false" ht="15" hidden="false" customHeight="true" outlineLevel="0" collapsed="false">
      <c r="A1215" s="3" t="s">
        <v>1105</v>
      </c>
      <c r="B1215" s="3" t="s">
        <v>103</v>
      </c>
      <c r="C1215" s="3" t="s">
        <v>1106</v>
      </c>
      <c r="M1215" s="23"/>
      <c r="N1215" s="23"/>
      <c r="O1215" s="23"/>
    </row>
    <row r="1216" customFormat="false" ht="48" hidden="false" customHeight="true" outlineLevel="0" collapsed="false">
      <c r="C1216" s="26" t="s">
        <v>1107</v>
      </c>
      <c r="M1216" s="23"/>
      <c r="N1216" s="23"/>
      <c r="O1216" s="23"/>
    </row>
    <row r="1217" customFormat="false" ht="15" hidden="false" customHeight="true" outlineLevel="0" collapsed="false">
      <c r="C1217" s="27" t="s">
        <v>1007</v>
      </c>
      <c r="D1217" s="28" t="n">
        <v>2</v>
      </c>
      <c r="H1217" s="29" t="n">
        <f aca="false">IF(COUNT(D1217:G1217)=0,0,D1217*IF(E1217="",1,E1217)*IF(F1217="",1,F1217)*IF(G1217="",1,G1217))</f>
        <v>2</v>
      </c>
      <c r="M1217" s="23"/>
      <c r="N1217" s="23"/>
      <c r="O1217" s="23"/>
    </row>
    <row r="1218" customFormat="false" ht="15" hidden="false" customHeight="true" outlineLevel="0" collapsed="false">
      <c r="H1218" s="30"/>
      <c r="I1218" s="31" t="n">
        <f aca="false">ROUND(SUM(H1217:H1217),2)</f>
        <v>2</v>
      </c>
      <c r="J1218" s="32" t="n">
        <v>0.77</v>
      </c>
      <c r="K1218" s="31" t="n">
        <f aca="false">ROUND(I1218*J1218,2)</f>
        <v>1.54</v>
      </c>
      <c r="L1218" s="33" t="s">
        <v>122</v>
      </c>
      <c r="M1218" s="23" t="s">
        <v>123</v>
      </c>
      <c r="N1218" s="23" t="s">
        <v>75</v>
      </c>
      <c r="O1218" s="23" t="s">
        <v>1100</v>
      </c>
    </row>
    <row r="1219" customFormat="false" ht="15" hidden="false" customHeight="true" outlineLevel="0" collapsed="false">
      <c r="A1219" s="3" t="s">
        <v>1108</v>
      </c>
      <c r="B1219" s="3" t="s">
        <v>103</v>
      </c>
      <c r="C1219" s="3" t="s">
        <v>1109</v>
      </c>
      <c r="M1219" s="23"/>
      <c r="N1219" s="23"/>
      <c r="O1219" s="23"/>
    </row>
    <row r="1220" customFormat="false" ht="36" hidden="false" customHeight="true" outlineLevel="0" collapsed="false">
      <c r="C1220" s="26" t="s">
        <v>1110</v>
      </c>
      <c r="M1220" s="23"/>
      <c r="N1220" s="23"/>
      <c r="O1220" s="23"/>
    </row>
    <row r="1221" customFormat="false" ht="15" hidden="false" customHeight="true" outlineLevel="0" collapsed="false">
      <c r="C1221" s="27" t="s">
        <v>1007</v>
      </c>
      <c r="D1221" s="28" t="n">
        <v>2</v>
      </c>
      <c r="H1221" s="29" t="n">
        <f aca="false">IF(COUNT(D1221:G1221)=0,0,D1221*IF(E1221="",1,E1221)*IF(F1221="",1,F1221)*IF(G1221="",1,G1221))</f>
        <v>2</v>
      </c>
      <c r="M1221" s="23"/>
      <c r="N1221" s="23"/>
      <c r="O1221" s="23"/>
    </row>
    <row r="1222" customFormat="false" ht="15" hidden="false" customHeight="true" outlineLevel="0" collapsed="false">
      <c r="H1222" s="30"/>
      <c r="I1222" s="31" t="n">
        <f aca="false">ROUND(SUM(H1221:H1221),2)</f>
        <v>2</v>
      </c>
      <c r="J1222" s="32" t="n">
        <v>2.96</v>
      </c>
      <c r="K1222" s="31" t="n">
        <f aca="false">ROUND(I1222*J1222,2)</f>
        <v>5.92</v>
      </c>
      <c r="L1222" s="33" t="s">
        <v>122</v>
      </c>
      <c r="M1222" s="23" t="s">
        <v>123</v>
      </c>
      <c r="N1222" s="23" t="s">
        <v>75</v>
      </c>
      <c r="O1222" s="23" t="s">
        <v>1100</v>
      </c>
    </row>
    <row r="1223" customFormat="false" ht="15" hidden="false" customHeight="true" outlineLevel="0" collapsed="false">
      <c r="A1223" s="3" t="s">
        <v>1111</v>
      </c>
      <c r="B1223" s="3" t="s">
        <v>103</v>
      </c>
      <c r="C1223" s="3" t="s">
        <v>1112</v>
      </c>
      <c r="M1223" s="23"/>
      <c r="N1223" s="23"/>
      <c r="O1223" s="23"/>
    </row>
    <row r="1224" customFormat="false" ht="60" hidden="false" customHeight="true" outlineLevel="0" collapsed="false">
      <c r="C1224" s="26" t="s">
        <v>1113</v>
      </c>
      <c r="M1224" s="23"/>
      <c r="N1224" s="23"/>
      <c r="O1224" s="23"/>
    </row>
    <row r="1225" customFormat="false" ht="15" hidden="false" customHeight="true" outlineLevel="0" collapsed="false">
      <c r="C1225" s="27" t="s">
        <v>1007</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3.62</v>
      </c>
      <c r="K1226" s="31" t="n">
        <f aca="false">ROUND(I1226*J1226,2)</f>
        <v>3.62</v>
      </c>
      <c r="L1226" s="33" t="s">
        <v>122</v>
      </c>
      <c r="M1226" s="23" t="s">
        <v>123</v>
      </c>
      <c r="N1226" s="23" t="s">
        <v>75</v>
      </c>
      <c r="O1226" s="23" t="s">
        <v>1100</v>
      </c>
    </row>
    <row r="1227" customFormat="false" ht="15" hidden="false" customHeight="true" outlineLevel="0" collapsed="false">
      <c r="A1227" s="3" t="s">
        <v>1114</v>
      </c>
      <c r="B1227" s="3" t="s">
        <v>140</v>
      </c>
      <c r="C1227" s="3" t="s">
        <v>1115</v>
      </c>
      <c r="M1227" s="23"/>
      <c r="N1227" s="23"/>
      <c r="O1227" s="23"/>
    </row>
    <row r="1228" customFormat="false" ht="48" hidden="false" customHeight="true" outlineLevel="0" collapsed="false">
      <c r="C1228" s="26" t="s">
        <v>1116</v>
      </c>
      <c r="M1228" s="23"/>
      <c r="N1228" s="23"/>
      <c r="O1228" s="23"/>
    </row>
    <row r="1229" customFormat="false" ht="15" hidden="false" customHeight="true" outlineLevel="0" collapsed="false">
      <c r="C1229" s="27" t="s">
        <v>1007</v>
      </c>
      <c r="D1229" s="28" t="n">
        <v>23.18</v>
      </c>
      <c r="H1229" s="29" t="n">
        <f aca="false">IF(COUNT(D1229:G1229)=0,0,D1229*IF(E1229="",1,E1229)*IF(F1229="",1,F1229)*IF(G1229="",1,G1229))</f>
        <v>23.18</v>
      </c>
      <c r="M1229" s="23"/>
      <c r="N1229" s="23"/>
      <c r="O1229" s="23"/>
    </row>
    <row r="1230" customFormat="false" ht="15" hidden="false" customHeight="true" outlineLevel="0" collapsed="false">
      <c r="H1230" s="30"/>
      <c r="I1230" s="31" t="n">
        <f aca="false">ROUND(SUM(H1229:H1229),2)</f>
        <v>23.18</v>
      </c>
      <c r="J1230" s="32" t="n">
        <v>1.29</v>
      </c>
      <c r="K1230" s="31" t="n">
        <f aca="false">ROUND(I1230*J1230,2)</f>
        <v>29.9</v>
      </c>
      <c r="L1230" s="33" t="s">
        <v>122</v>
      </c>
      <c r="M1230" s="23" t="s">
        <v>123</v>
      </c>
      <c r="N1230" s="23" t="s">
        <v>75</v>
      </c>
      <c r="O1230" s="23" t="s">
        <v>1100</v>
      </c>
    </row>
    <row r="1231" customFormat="false" ht="15" hidden="false" customHeight="true" outlineLevel="0" collapsed="false">
      <c r="A1231" s="3" t="s">
        <v>1117</v>
      </c>
      <c r="B1231" s="3" t="s">
        <v>103</v>
      </c>
      <c r="C1231" s="3" t="s">
        <v>1118</v>
      </c>
      <c r="M1231" s="23"/>
      <c r="N1231" s="23"/>
      <c r="O1231" s="23"/>
    </row>
    <row r="1232" customFormat="false" ht="36" hidden="false" customHeight="true" outlineLevel="0" collapsed="false">
      <c r="C1232" s="26" t="s">
        <v>1119</v>
      </c>
      <c r="M1232" s="23"/>
      <c r="N1232" s="23"/>
      <c r="O1232" s="23"/>
    </row>
    <row r="1233" customFormat="false" ht="15" hidden="false" customHeight="true" outlineLevel="0" collapsed="false">
      <c r="C1233" s="27" t="s">
        <v>1007</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0.77</v>
      </c>
      <c r="K1234" s="31" t="n">
        <f aca="false">ROUND(I1234*J1234,2)</f>
        <v>0.77</v>
      </c>
      <c r="L1234" s="33" t="s">
        <v>122</v>
      </c>
      <c r="M1234" s="23" t="s">
        <v>123</v>
      </c>
      <c r="N1234" s="23" t="s">
        <v>75</v>
      </c>
      <c r="O1234" s="23" t="s">
        <v>1100</v>
      </c>
    </row>
    <row r="1235" customFormat="false" ht="15" hidden="false" customHeight="true" outlineLevel="0" collapsed="false">
      <c r="A1235" s="3" t="s">
        <v>1120</v>
      </c>
      <c r="B1235" s="3" t="s">
        <v>103</v>
      </c>
      <c r="C1235" s="3" t="s">
        <v>1121</v>
      </c>
      <c r="M1235" s="23"/>
      <c r="N1235" s="23"/>
      <c r="O1235" s="23"/>
    </row>
    <row r="1236" customFormat="false" ht="36" hidden="false" customHeight="true" outlineLevel="0" collapsed="false">
      <c r="C1236" s="26" t="s">
        <v>1122</v>
      </c>
      <c r="M1236" s="23"/>
      <c r="N1236" s="23"/>
      <c r="O1236" s="23"/>
    </row>
    <row r="1237" customFormat="false" ht="15" hidden="false" customHeight="true" outlineLevel="0" collapsed="false">
      <c r="C1237" s="27" t="s">
        <v>1007</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0.29</v>
      </c>
      <c r="K1238" s="31" t="n">
        <f aca="false">ROUND(I1238*J1238,2)</f>
        <v>0.29</v>
      </c>
      <c r="L1238" s="33" t="s">
        <v>122</v>
      </c>
      <c r="M1238" s="23" t="s">
        <v>123</v>
      </c>
      <c r="N1238" s="23" t="s">
        <v>75</v>
      </c>
      <c r="O1238" s="23" t="s">
        <v>1100</v>
      </c>
    </row>
    <row r="1239" customFormat="false" ht="15" hidden="false" customHeight="true" outlineLevel="0" collapsed="false">
      <c r="A1239" s="3" t="s">
        <v>1123</v>
      </c>
      <c r="B1239" s="3" t="s">
        <v>103</v>
      </c>
      <c r="C1239" s="3" t="s">
        <v>1124</v>
      </c>
      <c r="M1239" s="23"/>
      <c r="N1239" s="23"/>
      <c r="O1239" s="23"/>
    </row>
    <row r="1240" customFormat="false" ht="36" hidden="false" customHeight="true" outlineLevel="0" collapsed="false">
      <c r="C1240" s="26" t="s">
        <v>1125</v>
      </c>
      <c r="M1240" s="23"/>
      <c r="N1240" s="23"/>
      <c r="O1240" s="23"/>
    </row>
    <row r="1241" customFormat="false" ht="15" hidden="false" customHeight="true" outlineLevel="0" collapsed="false">
      <c r="C1241" s="27" t="s">
        <v>1007</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1.25</v>
      </c>
      <c r="K1242" s="31" t="n">
        <f aca="false">ROUND(I1242*J1242,2)</f>
        <v>1.25</v>
      </c>
      <c r="L1242" s="33" t="s">
        <v>122</v>
      </c>
      <c r="M1242" s="23" t="s">
        <v>123</v>
      </c>
      <c r="N1242" s="23" t="s">
        <v>75</v>
      </c>
      <c r="O1242" s="23" t="s">
        <v>1100</v>
      </c>
    </row>
    <row r="1243" customFormat="false" ht="15" hidden="false" customHeight="true" outlineLevel="0" collapsed="false">
      <c r="A1243" s="3" t="s">
        <v>1126</v>
      </c>
      <c r="B1243" s="3" t="s">
        <v>103</v>
      </c>
      <c r="C1243" s="3" t="s">
        <v>1127</v>
      </c>
      <c r="M1243" s="23"/>
      <c r="N1243" s="23"/>
      <c r="O1243" s="23"/>
    </row>
    <row r="1244" customFormat="false" ht="48" hidden="false" customHeight="true" outlineLevel="0" collapsed="false">
      <c r="C1244" s="26" t="s">
        <v>1128</v>
      </c>
      <c r="M1244" s="23"/>
      <c r="N1244" s="23"/>
      <c r="O1244" s="23"/>
    </row>
    <row r="1245" customFormat="false" ht="15" hidden="false" customHeight="true" outlineLevel="0" collapsed="false">
      <c r="C1245" s="27" t="s">
        <v>1007</v>
      </c>
      <c r="D1245" s="28" t="n">
        <v>1</v>
      </c>
      <c r="H1245" s="29" t="n">
        <f aca="false">IF(COUNT(D1245:G1245)=0,0,D1245*IF(E1245="",1,E1245)*IF(F1245="",1,F1245)*IF(G1245="",1,G1245))</f>
        <v>1</v>
      </c>
      <c r="M1245" s="23"/>
      <c r="N1245" s="23"/>
      <c r="O1245" s="23"/>
    </row>
    <row r="1246" customFormat="false" ht="15" hidden="false" customHeight="true" outlineLevel="0" collapsed="false">
      <c r="H1246" s="30"/>
      <c r="I1246" s="31" t="n">
        <f aca="false">ROUND(SUM(H1245:H1245),2)</f>
        <v>1</v>
      </c>
      <c r="J1246" s="32" t="n">
        <v>0.53</v>
      </c>
      <c r="K1246" s="31" t="n">
        <f aca="false">ROUND(I1246*J1246,2)</f>
        <v>0.53</v>
      </c>
      <c r="L1246" s="33" t="s">
        <v>122</v>
      </c>
      <c r="M1246" s="23" t="s">
        <v>123</v>
      </c>
      <c r="N1246" s="23" t="s">
        <v>75</v>
      </c>
      <c r="O1246" s="23" t="s">
        <v>1100</v>
      </c>
    </row>
    <row r="1247" customFormat="false" ht="15" hidden="false" customHeight="true" outlineLevel="0" collapsed="false">
      <c r="A1247" s="3" t="s">
        <v>1129</v>
      </c>
      <c r="B1247" s="3" t="s">
        <v>103</v>
      </c>
      <c r="C1247" s="3" t="s">
        <v>1130</v>
      </c>
      <c r="M1247" s="23"/>
      <c r="N1247" s="23"/>
      <c r="O1247" s="23"/>
    </row>
    <row r="1248" customFormat="false" ht="48" hidden="false" customHeight="true" outlineLevel="0" collapsed="false">
      <c r="C1248" s="26" t="s">
        <v>1131</v>
      </c>
      <c r="M1248" s="23"/>
      <c r="N1248" s="23"/>
      <c r="O1248" s="23"/>
    </row>
    <row r="1249" customFormat="false" ht="15" hidden="false" customHeight="true" outlineLevel="0" collapsed="false">
      <c r="C1249" s="27" t="s">
        <v>1007</v>
      </c>
      <c r="D1249" s="28" t="n">
        <v>1</v>
      </c>
      <c r="H1249" s="29" t="n">
        <f aca="false">IF(COUNT(D1249:G1249)=0,0,D1249*IF(E1249="",1,E1249)*IF(F1249="",1,F1249)*IF(G1249="",1,G1249))</f>
        <v>1</v>
      </c>
      <c r="M1249" s="23"/>
      <c r="N1249" s="23"/>
      <c r="O1249" s="23"/>
    </row>
    <row r="1250" customFormat="false" ht="15" hidden="false" customHeight="true" outlineLevel="0" collapsed="false">
      <c r="H1250" s="30"/>
      <c r="I1250" s="31" t="n">
        <f aca="false">ROUND(SUM(H1249:H1249),2)</f>
        <v>1</v>
      </c>
      <c r="J1250" s="32" t="n">
        <v>0.66</v>
      </c>
      <c r="K1250" s="31" t="n">
        <f aca="false">ROUND(I1250*J1250,2)</f>
        <v>0.66</v>
      </c>
      <c r="L1250" s="33" t="s">
        <v>122</v>
      </c>
      <c r="M1250" s="23" t="s">
        <v>123</v>
      </c>
      <c r="N1250" s="23" t="s">
        <v>75</v>
      </c>
      <c r="O1250" s="23" t="s">
        <v>1100</v>
      </c>
    </row>
    <row r="1251" customFormat="false" ht="15" hidden="false" customHeight="true" outlineLevel="0" collapsed="false">
      <c r="A1251" s="3" t="s">
        <v>1132</v>
      </c>
      <c r="B1251" s="3" t="s">
        <v>103</v>
      </c>
      <c r="C1251" s="3" t="s">
        <v>1133</v>
      </c>
      <c r="M1251" s="23"/>
      <c r="N1251" s="23"/>
      <c r="O1251" s="23"/>
    </row>
    <row r="1252" customFormat="false" ht="36" hidden="false" customHeight="true" outlineLevel="0" collapsed="false">
      <c r="C1252" s="26" t="s">
        <v>1134</v>
      </c>
      <c r="M1252" s="23"/>
      <c r="N1252" s="23"/>
      <c r="O1252" s="23"/>
    </row>
    <row r="1253" customFormat="false" ht="15" hidden="false" customHeight="true" outlineLevel="0" collapsed="false">
      <c r="C1253" s="27" t="s">
        <v>1007</v>
      </c>
      <c r="D1253" s="28" t="n">
        <v>8</v>
      </c>
      <c r="H1253" s="29" t="n">
        <f aca="false">IF(COUNT(D1253:G1253)=0,0,D1253*IF(E1253="",1,E1253)*IF(F1253="",1,F1253)*IF(G1253="",1,G1253))</f>
        <v>8</v>
      </c>
      <c r="M1253" s="23"/>
      <c r="N1253" s="23"/>
      <c r="O1253" s="23"/>
    </row>
    <row r="1254" customFormat="false" ht="15" hidden="false" customHeight="true" outlineLevel="0" collapsed="false">
      <c r="H1254" s="30"/>
      <c r="I1254" s="31" t="n">
        <f aca="false">ROUND(SUM(H1253:H1253),2)</f>
        <v>8</v>
      </c>
      <c r="J1254" s="32" t="n">
        <v>0.71</v>
      </c>
      <c r="K1254" s="31" t="n">
        <f aca="false">ROUND(I1254*J1254,2)</f>
        <v>5.68</v>
      </c>
      <c r="L1254" s="33" t="s">
        <v>122</v>
      </c>
      <c r="M1254" s="23" t="s">
        <v>123</v>
      </c>
      <c r="N1254" s="23" t="s">
        <v>75</v>
      </c>
      <c r="O1254" s="23" t="s">
        <v>1100</v>
      </c>
    </row>
    <row r="1255" customFormat="false" ht="15" hidden="false" customHeight="true" outlineLevel="0" collapsed="false">
      <c r="A1255" s="3" t="s">
        <v>1135</v>
      </c>
      <c r="B1255" s="3" t="s">
        <v>103</v>
      </c>
      <c r="C1255" s="3" t="s">
        <v>1136</v>
      </c>
      <c r="M1255" s="23"/>
      <c r="N1255" s="23"/>
      <c r="O1255" s="23"/>
    </row>
    <row r="1256" customFormat="false" ht="36" hidden="false" customHeight="true" outlineLevel="0" collapsed="false">
      <c r="C1256" s="26" t="s">
        <v>1137</v>
      </c>
      <c r="M1256" s="23"/>
      <c r="N1256" s="23"/>
      <c r="O1256" s="23"/>
    </row>
    <row r="1257" customFormat="false" ht="15" hidden="false" customHeight="true" outlineLevel="0" collapsed="false">
      <c r="C1257" s="27" t="s">
        <v>1007</v>
      </c>
      <c r="D1257" s="28" t="n">
        <v>5</v>
      </c>
      <c r="H1257" s="29" t="n">
        <f aca="false">IF(COUNT(D1257:G1257)=0,0,D1257*IF(E1257="",1,E1257)*IF(F1257="",1,F1257)*IF(G1257="",1,G1257))</f>
        <v>5</v>
      </c>
      <c r="M1257" s="23"/>
      <c r="N1257" s="23"/>
      <c r="O1257" s="23"/>
    </row>
    <row r="1258" customFormat="false" ht="15" hidden="false" customHeight="true" outlineLevel="0" collapsed="false">
      <c r="H1258" s="30"/>
      <c r="I1258" s="31" t="n">
        <f aca="false">ROUND(SUM(H1257:H1257),2)</f>
        <v>5</v>
      </c>
      <c r="J1258" s="32" t="n">
        <v>0.51</v>
      </c>
      <c r="K1258" s="31" t="n">
        <f aca="false">ROUND(I1258*J1258,2)</f>
        <v>2.55</v>
      </c>
      <c r="L1258" s="33" t="s">
        <v>122</v>
      </c>
      <c r="M1258" s="23" t="s">
        <v>123</v>
      </c>
      <c r="N1258" s="23" t="s">
        <v>75</v>
      </c>
      <c r="O1258" s="23" t="s">
        <v>1100</v>
      </c>
    </row>
    <row r="1259" customFormat="false" ht="15" hidden="false" customHeight="true" outlineLevel="0" collapsed="false">
      <c r="A1259" s="3" t="s">
        <v>1138</v>
      </c>
      <c r="B1259" s="3" t="s">
        <v>103</v>
      </c>
      <c r="C1259" s="3" t="s">
        <v>1139</v>
      </c>
      <c r="M1259" s="23"/>
      <c r="N1259" s="23"/>
      <c r="O1259" s="23"/>
    </row>
    <row r="1260" customFormat="false" ht="36" hidden="false" customHeight="true" outlineLevel="0" collapsed="false">
      <c r="C1260" s="26" t="s">
        <v>1140</v>
      </c>
      <c r="M1260" s="23"/>
      <c r="N1260" s="23"/>
      <c r="O1260" s="23"/>
    </row>
    <row r="1261" customFormat="false" ht="15" hidden="false" customHeight="true" outlineLevel="0" collapsed="false">
      <c r="C1261" s="27" t="s">
        <v>1007</v>
      </c>
      <c r="D1261" s="28" t="n">
        <v>3</v>
      </c>
      <c r="H1261" s="29" t="n">
        <f aca="false">IF(COUNT(D1261:G1261)=0,0,D1261*IF(E1261="",1,E1261)*IF(F1261="",1,F1261)*IF(G1261="",1,G1261))</f>
        <v>3</v>
      </c>
      <c r="M1261" s="23"/>
      <c r="N1261" s="23"/>
      <c r="O1261" s="23"/>
    </row>
    <row r="1262" customFormat="false" ht="15" hidden="false" customHeight="true" outlineLevel="0" collapsed="false">
      <c r="H1262" s="30"/>
      <c r="I1262" s="31" t="n">
        <f aca="false">ROUND(SUM(H1261:H1261),2)</f>
        <v>3</v>
      </c>
      <c r="J1262" s="32" t="n">
        <v>0.68</v>
      </c>
      <c r="K1262" s="31" t="n">
        <f aca="false">ROUND(I1262*J1262,2)</f>
        <v>2.04</v>
      </c>
      <c r="L1262" s="33" t="s">
        <v>122</v>
      </c>
      <c r="M1262" s="23" t="s">
        <v>123</v>
      </c>
      <c r="N1262" s="23" t="s">
        <v>75</v>
      </c>
      <c r="O1262" s="23" t="s">
        <v>1100</v>
      </c>
    </row>
    <row r="1263" customFormat="false" ht="15" hidden="false" customHeight="true" outlineLevel="0" collapsed="false">
      <c r="A1263" s="3" t="s">
        <v>1141</v>
      </c>
      <c r="B1263" s="3" t="s">
        <v>103</v>
      </c>
      <c r="C1263" s="3" t="s">
        <v>1142</v>
      </c>
      <c r="M1263" s="23"/>
      <c r="N1263" s="23"/>
      <c r="O1263" s="23"/>
    </row>
    <row r="1264" customFormat="false" ht="48" hidden="false" customHeight="true" outlineLevel="0" collapsed="false">
      <c r="C1264" s="26" t="s">
        <v>1143</v>
      </c>
      <c r="M1264" s="23"/>
      <c r="N1264" s="23"/>
      <c r="O1264" s="23"/>
    </row>
    <row r="1265" customFormat="false" ht="15" hidden="false" customHeight="true" outlineLevel="0" collapsed="false">
      <c r="C1265" s="27" t="s">
        <v>1007</v>
      </c>
      <c r="D1265" s="28" t="n">
        <v>1</v>
      </c>
      <c r="H1265" s="29" t="n">
        <f aca="false">IF(COUNT(D1265:G1265)=0,0,D1265*IF(E1265="",1,E1265)*IF(F1265="",1,F1265)*IF(G1265="",1,G1265))</f>
        <v>1</v>
      </c>
      <c r="M1265" s="23"/>
      <c r="N1265" s="23"/>
      <c r="O1265" s="23"/>
    </row>
    <row r="1266" customFormat="false" ht="15" hidden="false" customHeight="true" outlineLevel="0" collapsed="false">
      <c r="H1266" s="30"/>
      <c r="I1266" s="31" t="n">
        <f aca="false">ROUND(SUM(H1265:H1265),2)</f>
        <v>1</v>
      </c>
      <c r="J1266" s="32" t="n">
        <v>15.01</v>
      </c>
      <c r="K1266" s="31" t="n">
        <f aca="false">ROUND(I1266*J1266,2)</f>
        <v>15.01</v>
      </c>
      <c r="L1266" s="33" t="s">
        <v>122</v>
      </c>
      <c r="M1266" s="23" t="s">
        <v>123</v>
      </c>
      <c r="N1266" s="23" t="s">
        <v>75</v>
      </c>
      <c r="O1266" s="23" t="s">
        <v>1100</v>
      </c>
    </row>
    <row r="1267" customFormat="false" ht="15" hidden="false" customHeight="true" outlineLevel="0" collapsed="false">
      <c r="A1267" s="3" t="s">
        <v>1144</v>
      </c>
      <c r="B1267" s="3" t="s">
        <v>103</v>
      </c>
      <c r="C1267" s="3" t="s">
        <v>1145</v>
      </c>
      <c r="M1267" s="23"/>
      <c r="N1267" s="23"/>
      <c r="O1267" s="23"/>
    </row>
    <row r="1268" customFormat="false" ht="36" hidden="false" customHeight="true" outlineLevel="0" collapsed="false">
      <c r="C1268" s="26" t="s">
        <v>1146</v>
      </c>
      <c r="M1268" s="23"/>
      <c r="N1268" s="23"/>
      <c r="O1268" s="23"/>
    </row>
    <row r="1269" customFormat="false" ht="15" hidden="false" customHeight="true" outlineLevel="0" collapsed="false">
      <c r="C1269" s="27" t="s">
        <v>1007</v>
      </c>
      <c r="D1269" s="28" t="n">
        <v>13</v>
      </c>
      <c r="H1269" s="29" t="n">
        <f aca="false">IF(COUNT(D1269:G1269)=0,0,D1269*IF(E1269="",1,E1269)*IF(F1269="",1,F1269)*IF(G1269="",1,G1269))</f>
        <v>13</v>
      </c>
      <c r="M1269" s="23"/>
      <c r="N1269" s="23"/>
      <c r="O1269" s="23"/>
    </row>
    <row r="1270" customFormat="false" ht="15" hidden="false" customHeight="true" outlineLevel="0" collapsed="false">
      <c r="H1270" s="30"/>
      <c r="I1270" s="31" t="n">
        <f aca="false">ROUND(SUM(H1269:H1269),2)</f>
        <v>13</v>
      </c>
      <c r="J1270" s="32" t="n">
        <v>0.57</v>
      </c>
      <c r="K1270" s="31" t="n">
        <f aca="false">ROUND(I1270*J1270,2)</f>
        <v>7.41</v>
      </c>
      <c r="L1270" s="33" t="s">
        <v>122</v>
      </c>
      <c r="M1270" s="23" t="s">
        <v>123</v>
      </c>
      <c r="N1270" s="23" t="s">
        <v>75</v>
      </c>
      <c r="O1270" s="23" t="s">
        <v>1100</v>
      </c>
    </row>
    <row r="1271" customFormat="false" ht="15" hidden="false" customHeight="true" outlineLevel="0" collapsed="false">
      <c r="A1271" s="3" t="s">
        <v>1147</v>
      </c>
      <c r="B1271" s="3" t="s">
        <v>103</v>
      </c>
      <c r="C1271" s="3" t="s">
        <v>1148</v>
      </c>
      <c r="M1271" s="23"/>
      <c r="N1271" s="23"/>
      <c r="O1271" s="23"/>
    </row>
    <row r="1272" customFormat="false" ht="36" hidden="false" customHeight="true" outlineLevel="0" collapsed="false">
      <c r="C1272" s="26" t="s">
        <v>1149</v>
      </c>
      <c r="M1272" s="23"/>
      <c r="N1272" s="23"/>
      <c r="O1272" s="23"/>
    </row>
    <row r="1273" customFormat="false" ht="15" hidden="false" customHeight="true" outlineLevel="0" collapsed="false">
      <c r="C1273" s="27" t="s">
        <v>1007</v>
      </c>
      <c r="D1273" s="28" t="n">
        <v>6</v>
      </c>
      <c r="H1273" s="29" t="n">
        <f aca="false">IF(COUNT(D1273:G1273)=0,0,D1273*IF(E1273="",1,E1273)*IF(F1273="",1,F1273)*IF(G1273="",1,G1273))</f>
        <v>6</v>
      </c>
      <c r="M1273" s="23"/>
      <c r="N1273" s="23"/>
      <c r="O1273" s="23"/>
    </row>
    <row r="1274" customFormat="false" ht="15" hidden="false" customHeight="true" outlineLevel="0" collapsed="false">
      <c r="H1274" s="30"/>
      <c r="I1274" s="31" t="n">
        <f aca="false">ROUND(SUM(H1273:H1273),2)</f>
        <v>6</v>
      </c>
      <c r="J1274" s="32" t="n">
        <v>1.08</v>
      </c>
      <c r="K1274" s="31" t="n">
        <f aca="false">ROUND(I1274*J1274,2)</f>
        <v>6.48</v>
      </c>
      <c r="L1274" s="33" t="s">
        <v>122</v>
      </c>
      <c r="M1274" s="23" t="s">
        <v>123</v>
      </c>
      <c r="N1274" s="23" t="s">
        <v>75</v>
      </c>
      <c r="O1274" s="23" t="s">
        <v>1100</v>
      </c>
    </row>
    <row r="1275" customFormat="false" ht="15" hidden="false" customHeight="true" outlineLevel="0" collapsed="false">
      <c r="A1275" s="3" t="s">
        <v>1150</v>
      </c>
      <c r="B1275" s="3" t="s">
        <v>103</v>
      </c>
      <c r="C1275" s="3" t="s">
        <v>1151</v>
      </c>
      <c r="M1275" s="23"/>
      <c r="N1275" s="23"/>
      <c r="O1275" s="23"/>
    </row>
    <row r="1276" customFormat="false" ht="36" hidden="false" customHeight="true" outlineLevel="0" collapsed="false">
      <c r="C1276" s="26" t="s">
        <v>1152</v>
      </c>
      <c r="M1276" s="23"/>
      <c r="N1276" s="23"/>
      <c r="O1276" s="23"/>
    </row>
    <row r="1277" customFormat="false" ht="15" hidden="false" customHeight="true" outlineLevel="0" collapsed="false">
      <c r="C1277" s="27" t="s">
        <v>1007</v>
      </c>
      <c r="D1277" s="28" t="n">
        <v>1</v>
      </c>
      <c r="H1277" s="29" t="n">
        <f aca="false">IF(COUNT(D1277:G1277)=0,0,D1277*IF(E1277="",1,E1277)*IF(F1277="",1,F1277)*IF(G1277="",1,G1277))</f>
        <v>1</v>
      </c>
      <c r="M1277" s="23"/>
      <c r="N1277" s="23"/>
      <c r="O1277" s="23"/>
    </row>
    <row r="1278" customFormat="false" ht="15" hidden="false" customHeight="true" outlineLevel="0" collapsed="false">
      <c r="H1278" s="30"/>
      <c r="I1278" s="31" t="n">
        <f aca="false">ROUND(SUM(H1277:H1277),2)</f>
        <v>1</v>
      </c>
      <c r="J1278" s="32" t="n">
        <v>1.78</v>
      </c>
      <c r="K1278" s="31" t="n">
        <f aca="false">ROUND(I1278*J1278,2)</f>
        <v>1.78</v>
      </c>
      <c r="L1278" s="33" t="s">
        <v>122</v>
      </c>
      <c r="M1278" s="23" t="s">
        <v>123</v>
      </c>
      <c r="N1278" s="23" t="s">
        <v>75</v>
      </c>
      <c r="O1278" s="23" t="s">
        <v>1100</v>
      </c>
    </row>
    <row r="1279" customFormat="false" ht="15" hidden="false" customHeight="true" outlineLevel="0" collapsed="false">
      <c r="A1279" s="3" t="s">
        <v>1153</v>
      </c>
      <c r="B1279" s="3" t="s">
        <v>103</v>
      </c>
      <c r="C1279" s="3" t="s">
        <v>1154</v>
      </c>
      <c r="M1279" s="23"/>
      <c r="N1279" s="23"/>
      <c r="O1279" s="23"/>
    </row>
    <row r="1280" customFormat="false" ht="36" hidden="false" customHeight="true" outlineLevel="0" collapsed="false">
      <c r="C1280" s="26" t="s">
        <v>1155</v>
      </c>
      <c r="M1280" s="23"/>
      <c r="N1280" s="23"/>
      <c r="O1280" s="23"/>
    </row>
    <row r="1281" customFormat="false" ht="15" hidden="false" customHeight="true" outlineLevel="0" collapsed="false">
      <c r="C1281" s="27" t="s">
        <v>1007</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2.1</v>
      </c>
      <c r="K1282" s="31" t="n">
        <f aca="false">ROUND(I1282*J1282,2)</f>
        <v>2.1</v>
      </c>
      <c r="L1282" s="33" t="s">
        <v>122</v>
      </c>
      <c r="M1282" s="23" t="s">
        <v>123</v>
      </c>
      <c r="N1282" s="23" t="s">
        <v>75</v>
      </c>
      <c r="O1282" s="23" t="s">
        <v>1100</v>
      </c>
    </row>
    <row r="1283" customFormat="false" ht="15" hidden="false" customHeight="true" outlineLevel="0" collapsed="false">
      <c r="A1283" s="3" t="s">
        <v>1156</v>
      </c>
      <c r="B1283" s="3" t="s">
        <v>103</v>
      </c>
      <c r="C1283" s="3" t="s">
        <v>1157</v>
      </c>
      <c r="M1283" s="23"/>
      <c r="N1283" s="23"/>
      <c r="O1283" s="23"/>
    </row>
    <row r="1284" customFormat="false" ht="36" hidden="false" customHeight="true" outlineLevel="0" collapsed="false">
      <c r="C1284" s="26" t="s">
        <v>1158</v>
      </c>
      <c r="M1284" s="23"/>
      <c r="N1284" s="23"/>
      <c r="O1284" s="23"/>
    </row>
    <row r="1285" customFormat="false" ht="15" hidden="false" customHeight="true" outlineLevel="0" collapsed="false">
      <c r="C1285" s="27" t="s">
        <v>1007</v>
      </c>
      <c r="D1285" s="28" t="n">
        <v>4</v>
      </c>
      <c r="H1285" s="29" t="n">
        <f aca="false">IF(COUNT(D1285:G1285)=0,0,D1285*IF(E1285="",1,E1285)*IF(F1285="",1,F1285)*IF(G1285="",1,G1285))</f>
        <v>4</v>
      </c>
      <c r="M1285" s="23"/>
      <c r="N1285" s="23"/>
      <c r="O1285" s="23"/>
    </row>
    <row r="1286" customFormat="false" ht="15" hidden="false" customHeight="true" outlineLevel="0" collapsed="false">
      <c r="H1286" s="30"/>
      <c r="I1286" s="31" t="n">
        <f aca="false">ROUND(SUM(H1285:H1285),2)</f>
        <v>4</v>
      </c>
      <c r="J1286" s="32" t="n">
        <v>9.67</v>
      </c>
      <c r="K1286" s="31" t="n">
        <f aca="false">ROUND(I1286*J1286,2)</f>
        <v>38.68</v>
      </c>
      <c r="L1286" s="33" t="s">
        <v>122</v>
      </c>
      <c r="M1286" s="23" t="s">
        <v>123</v>
      </c>
      <c r="N1286" s="23" t="s">
        <v>75</v>
      </c>
      <c r="O1286" s="23" t="s">
        <v>1100</v>
      </c>
    </row>
    <row r="1287" customFormat="false" ht="15" hidden="false" customHeight="true" outlineLevel="0" collapsed="false">
      <c r="A1287" s="3" t="s">
        <v>1159</v>
      </c>
      <c r="B1287" s="3" t="s">
        <v>103</v>
      </c>
      <c r="C1287" s="3" t="s">
        <v>1160</v>
      </c>
      <c r="M1287" s="23"/>
      <c r="N1287" s="23"/>
      <c r="O1287" s="23"/>
    </row>
    <row r="1288" customFormat="false" ht="36" hidden="false" customHeight="true" outlineLevel="0" collapsed="false">
      <c r="C1288" s="26" t="s">
        <v>1161</v>
      </c>
      <c r="M1288" s="23"/>
      <c r="N1288" s="23"/>
      <c r="O1288" s="23"/>
    </row>
    <row r="1289" customFormat="false" ht="15" hidden="false" customHeight="true" outlineLevel="0" collapsed="false">
      <c r="C1289" s="27" t="s">
        <v>1007</v>
      </c>
      <c r="D1289" s="28" t="n">
        <v>1</v>
      </c>
      <c r="H1289" s="29" t="n">
        <f aca="false">IF(COUNT(D1289:G1289)=0,0,D1289*IF(E1289="",1,E1289)*IF(F1289="",1,F1289)*IF(G1289="",1,G1289))</f>
        <v>1</v>
      </c>
      <c r="M1289" s="23"/>
      <c r="N1289" s="23"/>
      <c r="O1289" s="23"/>
    </row>
    <row r="1290" customFormat="false" ht="15" hidden="false" customHeight="true" outlineLevel="0" collapsed="false">
      <c r="H1290" s="30"/>
      <c r="I1290" s="31" t="n">
        <f aca="false">ROUND(SUM(H1289:H1289),2)</f>
        <v>1</v>
      </c>
      <c r="J1290" s="32" t="n">
        <v>11.18</v>
      </c>
      <c r="K1290" s="31" t="n">
        <f aca="false">ROUND(I1290*J1290,2)</f>
        <v>11.18</v>
      </c>
      <c r="L1290" s="33" t="s">
        <v>122</v>
      </c>
      <c r="M1290" s="23" t="s">
        <v>123</v>
      </c>
      <c r="N1290" s="23" t="s">
        <v>75</v>
      </c>
      <c r="O1290" s="23" t="s">
        <v>1100</v>
      </c>
    </row>
    <row r="1291" customFormat="false" ht="15" hidden="false" customHeight="true" outlineLevel="0" collapsed="false">
      <c r="A1291" s="3" t="s">
        <v>1162</v>
      </c>
      <c r="B1291" s="3" t="s">
        <v>103</v>
      </c>
      <c r="C1291" s="3" t="s">
        <v>1163</v>
      </c>
      <c r="M1291" s="23"/>
      <c r="N1291" s="23"/>
      <c r="O1291" s="23"/>
    </row>
    <row r="1292" customFormat="false" ht="36" hidden="false" customHeight="true" outlineLevel="0" collapsed="false">
      <c r="C1292" s="26" t="s">
        <v>1164</v>
      </c>
      <c r="M1292" s="23"/>
      <c r="N1292" s="23"/>
      <c r="O1292" s="23"/>
    </row>
    <row r="1293" customFormat="false" ht="15" hidden="false" customHeight="true" outlineLevel="0" collapsed="false">
      <c r="C1293" s="27" t="s">
        <v>1007</v>
      </c>
      <c r="D1293" s="28" t="n">
        <v>1</v>
      </c>
      <c r="H1293" s="29" t="n">
        <f aca="false">IF(COUNT(D1293:G1293)=0,0,D1293*IF(E1293="",1,E1293)*IF(F1293="",1,F1293)*IF(G1293="",1,G1293))</f>
        <v>1</v>
      </c>
      <c r="M1293" s="23"/>
      <c r="N1293" s="23"/>
      <c r="O1293" s="23"/>
    </row>
    <row r="1294" customFormat="false" ht="15" hidden="false" customHeight="true" outlineLevel="0" collapsed="false">
      <c r="H1294" s="30"/>
      <c r="I1294" s="31" t="n">
        <f aca="false">ROUND(SUM(H1293:H1293),2)</f>
        <v>1</v>
      </c>
      <c r="J1294" s="32" t="n">
        <v>0.58</v>
      </c>
      <c r="K1294" s="31" t="n">
        <f aca="false">ROUND(I1294*J1294,2)</f>
        <v>0.58</v>
      </c>
      <c r="L1294" s="33" t="s">
        <v>122</v>
      </c>
      <c r="M1294" s="23" t="s">
        <v>123</v>
      </c>
      <c r="N1294" s="23" t="s">
        <v>75</v>
      </c>
      <c r="O1294" s="23" t="s">
        <v>1100</v>
      </c>
    </row>
    <row r="1295" customFormat="false" ht="15" hidden="false" customHeight="true" outlineLevel="0" collapsed="false">
      <c r="A1295" s="3" t="s">
        <v>1165</v>
      </c>
      <c r="B1295" s="3" t="s">
        <v>103</v>
      </c>
      <c r="C1295" s="3" t="s">
        <v>1166</v>
      </c>
      <c r="M1295" s="23"/>
      <c r="N1295" s="23"/>
      <c r="O1295" s="23"/>
    </row>
    <row r="1296" customFormat="false" ht="48" hidden="false" customHeight="true" outlineLevel="0" collapsed="false">
      <c r="C1296" s="26" t="s">
        <v>1167</v>
      </c>
      <c r="M1296" s="23"/>
      <c r="N1296" s="23"/>
      <c r="O1296" s="23"/>
    </row>
    <row r="1297" customFormat="false" ht="15" hidden="false" customHeight="true" outlineLevel="0" collapsed="false">
      <c r="C1297" s="27" t="s">
        <v>1007</v>
      </c>
      <c r="D1297" s="28" t="n">
        <v>3</v>
      </c>
      <c r="H1297" s="29" t="n">
        <f aca="false">IF(COUNT(D1297:G1297)=0,0,D1297*IF(E1297="",1,E1297)*IF(F1297="",1,F1297)*IF(G1297="",1,G1297))</f>
        <v>3</v>
      </c>
      <c r="M1297" s="23"/>
      <c r="N1297" s="23"/>
      <c r="O1297" s="23"/>
    </row>
    <row r="1298" customFormat="false" ht="15" hidden="false" customHeight="true" outlineLevel="0" collapsed="false">
      <c r="H1298" s="30"/>
      <c r="I1298" s="31" t="n">
        <f aca="false">ROUND(SUM(H1297:H1297),2)</f>
        <v>3</v>
      </c>
      <c r="J1298" s="32" t="n">
        <v>1.87</v>
      </c>
      <c r="K1298" s="31" t="n">
        <f aca="false">ROUND(I1298*J1298,2)</f>
        <v>5.61</v>
      </c>
      <c r="L1298" s="33" t="s">
        <v>122</v>
      </c>
      <c r="M1298" s="23" t="s">
        <v>123</v>
      </c>
      <c r="N1298" s="23" t="s">
        <v>75</v>
      </c>
      <c r="O1298" s="23" t="s">
        <v>1100</v>
      </c>
    </row>
    <row r="1299" customFormat="false" ht="15" hidden="false" customHeight="true" outlineLevel="0" collapsed="false">
      <c r="A1299" s="3" t="s">
        <v>1168</v>
      </c>
      <c r="B1299" s="3" t="s">
        <v>103</v>
      </c>
      <c r="C1299" s="3" t="s">
        <v>1169</v>
      </c>
      <c r="M1299" s="23"/>
      <c r="N1299" s="23"/>
      <c r="O1299" s="23"/>
    </row>
    <row r="1300" customFormat="false" ht="36" hidden="false" customHeight="true" outlineLevel="0" collapsed="false">
      <c r="C1300" s="26" t="s">
        <v>1170</v>
      </c>
      <c r="M1300" s="23"/>
      <c r="N1300" s="23"/>
      <c r="O1300" s="23"/>
    </row>
    <row r="1301" customFormat="false" ht="15" hidden="false" customHeight="true" outlineLevel="0" collapsed="false">
      <c r="C1301" s="27" t="s">
        <v>1007</v>
      </c>
      <c r="D1301" s="28" t="n">
        <v>3</v>
      </c>
      <c r="H1301" s="29" t="n">
        <f aca="false">IF(COUNT(D1301:G1301)=0,0,D1301*IF(E1301="",1,E1301)*IF(F1301="",1,F1301)*IF(G1301="",1,G1301))</f>
        <v>3</v>
      </c>
      <c r="M1301" s="23"/>
      <c r="N1301" s="23"/>
      <c r="O1301" s="23"/>
    </row>
    <row r="1302" customFormat="false" ht="15" hidden="false" customHeight="true" outlineLevel="0" collapsed="false">
      <c r="H1302" s="30"/>
      <c r="I1302" s="31" t="n">
        <f aca="false">ROUND(SUM(H1301:H1301),2)</f>
        <v>3</v>
      </c>
      <c r="J1302" s="32" t="n">
        <v>0.29</v>
      </c>
      <c r="K1302" s="31" t="n">
        <f aca="false">ROUND(I1302*J1302,2)</f>
        <v>0.87</v>
      </c>
      <c r="L1302" s="33" t="s">
        <v>122</v>
      </c>
      <c r="M1302" s="23" t="s">
        <v>123</v>
      </c>
      <c r="N1302" s="23" t="s">
        <v>75</v>
      </c>
      <c r="O1302" s="23" t="s">
        <v>1100</v>
      </c>
    </row>
    <row r="1303" customFormat="false" ht="15" hidden="false" customHeight="true" outlineLevel="0" collapsed="false">
      <c r="A1303" s="3" t="s">
        <v>1171</v>
      </c>
      <c r="B1303" s="3" t="s">
        <v>103</v>
      </c>
      <c r="C1303" s="3" t="s">
        <v>1172</v>
      </c>
      <c r="M1303" s="23"/>
      <c r="N1303" s="23"/>
      <c r="O1303" s="23"/>
    </row>
    <row r="1304" customFormat="false" ht="36" hidden="false" customHeight="true" outlineLevel="0" collapsed="false">
      <c r="C1304" s="26" t="s">
        <v>1173</v>
      </c>
      <c r="M1304" s="23"/>
      <c r="N1304" s="23"/>
      <c r="O1304" s="23"/>
    </row>
    <row r="1305" customFormat="false" ht="15" hidden="false" customHeight="true" outlineLevel="0" collapsed="false">
      <c r="C1305" s="27" t="s">
        <v>1007</v>
      </c>
      <c r="D1305" s="28" t="n">
        <v>2</v>
      </c>
      <c r="H1305" s="29" t="n">
        <f aca="false">IF(COUNT(D1305:G1305)=0,0,D1305*IF(E1305="",1,E1305)*IF(F1305="",1,F1305)*IF(G1305="",1,G1305))</f>
        <v>2</v>
      </c>
      <c r="M1305" s="23"/>
      <c r="N1305" s="23"/>
      <c r="O1305" s="23"/>
    </row>
    <row r="1306" customFormat="false" ht="15" hidden="false" customHeight="true" outlineLevel="0" collapsed="false">
      <c r="H1306" s="30"/>
      <c r="I1306" s="31" t="n">
        <f aca="false">ROUND(SUM(H1305:H1305),2)</f>
        <v>2</v>
      </c>
      <c r="J1306" s="32" t="n">
        <v>5.83</v>
      </c>
      <c r="K1306" s="31" t="n">
        <f aca="false">ROUND(I1306*J1306,2)</f>
        <v>11.66</v>
      </c>
      <c r="L1306" s="33" t="s">
        <v>122</v>
      </c>
      <c r="M1306" s="23" t="s">
        <v>123</v>
      </c>
      <c r="N1306" s="23" t="s">
        <v>75</v>
      </c>
      <c r="O1306" s="23" t="s">
        <v>1100</v>
      </c>
    </row>
    <row r="1307" customFormat="false" ht="15" hidden="false" customHeight="true" outlineLevel="0" collapsed="false">
      <c r="A1307" s="3" t="s">
        <v>1174</v>
      </c>
      <c r="B1307" s="3" t="s">
        <v>103</v>
      </c>
      <c r="C1307" s="3" t="s">
        <v>1175</v>
      </c>
      <c r="M1307" s="23"/>
      <c r="N1307" s="23"/>
      <c r="O1307" s="23"/>
    </row>
    <row r="1308" customFormat="false" ht="36" hidden="false" customHeight="true" outlineLevel="0" collapsed="false">
      <c r="C1308" s="26" t="s">
        <v>1176</v>
      </c>
      <c r="M1308" s="23"/>
      <c r="N1308" s="23"/>
      <c r="O1308" s="23"/>
    </row>
    <row r="1309" customFormat="false" ht="15" hidden="false" customHeight="true" outlineLevel="0" collapsed="false">
      <c r="C1309" s="27" t="s">
        <v>1007</v>
      </c>
      <c r="D1309" s="28" t="n">
        <v>1</v>
      </c>
      <c r="H1309" s="29" t="n">
        <f aca="false">IF(COUNT(D1309:G1309)=0,0,D1309*IF(E1309="",1,E1309)*IF(F1309="",1,F1309)*IF(G1309="",1,G1309))</f>
        <v>1</v>
      </c>
      <c r="M1309" s="23"/>
      <c r="N1309" s="23"/>
      <c r="O1309" s="23"/>
    </row>
    <row r="1310" customFormat="false" ht="15" hidden="false" customHeight="true" outlineLevel="0" collapsed="false">
      <c r="H1310" s="30"/>
      <c r="I1310" s="31" t="n">
        <f aca="false">ROUND(SUM(H1309:H1309),2)</f>
        <v>1</v>
      </c>
      <c r="J1310" s="32" t="n">
        <v>7.81</v>
      </c>
      <c r="K1310" s="31" t="n">
        <f aca="false">ROUND(I1310*J1310,2)</f>
        <v>7.81</v>
      </c>
      <c r="L1310" s="33" t="s">
        <v>122</v>
      </c>
      <c r="M1310" s="23" t="s">
        <v>123</v>
      </c>
      <c r="N1310" s="23" t="s">
        <v>75</v>
      </c>
      <c r="O1310" s="23" t="s">
        <v>1100</v>
      </c>
    </row>
    <row r="1311" customFormat="false" ht="15" hidden="false" customHeight="true" outlineLevel="0" collapsed="false">
      <c r="A1311" s="3" t="s">
        <v>1177</v>
      </c>
      <c r="B1311" s="3" t="s">
        <v>103</v>
      </c>
      <c r="C1311" s="3" t="s">
        <v>1178</v>
      </c>
      <c r="M1311" s="23"/>
      <c r="N1311" s="23"/>
      <c r="O1311" s="23"/>
    </row>
    <row r="1312" customFormat="false" ht="36" hidden="false" customHeight="true" outlineLevel="0" collapsed="false">
      <c r="C1312" s="26" t="s">
        <v>1179</v>
      </c>
      <c r="M1312" s="23"/>
      <c r="N1312" s="23"/>
      <c r="O1312" s="23"/>
    </row>
    <row r="1313" customFormat="false" ht="15" hidden="false" customHeight="true" outlineLevel="0" collapsed="false">
      <c r="C1313" s="27" t="s">
        <v>1007</v>
      </c>
      <c r="D1313" s="28" t="n">
        <v>3</v>
      </c>
      <c r="H1313" s="29" t="n">
        <f aca="false">IF(COUNT(D1313:G1313)=0,0,D1313*IF(E1313="",1,E1313)*IF(F1313="",1,F1313)*IF(G1313="",1,G1313))</f>
        <v>3</v>
      </c>
      <c r="M1313" s="23"/>
      <c r="N1313" s="23"/>
      <c r="O1313" s="23"/>
    </row>
    <row r="1314" customFormat="false" ht="15" hidden="false" customHeight="true" outlineLevel="0" collapsed="false">
      <c r="H1314" s="30"/>
      <c r="I1314" s="31" t="n">
        <f aca="false">ROUND(SUM(H1313:H1313),2)</f>
        <v>3</v>
      </c>
      <c r="J1314" s="32" t="n">
        <v>9.03</v>
      </c>
      <c r="K1314" s="31" t="n">
        <f aca="false">ROUND(I1314*J1314,2)</f>
        <v>27.09</v>
      </c>
      <c r="L1314" s="33" t="s">
        <v>122</v>
      </c>
      <c r="M1314" s="23" t="s">
        <v>123</v>
      </c>
      <c r="N1314" s="23" t="s">
        <v>75</v>
      </c>
      <c r="O1314" s="23" t="s">
        <v>1100</v>
      </c>
    </row>
    <row r="1315" customFormat="false" ht="15" hidden="false" customHeight="true" outlineLevel="0" collapsed="false">
      <c r="A1315" s="3" t="s">
        <v>1180</v>
      </c>
      <c r="B1315" s="3" t="s">
        <v>103</v>
      </c>
      <c r="C1315" s="3" t="s">
        <v>1181</v>
      </c>
      <c r="M1315" s="23"/>
      <c r="N1315" s="23"/>
      <c r="O1315" s="23"/>
    </row>
    <row r="1316" customFormat="false" ht="36" hidden="false" customHeight="true" outlineLevel="0" collapsed="false">
      <c r="C1316" s="26" t="s">
        <v>1182</v>
      </c>
      <c r="M1316" s="23"/>
      <c r="N1316" s="23"/>
      <c r="O1316" s="23"/>
    </row>
    <row r="1317" customFormat="false" ht="15" hidden="false" customHeight="true" outlineLevel="0" collapsed="false">
      <c r="C1317" s="27" t="s">
        <v>1007</v>
      </c>
      <c r="D1317" s="28" t="n">
        <v>2</v>
      </c>
      <c r="H1317" s="29" t="n">
        <f aca="false">IF(COUNT(D1317:G1317)=0,0,D1317*IF(E1317="",1,E1317)*IF(F1317="",1,F1317)*IF(G1317="",1,G1317))</f>
        <v>2</v>
      </c>
      <c r="M1317" s="23"/>
      <c r="N1317" s="23"/>
      <c r="O1317" s="23"/>
    </row>
    <row r="1318" customFormat="false" ht="15" hidden="false" customHeight="true" outlineLevel="0" collapsed="false">
      <c r="H1318" s="30"/>
      <c r="I1318" s="31" t="n">
        <f aca="false">ROUND(SUM(H1317:H1317),2)</f>
        <v>2</v>
      </c>
      <c r="J1318" s="32" t="n">
        <v>7.65</v>
      </c>
      <c r="K1318" s="31" t="n">
        <f aca="false">ROUND(I1318*J1318,2)</f>
        <v>15.3</v>
      </c>
      <c r="L1318" s="33" t="s">
        <v>122</v>
      </c>
      <c r="M1318" s="23" t="s">
        <v>123</v>
      </c>
      <c r="N1318" s="23" t="s">
        <v>75</v>
      </c>
      <c r="O1318" s="23" t="s">
        <v>1100</v>
      </c>
    </row>
    <row r="1319" customFormat="false" ht="15" hidden="false" customHeight="true" outlineLevel="0" collapsed="false">
      <c r="A1319" s="3" t="s">
        <v>1183</v>
      </c>
      <c r="B1319" s="3" t="s">
        <v>103</v>
      </c>
      <c r="C1319" s="3" t="s">
        <v>1184</v>
      </c>
      <c r="M1319" s="23"/>
      <c r="N1319" s="23"/>
      <c r="O1319" s="23"/>
    </row>
    <row r="1320" customFormat="false" ht="36" hidden="false" customHeight="true" outlineLevel="0" collapsed="false">
      <c r="C1320" s="26" t="s">
        <v>1185</v>
      </c>
      <c r="M1320" s="23"/>
      <c r="N1320" s="23"/>
      <c r="O1320" s="23"/>
    </row>
    <row r="1321" customFormat="false" ht="15" hidden="false" customHeight="true" outlineLevel="0" collapsed="false">
      <c r="C1321" s="27" t="s">
        <v>1007</v>
      </c>
      <c r="D1321" s="28" t="n">
        <v>1</v>
      </c>
      <c r="H1321" s="29" t="n">
        <f aca="false">IF(COUNT(D1321:G1321)=0,0,D1321*IF(E1321="",1,E1321)*IF(F1321="",1,F1321)*IF(G1321="",1,G1321))</f>
        <v>1</v>
      </c>
      <c r="M1321" s="23"/>
      <c r="N1321" s="23"/>
      <c r="O1321" s="23"/>
    </row>
    <row r="1322" customFormat="false" ht="15" hidden="false" customHeight="true" outlineLevel="0" collapsed="false">
      <c r="H1322" s="30"/>
      <c r="I1322" s="31" t="n">
        <f aca="false">ROUND(SUM(H1321:H1321),2)</f>
        <v>1</v>
      </c>
      <c r="J1322" s="32" t="n">
        <v>1.3</v>
      </c>
      <c r="K1322" s="31" t="n">
        <f aca="false">ROUND(I1322*J1322,2)</f>
        <v>1.3</v>
      </c>
      <c r="L1322" s="33" t="s">
        <v>122</v>
      </c>
      <c r="M1322" s="23" t="s">
        <v>123</v>
      </c>
      <c r="N1322" s="23" t="s">
        <v>75</v>
      </c>
      <c r="O1322" s="23" t="s">
        <v>1100</v>
      </c>
    </row>
    <row r="1323" customFormat="false" ht="15" hidden="false" customHeight="true" outlineLevel="0" collapsed="false">
      <c r="A1323" s="3" t="s">
        <v>1186</v>
      </c>
      <c r="B1323" s="3" t="s">
        <v>103</v>
      </c>
      <c r="C1323" s="3" t="s">
        <v>1187</v>
      </c>
      <c r="M1323" s="23"/>
      <c r="N1323" s="23"/>
      <c r="O1323" s="23"/>
    </row>
    <row r="1324" customFormat="false" ht="36" hidden="false" customHeight="true" outlineLevel="0" collapsed="false">
      <c r="C1324" s="26" t="s">
        <v>1188</v>
      </c>
      <c r="M1324" s="23"/>
      <c r="N1324" s="23"/>
      <c r="O1324" s="23"/>
    </row>
    <row r="1325" customFormat="false" ht="15" hidden="false" customHeight="true" outlineLevel="0" collapsed="false">
      <c r="C1325" s="27" t="s">
        <v>1007</v>
      </c>
      <c r="D1325" s="28" t="n">
        <v>1</v>
      </c>
      <c r="H1325" s="29" t="n">
        <f aca="false">IF(COUNT(D1325:G1325)=0,0,D1325*IF(E1325="",1,E1325)*IF(F1325="",1,F1325)*IF(G1325="",1,G1325))</f>
        <v>1</v>
      </c>
      <c r="M1325" s="23"/>
      <c r="N1325" s="23"/>
      <c r="O1325" s="23"/>
    </row>
    <row r="1326" customFormat="false" ht="15" hidden="false" customHeight="true" outlineLevel="0" collapsed="false">
      <c r="H1326" s="30"/>
      <c r="I1326" s="31" t="n">
        <f aca="false">ROUND(SUM(H1325:H1325),2)</f>
        <v>1</v>
      </c>
      <c r="J1326" s="32" t="n">
        <v>12.72</v>
      </c>
      <c r="K1326" s="31" t="n">
        <f aca="false">ROUND(I1326*J1326,2)</f>
        <v>12.72</v>
      </c>
      <c r="L1326" s="33" t="s">
        <v>122</v>
      </c>
      <c r="M1326" s="23" t="s">
        <v>123</v>
      </c>
      <c r="N1326" s="23" t="s">
        <v>75</v>
      </c>
      <c r="O1326" s="23" t="s">
        <v>1100</v>
      </c>
    </row>
    <row r="1327" customFormat="false" ht="15" hidden="false" customHeight="true" outlineLevel="0" collapsed="false">
      <c r="A1327" s="3" t="s">
        <v>1189</v>
      </c>
      <c r="B1327" s="3" t="s">
        <v>103</v>
      </c>
      <c r="C1327" s="3" t="s">
        <v>1190</v>
      </c>
      <c r="M1327" s="23"/>
      <c r="N1327" s="23"/>
      <c r="O1327" s="23"/>
    </row>
    <row r="1328" customFormat="false" ht="36" hidden="false" customHeight="true" outlineLevel="0" collapsed="false">
      <c r="C1328" s="26" t="s">
        <v>1191</v>
      </c>
      <c r="M1328" s="23"/>
      <c r="N1328" s="23"/>
      <c r="O1328" s="23"/>
    </row>
    <row r="1329" customFormat="false" ht="15" hidden="false" customHeight="true" outlineLevel="0" collapsed="false">
      <c r="C1329" s="27" t="s">
        <v>1007</v>
      </c>
      <c r="D1329" s="28" t="n">
        <v>3</v>
      </c>
      <c r="H1329" s="29" t="n">
        <f aca="false">IF(COUNT(D1329:G1329)=0,0,D1329*IF(E1329="",1,E1329)*IF(F1329="",1,F1329)*IF(G1329="",1,G1329))</f>
        <v>3</v>
      </c>
      <c r="M1329" s="23"/>
      <c r="N1329" s="23"/>
      <c r="O1329" s="23"/>
    </row>
    <row r="1330" customFormat="false" ht="15" hidden="false" customHeight="true" outlineLevel="0" collapsed="false">
      <c r="H1330" s="30"/>
      <c r="I1330" s="31" t="n">
        <f aca="false">ROUND(SUM(H1329:H1329),2)</f>
        <v>3</v>
      </c>
      <c r="J1330" s="32" t="n">
        <v>1.4</v>
      </c>
      <c r="K1330" s="31" t="n">
        <f aca="false">ROUND(I1330*J1330,2)</f>
        <v>4.2</v>
      </c>
      <c r="L1330" s="33" t="s">
        <v>122</v>
      </c>
      <c r="M1330" s="23" t="s">
        <v>123</v>
      </c>
      <c r="N1330" s="23" t="s">
        <v>75</v>
      </c>
      <c r="O1330" s="23" t="s">
        <v>1100</v>
      </c>
    </row>
    <row r="1331" customFormat="false" ht="15" hidden="false" customHeight="true" outlineLevel="0" collapsed="false">
      <c r="A1331" s="3" t="s">
        <v>1192</v>
      </c>
      <c r="B1331" s="3" t="s">
        <v>103</v>
      </c>
      <c r="C1331" s="3" t="s">
        <v>1193</v>
      </c>
      <c r="M1331" s="23"/>
      <c r="N1331" s="23"/>
      <c r="O1331" s="23"/>
    </row>
    <row r="1332" customFormat="false" ht="36" hidden="false" customHeight="true" outlineLevel="0" collapsed="false">
      <c r="C1332" s="26" t="s">
        <v>1194</v>
      </c>
      <c r="M1332" s="23"/>
      <c r="N1332" s="23"/>
      <c r="O1332" s="23"/>
    </row>
    <row r="1333" customFormat="false" ht="15" hidden="false" customHeight="true" outlineLevel="0" collapsed="false">
      <c r="C1333" s="27" t="s">
        <v>1007</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3.47</v>
      </c>
      <c r="K1334" s="31" t="n">
        <f aca="false">ROUND(I1334*J1334,2)</f>
        <v>10.41</v>
      </c>
      <c r="L1334" s="33" t="s">
        <v>122</v>
      </c>
      <c r="M1334" s="23" t="s">
        <v>123</v>
      </c>
      <c r="N1334" s="23" t="s">
        <v>75</v>
      </c>
      <c r="O1334" s="23" t="s">
        <v>1100</v>
      </c>
    </row>
    <row r="1335" customFormat="false" ht="15" hidden="false" customHeight="true" outlineLevel="0" collapsed="false">
      <c r="A1335" s="3" t="s">
        <v>1195</v>
      </c>
      <c r="B1335" s="3" t="s">
        <v>103</v>
      </c>
      <c r="C1335" s="3" t="s">
        <v>1196</v>
      </c>
      <c r="M1335" s="23"/>
      <c r="N1335" s="23"/>
      <c r="O1335" s="23"/>
    </row>
    <row r="1336" customFormat="false" ht="36" hidden="false" customHeight="true" outlineLevel="0" collapsed="false">
      <c r="C1336" s="26" t="s">
        <v>1197</v>
      </c>
      <c r="M1336" s="23"/>
      <c r="N1336" s="23"/>
      <c r="O1336" s="23"/>
    </row>
    <row r="1337" customFormat="false" ht="15" hidden="false" customHeight="true" outlineLevel="0" collapsed="false">
      <c r="C1337" s="27" t="s">
        <v>1007</v>
      </c>
      <c r="D1337" s="28" t="n">
        <v>6</v>
      </c>
      <c r="H1337" s="29" t="n">
        <f aca="false">IF(COUNT(D1337:G1337)=0,0,D1337*IF(E1337="",1,E1337)*IF(F1337="",1,F1337)*IF(G1337="",1,G1337))</f>
        <v>6</v>
      </c>
      <c r="M1337" s="23"/>
      <c r="N1337" s="23"/>
      <c r="O1337" s="23"/>
    </row>
    <row r="1338" customFormat="false" ht="15" hidden="false" customHeight="true" outlineLevel="0" collapsed="false">
      <c r="H1338" s="30"/>
      <c r="I1338" s="31" t="n">
        <f aca="false">ROUND(SUM(H1337:H1337),2)</f>
        <v>6</v>
      </c>
      <c r="J1338" s="32" t="n">
        <v>2.1</v>
      </c>
      <c r="K1338" s="31" t="n">
        <f aca="false">ROUND(I1338*J1338,2)</f>
        <v>12.6</v>
      </c>
      <c r="L1338" s="33" t="s">
        <v>122</v>
      </c>
      <c r="M1338" s="23" t="s">
        <v>123</v>
      </c>
      <c r="N1338" s="23" t="s">
        <v>75</v>
      </c>
      <c r="O1338" s="23" t="s">
        <v>1100</v>
      </c>
    </row>
    <row r="1339" customFormat="false" ht="15" hidden="false" customHeight="true" outlineLevel="0" collapsed="false">
      <c r="A1339" s="3" t="s">
        <v>1198</v>
      </c>
      <c r="B1339" s="3" t="s">
        <v>103</v>
      </c>
      <c r="C1339" s="3" t="s">
        <v>1199</v>
      </c>
      <c r="M1339" s="23"/>
      <c r="N1339" s="23"/>
      <c r="O1339" s="23"/>
    </row>
    <row r="1340" customFormat="false" ht="36" hidden="false" customHeight="true" outlineLevel="0" collapsed="false">
      <c r="C1340" s="26" t="s">
        <v>1200</v>
      </c>
      <c r="M1340" s="23"/>
      <c r="N1340" s="23"/>
      <c r="O1340" s="23"/>
    </row>
    <row r="1341" customFormat="false" ht="15" hidden="false" customHeight="true" outlineLevel="0" collapsed="false">
      <c r="C1341" s="27" t="s">
        <v>1007</v>
      </c>
      <c r="D1341" s="28" t="n">
        <v>3</v>
      </c>
      <c r="H1341" s="29" t="n">
        <f aca="false">IF(COUNT(D1341:G1341)=0,0,D1341*IF(E1341="",1,E1341)*IF(F1341="",1,F1341)*IF(G1341="",1,G1341))</f>
        <v>3</v>
      </c>
      <c r="M1341" s="23"/>
      <c r="N1341" s="23"/>
      <c r="O1341" s="23"/>
    </row>
    <row r="1342" customFormat="false" ht="15" hidden="false" customHeight="true" outlineLevel="0" collapsed="false">
      <c r="H1342" s="30"/>
      <c r="I1342" s="31" t="n">
        <f aca="false">ROUND(SUM(H1341:H1341),2)</f>
        <v>3</v>
      </c>
      <c r="J1342" s="32" t="n">
        <v>4.21</v>
      </c>
      <c r="K1342" s="31" t="n">
        <f aca="false">ROUND(I1342*J1342,2)</f>
        <v>12.63</v>
      </c>
      <c r="L1342" s="33" t="s">
        <v>122</v>
      </c>
      <c r="M1342" s="23" t="s">
        <v>123</v>
      </c>
      <c r="N1342" s="23" t="s">
        <v>75</v>
      </c>
      <c r="O1342" s="23" t="s">
        <v>1100</v>
      </c>
    </row>
    <row r="1343" customFormat="false" ht="15" hidden="false" customHeight="true" outlineLevel="0" collapsed="false">
      <c r="A1343" s="3" t="s">
        <v>1201</v>
      </c>
      <c r="B1343" s="3" t="s">
        <v>103</v>
      </c>
      <c r="C1343" s="3" t="s">
        <v>1202</v>
      </c>
      <c r="M1343" s="23"/>
      <c r="N1343" s="23"/>
      <c r="O1343" s="23"/>
    </row>
    <row r="1344" customFormat="false" ht="36" hidden="false" customHeight="true" outlineLevel="0" collapsed="false">
      <c r="C1344" s="26" t="s">
        <v>1203</v>
      </c>
      <c r="M1344" s="23"/>
      <c r="N1344" s="23"/>
      <c r="O1344" s="23"/>
    </row>
    <row r="1345" customFormat="false" ht="15" hidden="false" customHeight="true" outlineLevel="0" collapsed="false">
      <c r="C1345" s="27" t="s">
        <v>1007</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3.26</v>
      </c>
      <c r="K1346" s="31" t="n">
        <f aca="false">ROUND(I1346*J1346,2)</f>
        <v>3.26</v>
      </c>
      <c r="L1346" s="33" t="s">
        <v>122</v>
      </c>
      <c r="M1346" s="23" t="s">
        <v>123</v>
      </c>
      <c r="N1346" s="23" t="s">
        <v>75</v>
      </c>
      <c r="O1346" s="23" t="s">
        <v>1100</v>
      </c>
    </row>
    <row r="1347" customFormat="false" ht="15" hidden="false" customHeight="true" outlineLevel="0" collapsed="false">
      <c r="A1347" s="3" t="s">
        <v>1204</v>
      </c>
      <c r="B1347" s="3" t="s">
        <v>103</v>
      </c>
      <c r="C1347" s="3" t="s">
        <v>1205</v>
      </c>
      <c r="M1347" s="23"/>
      <c r="N1347" s="23"/>
      <c r="O1347" s="23"/>
    </row>
    <row r="1348" customFormat="false" ht="36" hidden="false" customHeight="true" outlineLevel="0" collapsed="false">
      <c r="C1348" s="26" t="s">
        <v>1206</v>
      </c>
      <c r="M1348" s="23"/>
      <c r="N1348" s="23"/>
      <c r="O1348" s="23"/>
    </row>
    <row r="1349" customFormat="false" ht="15" hidden="false" customHeight="true" outlineLevel="0" collapsed="false">
      <c r="C1349" s="27" t="s">
        <v>1007</v>
      </c>
      <c r="D1349" s="28" t="n">
        <v>1</v>
      </c>
      <c r="H1349" s="29" t="n">
        <f aca="false">IF(COUNT(D1349:G1349)=0,0,D1349*IF(E1349="",1,E1349)*IF(F1349="",1,F1349)*IF(G1349="",1,G1349))</f>
        <v>1</v>
      </c>
      <c r="M1349" s="23"/>
      <c r="N1349" s="23"/>
      <c r="O1349" s="23"/>
    </row>
    <row r="1350" customFormat="false" ht="15" hidden="false" customHeight="true" outlineLevel="0" collapsed="false">
      <c r="H1350" s="30"/>
      <c r="I1350" s="31" t="n">
        <f aca="false">ROUND(SUM(H1349:H1349),2)</f>
        <v>1</v>
      </c>
      <c r="J1350" s="32" t="n">
        <v>10.06</v>
      </c>
      <c r="K1350" s="31" t="n">
        <f aca="false">ROUND(I1350*J1350,2)</f>
        <v>10.06</v>
      </c>
      <c r="L1350" s="33" t="s">
        <v>122</v>
      </c>
      <c r="M1350" s="23" t="s">
        <v>123</v>
      </c>
      <c r="N1350" s="23" t="s">
        <v>75</v>
      </c>
      <c r="O1350" s="23" t="s">
        <v>1100</v>
      </c>
    </row>
    <row r="1351" customFormat="false" ht="15" hidden="false" customHeight="true" outlineLevel="0" collapsed="false">
      <c r="A1351" s="3" t="s">
        <v>1207</v>
      </c>
      <c r="B1351" s="3" t="s">
        <v>103</v>
      </c>
      <c r="C1351" s="3" t="s">
        <v>1208</v>
      </c>
      <c r="M1351" s="23"/>
      <c r="N1351" s="23"/>
      <c r="O1351" s="23"/>
    </row>
    <row r="1352" customFormat="false" ht="36" hidden="false" customHeight="true" outlineLevel="0" collapsed="false">
      <c r="C1352" s="26" t="s">
        <v>1209</v>
      </c>
      <c r="M1352" s="23"/>
      <c r="N1352" s="23"/>
      <c r="O1352" s="23"/>
    </row>
    <row r="1353" customFormat="false" ht="15" hidden="false" customHeight="true" outlineLevel="0" collapsed="false">
      <c r="C1353" s="27" t="s">
        <v>1007</v>
      </c>
      <c r="D1353" s="28" t="n">
        <v>1</v>
      </c>
      <c r="H1353" s="29" t="n">
        <f aca="false">IF(COUNT(D1353:G1353)=0,0,D1353*IF(E1353="",1,E1353)*IF(F1353="",1,F1353)*IF(G1353="",1,G1353))</f>
        <v>1</v>
      </c>
      <c r="M1353" s="23"/>
      <c r="N1353" s="23"/>
      <c r="O1353" s="23"/>
    </row>
    <row r="1354" customFormat="false" ht="15" hidden="false" customHeight="true" outlineLevel="0" collapsed="false">
      <c r="H1354" s="30"/>
      <c r="I1354" s="31" t="n">
        <f aca="false">ROUND(SUM(H1353:H1353),2)</f>
        <v>1</v>
      </c>
      <c r="J1354" s="32" t="n">
        <v>0.49</v>
      </c>
      <c r="K1354" s="31" t="n">
        <f aca="false">ROUND(I1354*J1354,2)</f>
        <v>0.49</v>
      </c>
      <c r="L1354" s="33" t="s">
        <v>122</v>
      </c>
      <c r="M1354" s="23" t="s">
        <v>123</v>
      </c>
      <c r="N1354" s="23" t="s">
        <v>75</v>
      </c>
      <c r="O1354" s="23" t="s">
        <v>1100</v>
      </c>
    </row>
    <row r="1355" customFormat="false" ht="15" hidden="false" customHeight="true" outlineLevel="0" collapsed="false">
      <c r="A1355" s="3" t="s">
        <v>1210</v>
      </c>
      <c r="B1355" s="3" t="s">
        <v>103</v>
      </c>
      <c r="C1355" s="3" t="s">
        <v>1211</v>
      </c>
      <c r="M1355" s="23"/>
      <c r="N1355" s="23"/>
      <c r="O1355" s="23"/>
    </row>
    <row r="1356" customFormat="false" ht="36" hidden="false" customHeight="true" outlineLevel="0" collapsed="false">
      <c r="C1356" s="26" t="s">
        <v>1212</v>
      </c>
      <c r="M1356" s="23"/>
      <c r="N1356" s="23"/>
      <c r="O1356" s="23"/>
    </row>
    <row r="1357" customFormat="false" ht="15" hidden="false" customHeight="true" outlineLevel="0" collapsed="false">
      <c r="C1357" s="27" t="s">
        <v>1007</v>
      </c>
      <c r="D1357" s="28" t="n">
        <v>2</v>
      </c>
      <c r="H1357" s="29" t="n">
        <f aca="false">IF(COUNT(D1357:G1357)=0,0,D1357*IF(E1357="",1,E1357)*IF(F1357="",1,F1357)*IF(G1357="",1,G1357))</f>
        <v>2</v>
      </c>
      <c r="M1357" s="23"/>
      <c r="N1357" s="23"/>
      <c r="O1357" s="23"/>
    </row>
    <row r="1358" customFormat="false" ht="15" hidden="false" customHeight="true" outlineLevel="0" collapsed="false">
      <c r="H1358" s="30"/>
      <c r="I1358" s="31" t="n">
        <f aca="false">ROUND(SUM(H1357:H1357),2)</f>
        <v>2</v>
      </c>
      <c r="J1358" s="32" t="n">
        <v>4.62</v>
      </c>
      <c r="K1358" s="31" t="n">
        <f aca="false">ROUND(I1358*J1358,2)</f>
        <v>9.24</v>
      </c>
      <c r="L1358" s="33" t="s">
        <v>122</v>
      </c>
      <c r="M1358" s="23" t="s">
        <v>123</v>
      </c>
      <c r="N1358" s="23" t="s">
        <v>75</v>
      </c>
      <c r="O1358" s="23" t="s">
        <v>1100</v>
      </c>
    </row>
    <row r="1359" customFormat="false" ht="15" hidden="false" customHeight="true" outlineLevel="0" collapsed="false">
      <c r="A1359" s="3" t="s">
        <v>1213</v>
      </c>
      <c r="B1359" s="3" t="s">
        <v>103</v>
      </c>
      <c r="C1359" s="3" t="s">
        <v>1214</v>
      </c>
      <c r="M1359" s="23"/>
      <c r="N1359" s="23"/>
      <c r="O1359" s="23"/>
    </row>
    <row r="1360" customFormat="false" ht="36" hidden="false" customHeight="true" outlineLevel="0" collapsed="false">
      <c r="C1360" s="26" t="s">
        <v>1215</v>
      </c>
      <c r="M1360" s="23"/>
      <c r="N1360" s="23"/>
      <c r="O1360" s="23"/>
    </row>
    <row r="1361" customFormat="false" ht="15" hidden="false" customHeight="true" outlineLevel="0" collapsed="false">
      <c r="C1361" s="27" t="s">
        <v>1007</v>
      </c>
      <c r="D1361" s="28" t="n">
        <v>5</v>
      </c>
      <c r="H1361" s="29" t="n">
        <f aca="false">IF(COUNT(D1361:G1361)=0,0,D1361*IF(E1361="",1,E1361)*IF(F1361="",1,F1361)*IF(G1361="",1,G1361))</f>
        <v>5</v>
      </c>
      <c r="M1361" s="23"/>
      <c r="N1361" s="23"/>
      <c r="O1361" s="23"/>
    </row>
    <row r="1362" customFormat="false" ht="15" hidden="false" customHeight="true" outlineLevel="0" collapsed="false">
      <c r="H1362" s="30"/>
      <c r="I1362" s="31" t="n">
        <f aca="false">ROUND(SUM(H1361:H1361),2)</f>
        <v>5</v>
      </c>
      <c r="J1362" s="32" t="n">
        <v>4.14</v>
      </c>
      <c r="K1362" s="31" t="n">
        <f aca="false">ROUND(I1362*J1362,2)</f>
        <v>20.7</v>
      </c>
      <c r="L1362" s="33" t="s">
        <v>122</v>
      </c>
      <c r="M1362" s="23" t="s">
        <v>123</v>
      </c>
      <c r="N1362" s="23" t="s">
        <v>75</v>
      </c>
      <c r="O1362" s="23" t="s">
        <v>1100</v>
      </c>
    </row>
    <row r="1363" customFormat="false" ht="15" hidden="false" customHeight="true" outlineLevel="0" collapsed="false">
      <c r="A1363" s="3" t="s">
        <v>1216</v>
      </c>
      <c r="B1363" s="3" t="s">
        <v>103</v>
      </c>
      <c r="C1363" s="3" t="s">
        <v>1217</v>
      </c>
      <c r="M1363" s="23"/>
      <c r="N1363" s="23"/>
      <c r="O1363" s="23"/>
    </row>
    <row r="1364" customFormat="false" ht="36" hidden="false" customHeight="true" outlineLevel="0" collapsed="false">
      <c r="C1364" s="26" t="s">
        <v>1218</v>
      </c>
      <c r="M1364" s="23"/>
      <c r="N1364" s="23"/>
      <c r="O1364" s="23"/>
    </row>
    <row r="1365" customFormat="false" ht="15" hidden="false" customHeight="true" outlineLevel="0" collapsed="false">
      <c r="C1365" s="27" t="s">
        <v>1007</v>
      </c>
      <c r="D1365" s="28" t="n">
        <v>5</v>
      </c>
      <c r="H1365" s="29" t="n">
        <f aca="false">IF(COUNT(D1365:G1365)=0,0,D1365*IF(E1365="",1,E1365)*IF(F1365="",1,F1365)*IF(G1365="",1,G1365))</f>
        <v>5</v>
      </c>
      <c r="M1365" s="23"/>
      <c r="N1365" s="23"/>
      <c r="O1365" s="23"/>
    </row>
    <row r="1366" customFormat="false" ht="15" hidden="false" customHeight="true" outlineLevel="0" collapsed="false">
      <c r="H1366" s="30"/>
      <c r="I1366" s="31" t="n">
        <f aca="false">ROUND(SUM(H1365:H1365),2)</f>
        <v>5</v>
      </c>
      <c r="J1366" s="32" t="n">
        <v>3.58</v>
      </c>
      <c r="K1366" s="31" t="n">
        <f aca="false">ROUND(I1366*J1366,2)</f>
        <v>17.9</v>
      </c>
      <c r="L1366" s="33" t="s">
        <v>122</v>
      </c>
      <c r="M1366" s="23" t="s">
        <v>123</v>
      </c>
      <c r="N1366" s="23" t="s">
        <v>75</v>
      </c>
      <c r="O1366" s="23" t="s">
        <v>1100</v>
      </c>
    </row>
    <row r="1367" customFormat="false" ht="15" hidden="false" customHeight="true" outlineLevel="0" collapsed="false">
      <c r="A1367" s="3" t="s">
        <v>1219</v>
      </c>
      <c r="B1367" s="3" t="s">
        <v>103</v>
      </c>
      <c r="C1367" s="3" t="s">
        <v>1220</v>
      </c>
      <c r="M1367" s="23"/>
      <c r="N1367" s="23"/>
      <c r="O1367" s="23"/>
    </row>
    <row r="1368" customFormat="false" ht="36" hidden="false" customHeight="true" outlineLevel="0" collapsed="false">
      <c r="C1368" s="26" t="s">
        <v>1221</v>
      </c>
      <c r="M1368" s="23"/>
      <c r="N1368" s="23"/>
      <c r="O1368" s="23"/>
    </row>
    <row r="1369" customFormat="false" ht="15" hidden="false" customHeight="true" outlineLevel="0" collapsed="false">
      <c r="C1369" s="27" t="s">
        <v>1007</v>
      </c>
      <c r="D1369" s="28" t="n">
        <v>1</v>
      </c>
      <c r="H1369" s="29" t="n">
        <f aca="false">IF(COUNT(D1369:G1369)=0,0,D1369*IF(E1369="",1,E1369)*IF(F1369="",1,F1369)*IF(G1369="",1,G1369))</f>
        <v>1</v>
      </c>
      <c r="M1369" s="23"/>
      <c r="N1369" s="23"/>
      <c r="O1369" s="23"/>
    </row>
    <row r="1370" customFormat="false" ht="15" hidden="false" customHeight="true" outlineLevel="0" collapsed="false">
      <c r="H1370" s="30"/>
      <c r="I1370" s="31" t="n">
        <f aca="false">ROUND(SUM(H1369:H1369),2)</f>
        <v>1</v>
      </c>
      <c r="J1370" s="32" t="n">
        <v>1.72</v>
      </c>
      <c r="K1370" s="31" t="n">
        <f aca="false">ROUND(I1370*J1370,2)</f>
        <v>1.72</v>
      </c>
      <c r="L1370" s="33" t="s">
        <v>122</v>
      </c>
      <c r="M1370" s="23" t="s">
        <v>123</v>
      </c>
      <c r="N1370" s="23" t="s">
        <v>75</v>
      </c>
      <c r="O1370" s="23" t="s">
        <v>1100</v>
      </c>
    </row>
    <row r="1371" customFormat="false" ht="15" hidden="false" customHeight="true" outlineLevel="0" collapsed="false">
      <c r="A1371" s="3" t="s">
        <v>1222</v>
      </c>
      <c r="B1371" s="3" t="s">
        <v>103</v>
      </c>
      <c r="C1371" s="3" t="s">
        <v>1223</v>
      </c>
      <c r="M1371" s="23"/>
      <c r="N1371" s="23"/>
      <c r="O1371" s="23"/>
    </row>
    <row r="1372" customFormat="false" ht="36" hidden="false" customHeight="true" outlineLevel="0" collapsed="false">
      <c r="C1372" s="26" t="s">
        <v>1224</v>
      </c>
      <c r="M1372" s="23"/>
      <c r="N1372" s="23"/>
      <c r="O1372" s="23"/>
    </row>
    <row r="1373" customFormat="false" ht="15" hidden="false" customHeight="true" outlineLevel="0" collapsed="false">
      <c r="C1373" s="27" t="s">
        <v>1007</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3.04</v>
      </c>
      <c r="K1374" s="31" t="n">
        <f aca="false">ROUND(I1374*J1374,2)</f>
        <v>3.04</v>
      </c>
      <c r="L1374" s="33" t="s">
        <v>122</v>
      </c>
      <c r="M1374" s="23" t="s">
        <v>123</v>
      </c>
      <c r="N1374" s="23" t="s">
        <v>75</v>
      </c>
      <c r="O1374" s="23" t="s">
        <v>1100</v>
      </c>
    </row>
    <row r="1375" customFormat="false" ht="15" hidden="false" customHeight="true" outlineLevel="0" collapsed="false">
      <c r="A1375" s="3" t="s">
        <v>1225</v>
      </c>
      <c r="B1375" s="3" t="s">
        <v>103</v>
      </c>
      <c r="C1375" s="3" t="s">
        <v>1226</v>
      </c>
      <c r="M1375" s="23"/>
      <c r="N1375" s="23"/>
      <c r="O1375" s="23"/>
    </row>
    <row r="1376" customFormat="false" ht="36" hidden="false" customHeight="true" outlineLevel="0" collapsed="false">
      <c r="C1376" s="26" t="s">
        <v>1227</v>
      </c>
      <c r="M1376" s="23"/>
      <c r="N1376" s="23"/>
      <c r="O1376" s="23"/>
    </row>
    <row r="1377" customFormat="false" ht="15" hidden="false" customHeight="true" outlineLevel="0" collapsed="false">
      <c r="C1377" s="27" t="s">
        <v>1007</v>
      </c>
      <c r="D1377" s="28" t="n">
        <v>6</v>
      </c>
      <c r="H1377" s="29" t="n">
        <f aca="false">IF(COUNT(D1377:G1377)=0,0,D1377*IF(E1377="",1,E1377)*IF(F1377="",1,F1377)*IF(G1377="",1,G1377))</f>
        <v>6</v>
      </c>
      <c r="M1377" s="23"/>
      <c r="N1377" s="23"/>
      <c r="O1377" s="23"/>
    </row>
    <row r="1378" customFormat="false" ht="15" hidden="false" customHeight="true" outlineLevel="0" collapsed="false">
      <c r="H1378" s="30"/>
      <c r="I1378" s="31" t="n">
        <f aca="false">ROUND(SUM(H1377:H1377),2)</f>
        <v>6</v>
      </c>
      <c r="J1378" s="32" t="n">
        <v>0.18</v>
      </c>
      <c r="K1378" s="31" t="n">
        <f aca="false">ROUND(I1378*J1378,2)</f>
        <v>1.08</v>
      </c>
      <c r="L1378" s="33" t="s">
        <v>122</v>
      </c>
      <c r="M1378" s="23" t="s">
        <v>123</v>
      </c>
      <c r="N1378" s="23" t="s">
        <v>75</v>
      </c>
      <c r="O1378" s="23" t="s">
        <v>1100</v>
      </c>
    </row>
    <row r="1379" customFormat="false" ht="15" hidden="false" customHeight="true" outlineLevel="0" collapsed="false">
      <c r="A1379" s="3" t="s">
        <v>1228</v>
      </c>
      <c r="B1379" s="3" t="s">
        <v>103</v>
      </c>
      <c r="C1379" s="3" t="s">
        <v>1229</v>
      </c>
      <c r="M1379" s="23"/>
      <c r="N1379" s="23"/>
      <c r="O1379" s="23"/>
    </row>
    <row r="1380" customFormat="false" ht="36" hidden="false" customHeight="true" outlineLevel="0" collapsed="false">
      <c r="C1380" s="26" t="s">
        <v>1230</v>
      </c>
      <c r="M1380" s="23"/>
      <c r="N1380" s="23"/>
      <c r="O1380" s="23"/>
    </row>
    <row r="1381" customFormat="false" ht="15" hidden="false" customHeight="true" outlineLevel="0" collapsed="false">
      <c r="C1381" s="27" t="s">
        <v>1007</v>
      </c>
      <c r="D1381" s="28" t="n">
        <v>1</v>
      </c>
      <c r="H1381" s="29" t="n">
        <f aca="false">IF(COUNT(D1381:G1381)=0,0,D1381*IF(E1381="",1,E1381)*IF(F1381="",1,F1381)*IF(G1381="",1,G1381))</f>
        <v>1</v>
      </c>
      <c r="M1381" s="23"/>
      <c r="N1381" s="23"/>
      <c r="O1381" s="23"/>
    </row>
    <row r="1382" customFormat="false" ht="15" hidden="false" customHeight="true" outlineLevel="0" collapsed="false">
      <c r="H1382" s="30"/>
      <c r="I1382" s="31" t="n">
        <f aca="false">ROUND(SUM(H1381:H1381),2)</f>
        <v>1</v>
      </c>
      <c r="J1382" s="32" t="n">
        <v>0.26</v>
      </c>
      <c r="K1382" s="31" t="n">
        <f aca="false">ROUND(I1382*J1382,2)</f>
        <v>0.26</v>
      </c>
      <c r="L1382" s="33" t="s">
        <v>122</v>
      </c>
      <c r="M1382" s="23" t="s">
        <v>123</v>
      </c>
      <c r="N1382" s="23" t="s">
        <v>75</v>
      </c>
      <c r="O1382" s="23" t="s">
        <v>1100</v>
      </c>
    </row>
    <row r="1383" customFormat="false" ht="15" hidden="false" customHeight="true" outlineLevel="0" collapsed="false">
      <c r="A1383" s="3" t="s">
        <v>1231</v>
      </c>
      <c r="C1383" s="3" t="s">
        <v>1232</v>
      </c>
      <c r="M1383" s="23" t="s">
        <v>291</v>
      </c>
      <c r="N1383" s="23" t="s">
        <v>75</v>
      </c>
      <c r="O1383" s="23" t="s">
        <v>1231</v>
      </c>
    </row>
    <row r="1384" customFormat="false" ht="15" hidden="false" customHeight="true" outlineLevel="0" collapsed="false">
      <c r="A1384" s="3" t="s">
        <v>1233</v>
      </c>
      <c r="B1384" s="3" t="s">
        <v>103</v>
      </c>
      <c r="C1384" s="3" t="s">
        <v>1234</v>
      </c>
      <c r="M1384" s="23"/>
      <c r="N1384" s="23"/>
      <c r="O1384" s="23"/>
    </row>
    <row r="1385" customFormat="false" ht="72" hidden="false" customHeight="true" outlineLevel="0" collapsed="false">
      <c r="C1385" s="26" t="s">
        <v>1235</v>
      </c>
      <c r="M1385" s="23"/>
      <c r="N1385" s="23"/>
      <c r="O1385" s="23"/>
    </row>
    <row r="1386" customFormat="false" ht="15" hidden="false" customHeight="true" outlineLevel="0" collapsed="false">
      <c r="C1386" s="27" t="s">
        <v>1007</v>
      </c>
      <c r="D1386" s="28" t="n">
        <v>1</v>
      </c>
      <c r="H1386" s="29" t="n">
        <f aca="false">IF(COUNT(D1386:G1386)=0,0,D1386*IF(E1386="",1,E1386)*IF(F1386="",1,F1386)*IF(G1386="",1,G1386))</f>
        <v>1</v>
      </c>
      <c r="M1386" s="23"/>
      <c r="N1386" s="23"/>
      <c r="O1386" s="23"/>
    </row>
    <row r="1387" customFormat="false" ht="15" hidden="false" customHeight="true" outlineLevel="0" collapsed="false">
      <c r="H1387" s="30"/>
      <c r="I1387" s="31" t="n">
        <f aca="false">ROUND(SUM(H1386:H1386),2)</f>
        <v>1</v>
      </c>
      <c r="J1387" s="32" t="n">
        <v>27.62</v>
      </c>
      <c r="K1387" s="31" t="n">
        <f aca="false">ROUND(I1387*J1387,2)</f>
        <v>27.62</v>
      </c>
      <c r="L1387" s="33" t="s">
        <v>122</v>
      </c>
      <c r="M1387" s="23" t="s">
        <v>123</v>
      </c>
      <c r="N1387" s="23" t="s">
        <v>75</v>
      </c>
      <c r="O1387" s="23" t="s">
        <v>1231</v>
      </c>
    </row>
    <row r="1388" customFormat="false" ht="15" hidden="false" customHeight="true" outlineLevel="0" collapsed="false">
      <c r="A1388" s="3" t="s">
        <v>1236</v>
      </c>
      <c r="B1388" s="3" t="s">
        <v>103</v>
      </c>
      <c r="C1388" s="3" t="s">
        <v>1237</v>
      </c>
      <c r="M1388" s="23"/>
      <c r="N1388" s="23"/>
      <c r="O1388" s="23"/>
    </row>
    <row r="1389" customFormat="false" ht="60" hidden="false" customHeight="true" outlineLevel="0" collapsed="false">
      <c r="C1389" s="26" t="s">
        <v>1238</v>
      </c>
      <c r="M1389" s="23"/>
      <c r="N1389" s="23"/>
      <c r="O1389" s="23"/>
    </row>
    <row r="1390" customFormat="false" ht="15" hidden="false" customHeight="true" outlineLevel="0" collapsed="false">
      <c r="C1390" s="27" t="s">
        <v>1007</v>
      </c>
      <c r="D1390" s="28" t="n">
        <v>3</v>
      </c>
      <c r="H1390" s="29" t="n">
        <f aca="false">IF(COUNT(D1390:G1390)=0,0,D1390*IF(E1390="",1,E1390)*IF(F1390="",1,F1390)*IF(G1390="",1,G1390))</f>
        <v>3</v>
      </c>
      <c r="M1390" s="23"/>
      <c r="N1390" s="23"/>
      <c r="O1390" s="23"/>
    </row>
    <row r="1391" customFormat="false" ht="15" hidden="false" customHeight="true" outlineLevel="0" collapsed="false">
      <c r="H1391" s="30"/>
      <c r="I1391" s="31" t="n">
        <f aca="false">ROUND(SUM(H1390:H1390),2)</f>
        <v>3</v>
      </c>
      <c r="J1391" s="32" t="n">
        <v>31.56</v>
      </c>
      <c r="K1391" s="31" t="n">
        <f aca="false">ROUND(I1391*J1391,2)</f>
        <v>94.68</v>
      </c>
      <c r="L1391" s="33" t="s">
        <v>122</v>
      </c>
      <c r="M1391" s="23" t="s">
        <v>123</v>
      </c>
      <c r="N1391" s="23" t="s">
        <v>75</v>
      </c>
      <c r="O1391" s="23" t="s">
        <v>1231</v>
      </c>
    </row>
    <row r="1392" customFormat="false" ht="15" hidden="false" customHeight="true" outlineLevel="0" collapsed="false">
      <c r="A1392" s="3" t="s">
        <v>1239</v>
      </c>
      <c r="C1392" s="3" t="s">
        <v>1240</v>
      </c>
      <c r="M1392" s="23" t="s">
        <v>291</v>
      </c>
      <c r="N1392" s="23" t="s">
        <v>75</v>
      </c>
      <c r="O1392" s="23" t="s">
        <v>1239</v>
      </c>
    </row>
    <row r="1393" customFormat="false" ht="15" hidden="false" customHeight="true" outlineLevel="0" collapsed="false">
      <c r="A1393" s="3" t="s">
        <v>1241</v>
      </c>
      <c r="B1393" s="3" t="s">
        <v>140</v>
      </c>
      <c r="C1393" s="3" t="s">
        <v>1242</v>
      </c>
      <c r="M1393" s="23"/>
      <c r="N1393" s="23"/>
      <c r="O1393" s="23"/>
    </row>
    <row r="1394" customFormat="false" ht="48" hidden="false" customHeight="true" outlineLevel="0" collapsed="false">
      <c r="C1394" s="26" t="s">
        <v>1243</v>
      </c>
      <c r="M1394" s="23"/>
      <c r="N1394" s="23"/>
      <c r="O1394" s="23"/>
    </row>
    <row r="1395" customFormat="false" ht="15" hidden="false" customHeight="true" outlineLevel="0" collapsed="false">
      <c r="C1395" s="27" t="s">
        <v>1007</v>
      </c>
      <c r="D1395" s="28" t="n">
        <v>20</v>
      </c>
      <c r="H1395" s="29" t="n">
        <f aca="false">IF(COUNT(D1395:G1395)=0,0,D1395*IF(E1395="",1,E1395)*IF(F1395="",1,F1395)*IF(G1395="",1,G1395))</f>
        <v>20</v>
      </c>
      <c r="M1395" s="23"/>
      <c r="N1395" s="23"/>
      <c r="O1395" s="23"/>
    </row>
    <row r="1396" customFormat="false" ht="15" hidden="false" customHeight="true" outlineLevel="0" collapsed="false">
      <c r="H1396" s="30"/>
      <c r="I1396" s="31" t="n">
        <f aca="false">ROUND(SUM(H1395:H1395),2)</f>
        <v>20</v>
      </c>
      <c r="J1396" s="32" t="n">
        <v>0.95</v>
      </c>
      <c r="K1396" s="31" t="n">
        <f aca="false">ROUND(I1396*J1396,2)</f>
        <v>19</v>
      </c>
      <c r="L1396" s="33" t="s">
        <v>122</v>
      </c>
      <c r="M1396" s="23" t="s">
        <v>123</v>
      </c>
      <c r="N1396" s="23" t="s">
        <v>75</v>
      </c>
      <c r="O1396" s="23" t="s">
        <v>1239</v>
      </c>
    </row>
    <row r="1397" customFormat="false" ht="15" hidden="false" customHeight="true" outlineLevel="0" collapsed="false">
      <c r="A1397" s="3" t="s">
        <v>1244</v>
      </c>
      <c r="B1397" s="3" t="s">
        <v>140</v>
      </c>
      <c r="C1397" s="3" t="s">
        <v>1245</v>
      </c>
      <c r="M1397" s="23"/>
      <c r="N1397" s="23"/>
      <c r="O1397" s="23"/>
    </row>
    <row r="1398" customFormat="false" ht="108" hidden="false" customHeight="true" outlineLevel="0" collapsed="false">
      <c r="C1398" s="26" t="s">
        <v>1246</v>
      </c>
      <c r="M1398" s="23"/>
      <c r="N1398" s="23"/>
      <c r="O1398" s="23"/>
    </row>
    <row r="1399" customFormat="false" ht="15" hidden="false" customHeight="true" outlineLevel="0" collapsed="false">
      <c r="C1399" s="27" t="s">
        <v>1007</v>
      </c>
      <c r="D1399" s="28" t="n">
        <v>12</v>
      </c>
      <c r="H1399" s="29" t="n">
        <f aca="false">IF(COUNT(D1399:G1399)=0,0,D1399*IF(E1399="",1,E1399)*IF(F1399="",1,F1399)*IF(G1399="",1,G1399))</f>
        <v>12</v>
      </c>
      <c r="M1399" s="23"/>
      <c r="N1399" s="23"/>
      <c r="O1399" s="23"/>
    </row>
    <row r="1400" customFormat="false" ht="15" hidden="false" customHeight="true" outlineLevel="0" collapsed="false">
      <c r="H1400" s="30"/>
      <c r="I1400" s="31" t="n">
        <f aca="false">ROUND(SUM(H1399:H1399),2)</f>
        <v>12</v>
      </c>
      <c r="J1400" s="32" t="n">
        <v>11.84</v>
      </c>
      <c r="K1400" s="31" t="n">
        <f aca="false">ROUND(I1400*J1400,2)</f>
        <v>142.08</v>
      </c>
      <c r="L1400" s="33" t="s">
        <v>122</v>
      </c>
      <c r="M1400" s="23" t="s">
        <v>123</v>
      </c>
      <c r="N1400" s="23" t="s">
        <v>75</v>
      </c>
      <c r="O1400" s="23" t="s">
        <v>1239</v>
      </c>
    </row>
    <row r="1401" customFormat="false" ht="15" hidden="false" customHeight="true" outlineLevel="0" collapsed="false">
      <c r="A1401" s="3" t="s">
        <v>1247</v>
      </c>
      <c r="B1401" s="3" t="s">
        <v>103</v>
      </c>
      <c r="C1401" s="3" t="s">
        <v>1248</v>
      </c>
      <c r="M1401" s="23"/>
      <c r="N1401" s="23"/>
      <c r="O1401" s="23"/>
    </row>
    <row r="1402" customFormat="false" ht="60" hidden="false" customHeight="true" outlineLevel="0" collapsed="false">
      <c r="C1402" s="26" t="s">
        <v>1249</v>
      </c>
      <c r="M1402" s="23"/>
      <c r="N1402" s="23"/>
      <c r="O1402" s="23"/>
    </row>
    <row r="1403" customFormat="false" ht="15" hidden="false" customHeight="true" outlineLevel="0" collapsed="false">
      <c r="C1403" s="27" t="s">
        <v>1007</v>
      </c>
      <c r="D1403" s="28" t="n">
        <v>1</v>
      </c>
      <c r="H1403" s="29" t="n">
        <f aca="false">IF(COUNT(D1403:G1403)=0,0,D1403*IF(E1403="",1,E1403)*IF(F1403="",1,F1403)*IF(G1403="",1,G1403))</f>
        <v>1</v>
      </c>
      <c r="M1403" s="23"/>
      <c r="N1403" s="23"/>
      <c r="O1403" s="23"/>
    </row>
    <row r="1404" customFormat="false" ht="15" hidden="false" customHeight="true" outlineLevel="0" collapsed="false">
      <c r="H1404" s="30"/>
      <c r="I1404" s="31" t="n">
        <f aca="false">ROUND(SUM(H1403:H1403),2)</f>
        <v>1</v>
      </c>
      <c r="J1404" s="32" t="n">
        <v>18.91</v>
      </c>
      <c r="K1404" s="31" t="n">
        <f aca="false">ROUND(I1404*J1404,2)</f>
        <v>18.91</v>
      </c>
      <c r="L1404" s="33" t="s">
        <v>122</v>
      </c>
      <c r="M1404" s="23" t="s">
        <v>123</v>
      </c>
      <c r="N1404" s="23" t="s">
        <v>75</v>
      </c>
      <c r="O1404" s="23" t="s">
        <v>1239</v>
      </c>
    </row>
    <row r="1405" customFormat="false" ht="15" hidden="false" customHeight="true" outlineLevel="0" collapsed="false">
      <c r="C1405" s="34" t="s">
        <v>1250</v>
      </c>
      <c r="K1405" s="14" t="n">
        <f aca="false">SUMIFS($K$5:$K$1404,$M$5:$M$1404,"P",$N$5:$N$1404,"20")</f>
        <v>4095.6</v>
      </c>
      <c r="M1405" s="23"/>
      <c r="N1405" s="23"/>
      <c r="O1405" s="23"/>
    </row>
    <row r="1406" customFormat="false" ht="15" hidden="false" customHeight="true" outlineLevel="0" collapsed="false">
      <c r="M1406" s="23"/>
      <c r="N1406" s="23"/>
      <c r="O1406" s="23"/>
    </row>
    <row r="1407" customFormat="false" ht="15" hidden="false" customHeight="true" outlineLevel="0" collapsed="false">
      <c r="M1407" s="23"/>
      <c r="N1407" s="23"/>
      <c r="O1407" s="23"/>
    </row>
    <row r="1408" customFormat="false" ht="15" hidden="false" customHeight="true" outlineLevel="0" collapsed="false"/>
    <row r="1409" customFormat="false" ht="15" hidden="false" customHeight="true" outlineLevel="0" collapsed="false"/>
    <row r="1410" customFormat="false" ht="15" hidden="false" customHeight="true" outlineLevel="0" collapsed="false"/>
    <row r="1411" customFormat="false" ht="15" hidden="false" customHeight="true" outlineLevel="0" collapsed="false"/>
    <row r="1412" customFormat="false" ht="15" hidden="false" customHeight="true" outlineLevel="0" collapsed="false"/>
    <row r="1413" customFormat="false" ht="15" hidden="false" customHeight="true" outlineLevel="0" collapsed="false"/>
    <row r="1414" customFormat="false" ht="15" hidden="false" customHeight="true" outlineLevel="0" collapsed="false"/>
    <row r="1415"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1251</v>
      </c>
    </row>
    <row r="3" customFormat="false" ht="42" hidden="false" customHeight="true" outlineLevel="0" collapsed="false">
      <c r="A3" s="38" t="s">
        <v>1252</v>
      </c>
      <c r="B3" s="26" t="s">
        <v>1253</v>
      </c>
    </row>
    <row r="4" customFormat="false" ht="13.5" hidden="false" customHeight="true" outlineLevel="0" collapsed="false">
      <c r="A4" s="38" t="s">
        <v>1254</v>
      </c>
      <c r="B4" s="26" t="s">
        <v>1255</v>
      </c>
    </row>
    <row r="5" customFormat="false" ht="27.75" hidden="false" customHeight="true" outlineLevel="0" collapsed="false">
      <c r="A5" s="38" t="s">
        <v>1256</v>
      </c>
      <c r="B5" s="26" t="s">
        <v>1257</v>
      </c>
    </row>
    <row r="6" customFormat="false" ht="42" hidden="false" customHeight="true" outlineLevel="0" collapsed="false">
      <c r="A6" s="38" t="s">
        <v>1258</v>
      </c>
      <c r="B6" s="26" t="s">
        <v>1259</v>
      </c>
    </row>
    <row r="7" customFormat="false" ht="13.5" hidden="false" customHeight="true" outlineLevel="0" collapsed="false">
      <c r="A7" s="38" t="s">
        <v>1260</v>
      </c>
      <c r="B7" s="26" t="s">
        <v>1261</v>
      </c>
    </row>
    <row r="8" customFormat="false" ht="63.75" hidden="false" customHeight="true" outlineLevel="0" collapsed="false">
      <c r="A8" s="38" t="s">
        <v>1262</v>
      </c>
      <c r="B8" s="26" t="s">
        <v>1263</v>
      </c>
    </row>
    <row r="9" customFormat="false" ht="63.75" hidden="false" customHeight="true" outlineLevel="0" collapsed="false">
      <c r="A9" s="38" t="s">
        <v>1264</v>
      </c>
      <c r="B9" s="26" t="s">
        <v>1265</v>
      </c>
    </row>
    <row r="10" customFormat="false" ht="102" hidden="false" customHeight="true" outlineLevel="0" collapsed="false">
      <c r="A10" s="38" t="s">
        <v>1266</v>
      </c>
      <c r="B10" s="26" t="s">
        <v>1267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1268</v>
      </c>
    </row>
    <row r="2" customFormat="false" ht="15" hidden="false" customHeight="true" outlineLevel="0" collapsed="false">
      <c r="A2" s="11" t="s">
        <v>1269</v>
      </c>
    </row>
    <row r="3" customFormat="false" ht="15" hidden="false" customHeight="true" outlineLevel="0" collapsed="false">
      <c r="A3" s="11" t="s">
        <v>1270</v>
      </c>
    </row>
    <row r="5" customFormat="false" ht="21.75" hidden="false" customHeight="true" outlineLevel="0" collapsed="false">
      <c r="A5" s="40" t="s">
        <v>102</v>
      </c>
      <c r="B5" s="40" t="s">
        <v>103</v>
      </c>
      <c r="C5" s="40" t="s">
        <v>4</v>
      </c>
      <c r="D5" s="40" t="s">
        <v>1271</v>
      </c>
      <c r="E5" s="40" t="s">
        <v>1272</v>
      </c>
      <c r="F5" s="40" t="s">
        <v>1273</v>
      </c>
      <c r="G5" s="40" t="s">
        <v>1274</v>
      </c>
      <c r="H5" s="40" t="s">
        <v>110</v>
      </c>
      <c r="I5" s="40" t="s">
        <v>1275</v>
      </c>
      <c r="J5" s="40" t="s">
        <v>1276</v>
      </c>
      <c r="K5" s="40" t="s">
        <v>1277</v>
      </c>
      <c r="L5" s="40" t="s">
        <v>1278</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27.71</v>
      </c>
      <c r="F6" s="29" t="n">
        <f aca="false">E6-D6</f>
        <v>7.64</v>
      </c>
      <c r="G6" s="43" t="n">
        <f aca="false">IF(D6=0,"-",F6/D6)</f>
        <v>0.380667663178874</v>
      </c>
      <c r="H6" s="44" t="n">
        <f aca="false">Presupuesto!J227</f>
        <v>365.9</v>
      </c>
      <c r="I6" s="29" t="n">
        <f aca="false">ROUND(D6*H6,2)</f>
        <v>7343.61</v>
      </c>
      <c r="J6" s="44" t="n">
        <f aca="false">Presupuesto!K227</f>
        <v>10139.09</v>
      </c>
      <c r="K6" s="29" t="n">
        <f aca="false">J6-I6</f>
        <v>2795.48</v>
      </c>
      <c r="L6" s="26" t="s">
        <v>1279</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109.16</v>
      </c>
      <c r="F7" s="29" t="n">
        <f aca="false">E7-D7</f>
        <v>-1.84</v>
      </c>
      <c r="G7" s="43" t="n">
        <f aca="false">IF(D7=0,"-",F7/D7)</f>
        <v>-0.0165765765765766</v>
      </c>
      <c r="H7" s="44" t="n">
        <f aca="false">Presupuesto!J235</f>
        <v>60.2</v>
      </c>
      <c r="I7" s="29" t="n">
        <f aca="false">ROUND(D7*H7,2)</f>
        <v>6682.2</v>
      </c>
      <c r="J7" s="44" t="n">
        <f aca="false">Presupuesto!K235</f>
        <v>6571.43</v>
      </c>
      <c r="K7" s="29" t="n">
        <f aca="false">J7-I7</f>
        <v>-110.77</v>
      </c>
      <c r="L7" s="26" t="s">
        <v>1280</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244.83</v>
      </c>
      <c r="F8" s="29" t="n">
        <f aca="false">E8-D8</f>
        <v>6.83000000000001</v>
      </c>
      <c r="G8" s="43" t="n">
        <f aca="false">IF(D8=0,"-",F8/D8)</f>
        <v>0.0286974789915967</v>
      </c>
      <c r="H8" s="44" t="n">
        <f aca="false">Presupuesto!J242</f>
        <v>74</v>
      </c>
      <c r="I8" s="29" t="n">
        <f aca="false">ROUND(D8*H8,2)</f>
        <v>17612</v>
      </c>
      <c r="J8" s="44" t="n">
        <f aca="false">Presupuesto!K242</f>
        <v>18117.42</v>
      </c>
      <c r="K8" s="29" t="n">
        <f aca="false">J8-I8</f>
        <v>505.419999999998</v>
      </c>
      <c r="L8" s="26" t="s">
        <v>1281</v>
      </c>
    </row>
    <row r="9" customFormat="false" ht="21.75" hidden="false" customHeight="true" outlineLevel="0" collapsed="false">
      <c r="A9" s="41" t="str">
        <f aca="false">Presupuesto!A243</f>
        <v>05.02.02</v>
      </c>
      <c r="B9" s="41" t="str">
        <f aca="false">Presupuesto!B243</f>
        <v>m3</v>
      </c>
      <c r="C9" s="41" t="str">
        <f aca="false">Presupuesto!C243</f>
        <v>VIGAS DE HORMIGÓN ARMADO HA-25 (PLANAS Y DESCOLGADAS)</v>
      </c>
      <c r="D9" s="42" t="n">
        <v>0</v>
      </c>
      <c r="E9" s="42" t="n">
        <v>0</v>
      </c>
      <c r="F9" s="29" t="n">
        <f aca="false">E9-D9</f>
        <v>0</v>
      </c>
      <c r="G9" s="43" t="str">
        <f aca="false">IF(D9=0,"-",F9/D9)</f>
        <v>-</v>
      </c>
      <c r="H9" s="44" t="n">
        <f aca="false">Presupuesto!J246</f>
        <v>420</v>
      </c>
      <c r="I9" s="29" t="n">
        <f aca="false">ROUND(D9*H9,2)</f>
        <v>0</v>
      </c>
      <c r="J9" s="44" t="n">
        <f aca="false">Presupuesto!K246</f>
        <v>8051.4</v>
      </c>
      <c r="K9" s="29" t="n">
        <f aca="false">J9-I9</f>
        <v>8051.4</v>
      </c>
      <c r="L9" s="26" t="s">
        <v>1282</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217.53</v>
      </c>
      <c r="F10" s="29" t="n">
        <f aca="false">E10-D10</f>
        <v>19.53</v>
      </c>
      <c r="G10" s="43" t="n">
        <f aca="false">IF(D10=0,"-",F10/D10)</f>
        <v>0.0986363636363637</v>
      </c>
      <c r="H10" s="44" t="n">
        <f aca="false">Presupuesto!J256</f>
        <v>46</v>
      </c>
      <c r="I10" s="29" t="n">
        <f aca="false">ROUND(D10*H10,2)</f>
        <v>9108</v>
      </c>
      <c r="J10" s="44" t="n">
        <f aca="false">Presupuesto!K256</f>
        <v>10006.38</v>
      </c>
      <c r="K10" s="29" t="n">
        <f aca="false">J10-I10</f>
        <v>898.379999999999</v>
      </c>
      <c r="L10" s="26" t="s">
        <v>1283</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82.13</v>
      </c>
      <c r="F11" s="29" t="n">
        <f aca="false">E11-D11</f>
        <v>12.13</v>
      </c>
      <c r="G11" s="43" t="n">
        <f aca="false">IF(D11=0,"-",F11/D11)</f>
        <v>0.173285714285714</v>
      </c>
      <c r="H11" s="44" t="n">
        <f aca="false">Presupuesto!J268</f>
        <v>108</v>
      </c>
      <c r="I11" s="29" t="n">
        <f aca="false">ROUND(D11*H11,2)</f>
        <v>7560</v>
      </c>
      <c r="J11" s="44" t="n">
        <f aca="false">Presupuesto!K268</f>
        <v>8870.04</v>
      </c>
      <c r="K11" s="29" t="n">
        <f aca="false">J11-I11</f>
        <v>1310.04</v>
      </c>
      <c r="L11" s="26" t="s">
        <v>1284</v>
      </c>
    </row>
    <row r="12" customFormat="false" ht="21.75" hidden="false" customHeight="true" outlineLevel="0" collapsed="false">
      <c r="A12" s="41" t="str">
        <f aca="false">Presupuesto!A278</f>
        <v>05.02.10</v>
      </c>
      <c r="B12" s="41" t="str">
        <f aca="false">Presupuesto!B278</f>
        <v>kg</v>
      </c>
      <c r="C12" s="41" t="str">
        <f aca="false">Presupuesto!C278</f>
        <v>ZANCAS DE PLETINA 200×12 S275 DE LA ESCALERA</v>
      </c>
      <c r="D12" s="42" t="n">
        <v>0</v>
      </c>
      <c r="E12" s="42" t="n">
        <v>0</v>
      </c>
      <c r="F12" s="29" t="n">
        <f aca="false">E12-D12</f>
        <v>0</v>
      </c>
      <c r="G12" s="43" t="str">
        <f aca="false">IF(D12=0,"-",F12/D12)</f>
        <v>-</v>
      </c>
      <c r="H12" s="44" t="n">
        <f aca="false">Presupuesto!J281</f>
        <v>3.2</v>
      </c>
      <c r="I12" s="29" t="n">
        <f aca="false">ROUND(D12*H12,2)</f>
        <v>0</v>
      </c>
      <c r="J12" s="44" t="n">
        <f aca="false">Presupuesto!K281</f>
        <v>1376</v>
      </c>
      <c r="K12" s="29" t="n">
        <f aca="false">J12-I12</f>
        <v>1376</v>
      </c>
      <c r="L12" s="26" t="s">
        <v>1285</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11.08</v>
      </c>
      <c r="F13" s="29" t="n">
        <f aca="false">E13-D13</f>
        <v>11.08</v>
      </c>
      <c r="G13" s="43" t="str">
        <f aca="false">IF(D13=0,"-",F13/D13)</f>
        <v>-</v>
      </c>
      <c r="H13" s="44" t="n">
        <f aca="false">Presupuesto!J285</f>
        <v>68</v>
      </c>
      <c r="I13" s="29" t="n">
        <f aca="false">ROUND(D13*H13,2)</f>
        <v>0</v>
      </c>
      <c r="J13" s="44" t="n">
        <f aca="false">Presupuesto!K285</f>
        <v>753.44</v>
      </c>
      <c r="K13" s="29" t="n">
        <f aca="false">J13-I13</f>
        <v>753.44</v>
      </c>
      <c r="L13" s="26" t="s">
        <v>1286</v>
      </c>
    </row>
    <row r="14" customFormat="false" ht="15" hidden="false" customHeight="true" outlineLevel="0" collapsed="false">
      <c r="A14" s="41" t="str">
        <f aca="false">Presupuesto!A293</f>
        <v>06.01</v>
      </c>
      <c r="B14" s="41" t="str">
        <f aca="false">Presupuesto!B293</f>
        <v>m2</v>
      </c>
      <c r="C14" s="41" t="str">
        <f aca="false">Presupuesto!C293</f>
        <v>FÁBRICA DE HORMIGÓN CELULAR YTONG 30 CM, D350 (FACHADAS)</v>
      </c>
      <c r="D14" s="42" t="n">
        <v>85.85</v>
      </c>
      <c r="E14" s="42" t="n">
        <v>83.88</v>
      </c>
      <c r="F14" s="29" t="n">
        <f aca="false">E14-D14</f>
        <v>-1.97</v>
      </c>
      <c r="G14" s="43" t="n">
        <f aca="false">IF(D14=0,"-",F14/D14)</f>
        <v>-0.0229470005824112</v>
      </c>
      <c r="H14" s="44" t="n">
        <f aca="false">Presupuesto!J303</f>
        <v>82</v>
      </c>
      <c r="I14" s="29" t="n">
        <f aca="false">ROUND(D14*H14,2)</f>
        <v>7039.7</v>
      </c>
      <c r="J14" s="44" t="n">
        <f aca="false">Presupuesto!K303</f>
        <v>6878.16</v>
      </c>
      <c r="K14" s="29" t="n">
        <f aca="false">J14-I14</f>
        <v>-161.54</v>
      </c>
      <c r="L14" s="26" t="s">
        <v>1287</v>
      </c>
    </row>
    <row r="15" customFormat="false" ht="15" hidden="false" customHeight="true" outlineLevel="0" collapsed="false">
      <c r="A15" s="41" t="str">
        <f aca="false">Presupuesto!A304</f>
        <v>06.02</v>
      </c>
      <c r="B15" s="41" t="str">
        <f aca="false">Presupuesto!B304</f>
        <v>m2</v>
      </c>
      <c r="C15" s="41" t="str">
        <f aca="false">Presupuesto!C304</f>
        <v>FÁBRICA DE HORMIGÓN CELULAR YTONG 20 CM, D350 (MUROS A PATIO)</v>
      </c>
      <c r="D15" s="42" t="n">
        <v>70.54</v>
      </c>
      <c r="E15" s="42" t="n">
        <v>83.8</v>
      </c>
      <c r="F15" s="29" t="n">
        <f aca="false">E15-D15</f>
        <v>13.26</v>
      </c>
      <c r="G15" s="43" t="n">
        <f aca="false">IF(D15=0,"-",F15/D15)</f>
        <v>0.18797845194216</v>
      </c>
      <c r="H15" s="44" t="n">
        <f aca="false">Presupuesto!J310</f>
        <v>58</v>
      </c>
      <c r="I15" s="29" t="n">
        <f aca="false">ROUND(D15*H15,2)</f>
        <v>4091.32</v>
      </c>
      <c r="J15" s="44" t="n">
        <f aca="false">Presupuesto!K310</f>
        <v>4860.4</v>
      </c>
      <c r="K15" s="29" t="n">
        <f aca="false">J15-I15</f>
        <v>769.08</v>
      </c>
      <c r="L15" s="26" t="s">
        <v>1288</v>
      </c>
    </row>
    <row r="16" customFormat="false" ht="15" hidden="false" customHeight="true" outlineLevel="0" collapsed="false">
      <c r="A16" s="41" t="str">
        <f aca="false">Presupuesto!A311</f>
        <v>06.03</v>
      </c>
      <c r="B16" s="41" t="str">
        <f aca="false">Presupuesto!B311</f>
        <v>m2</v>
      </c>
      <c r="C16" s="41" t="str">
        <f aca="false">Presupuesto!C311</f>
        <v>FÁBRICA DE HORMIGÓN CELULAR YTONG 20 CM (MEDIANERAS Y MUROS DE CARGA)</v>
      </c>
      <c r="D16" s="42" t="n">
        <v>327.98</v>
      </c>
      <c r="E16" s="42" t="n">
        <v>369.19</v>
      </c>
      <c r="F16" s="29" t="n">
        <f aca="false">E16-D16</f>
        <v>41.21</v>
      </c>
      <c r="G16" s="43" t="n">
        <f aca="false">IF(D16=0,"-",F16/D16)</f>
        <v>0.125647905360083</v>
      </c>
      <c r="H16" s="44" t="n">
        <f aca="false">Presupuesto!J318</f>
        <v>54</v>
      </c>
      <c r="I16" s="29" t="n">
        <f aca="false">ROUND(D16*H16,2)</f>
        <v>17710.92</v>
      </c>
      <c r="J16" s="44" t="n">
        <f aca="false">Presupuesto!K318</f>
        <v>19936.26</v>
      </c>
      <c r="K16" s="29" t="n">
        <f aca="false">J16-I16</f>
        <v>2225.34</v>
      </c>
      <c r="L16" s="26" t="s">
        <v>1289</v>
      </c>
    </row>
    <row r="17" customFormat="false" ht="15" hidden="false" customHeight="true" outlineLevel="0" collapsed="false">
      <c r="A17" s="41" t="str">
        <f aca="false">Presupuesto!A319</f>
        <v>06.04</v>
      </c>
      <c r="B17" s="41" t="str">
        <f aca="false">Presupuesto!B319</f>
        <v>m2</v>
      </c>
      <c r="C17" s="41" t="str">
        <f aca="false">Presupuesto!C319</f>
        <v>JUNTA DE POLIESTIRENO EXPANDIDO 10 MM CONTRA MEDIANERA</v>
      </c>
      <c r="D17" s="42" t="n">
        <v>350.03</v>
      </c>
      <c r="E17" s="42" t="n">
        <v>326.37</v>
      </c>
      <c r="F17" s="29" t="n">
        <f aca="false">E17-D17</f>
        <v>-23.66</v>
      </c>
      <c r="G17" s="43" t="n">
        <f aca="false">IF(D17=0,"-",F17/D17)</f>
        <v>-0.0675942062108961</v>
      </c>
      <c r="H17" s="44" t="n">
        <f aca="false">Presupuesto!J324</f>
        <v>4.8</v>
      </c>
      <c r="I17" s="29" t="n">
        <f aca="false">ROUND(D17*H17,2)</f>
        <v>1680.14</v>
      </c>
      <c r="J17" s="44" t="n">
        <f aca="false">Presupuesto!K324</f>
        <v>1566.58</v>
      </c>
      <c r="K17" s="29" t="n">
        <f aca="false">J17-I17</f>
        <v>-113.56</v>
      </c>
      <c r="L17" s="26" t="s">
        <v>1290</v>
      </c>
    </row>
    <row r="18" customFormat="false" ht="15" hidden="false" customHeight="true" outlineLevel="0" collapsed="false">
      <c r="A18" s="41" t="str">
        <f aca="false">Presupuesto!A325</f>
        <v>06.05</v>
      </c>
      <c r="B18" s="41" t="str">
        <f aca="false">Presupuesto!B325</f>
        <v>m2</v>
      </c>
      <c r="C18" s="41" t="str">
        <f aca="false">Presupuesto!C325</f>
        <v>TRASDOSADO DE HORMIGÓN CELULAR YTONG 7 CM CON CÁMARA</v>
      </c>
      <c r="D18" s="42" t="n">
        <v>83.01</v>
      </c>
      <c r="E18" s="42" t="n">
        <v>96.78</v>
      </c>
      <c r="F18" s="29" t="n">
        <f aca="false">E18-D18</f>
        <v>13.77</v>
      </c>
      <c r="G18" s="43" t="n">
        <f aca="false">IF(D18=0,"-",F18/D18)</f>
        <v>0.165883628478497</v>
      </c>
      <c r="H18" s="44" t="n">
        <f aca="false">Presupuesto!J330</f>
        <v>34</v>
      </c>
      <c r="I18" s="29" t="n">
        <f aca="false">ROUND(D18*H18,2)</f>
        <v>2822.34</v>
      </c>
      <c r="J18" s="44" t="n">
        <f aca="false">Presupuesto!K330</f>
        <v>3290.52</v>
      </c>
      <c r="K18" s="29" t="n">
        <f aca="false">J18-I18</f>
        <v>468.18</v>
      </c>
      <c r="L18" s="26" t="s">
        <v>1291</v>
      </c>
    </row>
    <row r="19" customFormat="false" ht="15" hidden="false" customHeight="true" outlineLevel="0" collapsed="false">
      <c r="A19" s="41" t="str">
        <f aca="false">Presupuesto!A331</f>
        <v>06.06</v>
      </c>
      <c r="B19" s="41" t="str">
        <f aca="false">Presupuesto!B331</f>
        <v>m2</v>
      </c>
      <c r="C19" s="41" t="str">
        <f aca="false">Presupuesto!C331</f>
        <v>TABIQUE DE HORMIGÓN CELULAR YTONG 7 CM</v>
      </c>
      <c r="D19" s="42" t="n">
        <v>77.47</v>
      </c>
      <c r="E19" s="42" t="n">
        <v>103.72</v>
      </c>
      <c r="F19" s="29" t="n">
        <f aca="false">E19-D19</f>
        <v>26.25</v>
      </c>
      <c r="G19" s="43" t="n">
        <f aca="false">IF(D19=0,"-",F19/D19)</f>
        <v>0.338840841616109</v>
      </c>
      <c r="H19" s="44" t="n">
        <f aca="false">Presupuesto!J336</f>
        <v>33</v>
      </c>
      <c r="I19" s="29" t="n">
        <f aca="false">ROUND(D19*H19,2)</f>
        <v>2556.51</v>
      </c>
      <c r="J19" s="44" t="n">
        <f aca="false">Presupuesto!K336</f>
        <v>3422.76</v>
      </c>
      <c r="K19" s="29" t="n">
        <f aca="false">J19-I19</f>
        <v>866.25</v>
      </c>
      <c r="L19" s="26" t="s">
        <v>1292</v>
      </c>
    </row>
    <row r="20" customFormat="false" ht="15" hidden="false" customHeight="true" outlineLevel="0" collapsed="false">
      <c r="A20" s="41" t="str">
        <f aca="false">Presupuesto!A344</f>
        <v>06.08</v>
      </c>
      <c r="B20" s="41" t="str">
        <f aca="false">Presupuesto!B344</f>
        <v>m</v>
      </c>
      <c r="C20" s="41" t="str">
        <f aca="false">Presupuesto!C344</f>
        <v>FRENTE DE FORJADO CON PLAQUETA YTONG Y XPS 4 CM</v>
      </c>
      <c r="D20" s="42" t="n">
        <v>62.72</v>
      </c>
      <c r="E20" s="42" t="n">
        <v>43.78</v>
      </c>
      <c r="F20" s="29" t="n">
        <f aca="false">E20-D20</f>
        <v>-18.94</v>
      </c>
      <c r="G20" s="43" t="n">
        <f aca="false">IF(D20=0,"-",F20/D20)</f>
        <v>-0.301977040816327</v>
      </c>
      <c r="H20" s="44" t="n">
        <f aca="false">Presupuesto!J348</f>
        <v>29</v>
      </c>
      <c r="I20" s="29" t="n">
        <f aca="false">ROUND(D20*H20,2)</f>
        <v>1818.88</v>
      </c>
      <c r="J20" s="44" t="n">
        <f aca="false">Presupuesto!K348</f>
        <v>1269.62</v>
      </c>
      <c r="K20" s="29" t="n">
        <f aca="false">J20-I20</f>
        <v>-549.26</v>
      </c>
      <c r="L20" s="26" t="s">
        <v>1293</v>
      </c>
    </row>
    <row r="21" customFormat="false" ht="15" hidden="false" customHeight="true" outlineLevel="0" collapsed="false">
      <c r="A21" s="41" t="str">
        <f aca="false">Presupuesto!A372</f>
        <v>07.01</v>
      </c>
      <c r="B21" s="41" t="str">
        <f aca="false">Presupuesto!B372</f>
        <v>m2</v>
      </c>
      <c r="C21" s="41" t="str">
        <f aca="false">Presupuesto!C372</f>
        <v>AISLAMIENTO XPS 10 CM SOBRE LOSA DE CUBIERTA</v>
      </c>
      <c r="D21" s="42" t="n">
        <v>70</v>
      </c>
      <c r="E21" s="42" t="n">
        <v>82.13</v>
      </c>
      <c r="F21" s="29" t="n">
        <f aca="false">E21-D21</f>
        <v>12.13</v>
      </c>
      <c r="G21" s="43" t="n">
        <f aca="false">IF(D21=0,"-",F21/D21)</f>
        <v>0.173285714285714</v>
      </c>
      <c r="H21" s="44" t="n">
        <f aca="false">Presupuesto!J375</f>
        <v>17.5</v>
      </c>
      <c r="I21" s="29" t="n">
        <f aca="false">ROUND(D21*H21,2)</f>
        <v>1225</v>
      </c>
      <c r="J21" s="44" t="n">
        <f aca="false">Presupuesto!K375</f>
        <v>1437.28</v>
      </c>
      <c r="K21" s="29" t="n">
        <f aca="false">J21-I21</f>
        <v>212.28</v>
      </c>
      <c r="L21" s="26" t="s">
        <v>1294</v>
      </c>
    </row>
    <row r="22" customFormat="false" ht="15" hidden="false" customHeight="true" outlineLevel="0" collapsed="false">
      <c r="A22" s="41" t="str">
        <f aca="false">Presupuesto!A388</f>
        <v>07.05</v>
      </c>
      <c r="B22" s="41" t="str">
        <f aca="false">Presupuesto!B388</f>
        <v>m²</v>
      </c>
      <c r="C22" s="41" t="str">
        <f aca="false">Presupuesto!C388</f>
        <v>COBERTURA DE TEJA CERÁMICA MIXTA</v>
      </c>
      <c r="D22" s="42" t="n">
        <v>70</v>
      </c>
      <c r="E22" s="42" t="n">
        <v>88.44</v>
      </c>
      <c r="F22" s="29" t="n">
        <f aca="false">E22-D22</f>
        <v>18.44</v>
      </c>
      <c r="G22" s="43" t="n">
        <f aca="false">IF(D22=0,"-",F22/D22)</f>
        <v>0.263428571428571</v>
      </c>
      <c r="H22" s="44" t="n">
        <f aca="false">Presupuesto!J391</f>
        <v>36.12</v>
      </c>
      <c r="I22" s="29" t="n">
        <f aca="false">ROUND(D22*H22,2)</f>
        <v>2528.4</v>
      </c>
      <c r="J22" s="44" t="n">
        <f aca="false">Presupuesto!K391</f>
        <v>3194.45</v>
      </c>
      <c r="K22" s="29" t="n">
        <f aca="false">J22-I22</f>
        <v>666.05</v>
      </c>
      <c r="L22" s="26" t="s">
        <v>1295</v>
      </c>
    </row>
    <row r="23" customFormat="false" ht="53.25" hidden="false" customHeight="true" outlineLevel="0" collapsed="false">
      <c r="A23" s="41" t="str">
        <f aca="false">Presupuesto!A406</f>
        <v>07.09</v>
      </c>
      <c r="B23" s="41" t="str">
        <f aca="false">Presupuesto!B406</f>
        <v>m2</v>
      </c>
      <c r="C23" s="41" t="str">
        <f aca="false">Presupuesto!C406</f>
        <v>AISLAMIENTO XPS 10 CM EN CUBIERTA PLANA</v>
      </c>
      <c r="D23" s="42" t="n">
        <v>77.3</v>
      </c>
      <c r="E23" s="42" t="n">
        <v>29.44</v>
      </c>
      <c r="F23" s="29" t="n">
        <f aca="false">E23-D23</f>
        <v>-47.86</v>
      </c>
      <c r="G23" s="43" t="n">
        <f aca="false">IF(D23=0,"-",F23/D23)</f>
        <v>-0.619146183699871</v>
      </c>
      <c r="H23" s="44" t="n">
        <f aca="false">Presupuesto!J409</f>
        <v>17.5</v>
      </c>
      <c r="I23" s="42" t="n">
        <v>5720.2</v>
      </c>
      <c r="J23" s="44" t="n">
        <f aca="false">Presupuesto!K409</f>
        <v>515.2</v>
      </c>
      <c r="K23" s="29" t="n">
        <f aca="false">J23-I23</f>
        <v>-5205</v>
      </c>
      <c r="L23" s="26" t="s">
        <v>1296</v>
      </c>
    </row>
    <row r="24" customFormat="false" ht="15" hidden="false" customHeight="true" outlineLevel="0" collapsed="false">
      <c r="A24" s="41" t="str">
        <f aca="false">Presupuesto!A418</f>
        <v>07.12</v>
      </c>
      <c r="B24" s="41" t="str">
        <f aca="false">Presupuesto!B418</f>
        <v>m2</v>
      </c>
      <c r="C24" s="41" t="str">
        <f aca="false">Presupuesto!C418</f>
        <v>FORMACIÓN DE PENDIENTES CON MORTERO (1–2 %) EN PATIO, PORCHE, TERRAZA Y CUBIERTA PLANA</v>
      </c>
      <c r="D24" s="42" t="n">
        <v>0</v>
      </c>
      <c r="E24" s="42" t="n">
        <v>70.14</v>
      </c>
      <c r="F24" s="29" t="n">
        <f aca="false">E24-D24</f>
        <v>70.14</v>
      </c>
      <c r="G24" s="43" t="str">
        <f aca="false">IF(D24=0,"-",F24/D24)</f>
        <v>-</v>
      </c>
      <c r="H24" s="44" t="n">
        <f aca="false">Presupuesto!J421</f>
        <v>13</v>
      </c>
      <c r="I24" s="29" t="n">
        <f aca="false">ROUND(D24*H24,2)</f>
        <v>0</v>
      </c>
      <c r="J24" s="44" t="n">
        <f aca="false">Presupuesto!K421</f>
        <v>911.82</v>
      </c>
      <c r="K24" s="29" t="n">
        <f aca="false">J24-I24</f>
        <v>911.82</v>
      </c>
      <c r="L24" s="26" t="s">
        <v>1297</v>
      </c>
    </row>
    <row r="25" customFormat="false" ht="15" hidden="false" customHeight="true" outlineLevel="0" collapsed="false">
      <c r="A25" s="41" t="str">
        <f aca="false">Presupuesto!A422</f>
        <v>07.13</v>
      </c>
      <c r="B25" s="41" t="str">
        <f aca="false">Presupuesto!B422</f>
        <v>m2</v>
      </c>
      <c r="C25" s="41" t="str">
        <f aca="false">Presupuesto!C422</f>
        <v>BARRERA DE VAPOR BAJO EL AISLAMIENTO EN CUBIERTA PLANA, PATIO Y PORCHE</v>
      </c>
      <c r="D25" s="42" t="n">
        <v>0</v>
      </c>
      <c r="E25" s="42" t="n">
        <v>59.06</v>
      </c>
      <c r="F25" s="29" t="n">
        <f aca="false">E25-D25</f>
        <v>59.06</v>
      </c>
      <c r="G25" s="43" t="str">
        <f aca="false">IF(D25=0,"-",F25/D25)</f>
        <v>-</v>
      </c>
      <c r="H25" s="44" t="n">
        <f aca="false">Presupuesto!J425</f>
        <v>3.8</v>
      </c>
      <c r="I25" s="29" t="n">
        <f aca="false">ROUND(D25*H25,2)</f>
        <v>0</v>
      </c>
      <c r="J25" s="44" t="n">
        <f aca="false">Presupuesto!K425</f>
        <v>224.43</v>
      </c>
      <c r="K25" s="29" t="n">
        <f aca="false">J25-I25</f>
        <v>224.43</v>
      </c>
      <c r="L25" s="26" t="s">
        <v>1298</v>
      </c>
    </row>
    <row r="26" customFormat="false" ht="15" hidden="false" customHeight="true" outlineLevel="0" collapsed="false">
      <c r="A26" s="41" t="str">
        <f aca="false">Presupuesto!A429</f>
        <v>08.01</v>
      </c>
      <c r="B26" s="41" t="str">
        <f aca="false">Presupuesto!B429</f>
        <v>m2</v>
      </c>
      <c r="C26" s="41" t="str">
        <f aca="false">Presupuesto!C429</f>
        <v>AISLAMIENTO XPS 10 CM SOBRE FORJADO SANITARIO</v>
      </c>
      <c r="D26" s="42" t="n">
        <v>60</v>
      </c>
      <c r="E26" s="42" t="n">
        <v>59.65</v>
      </c>
      <c r="F26" s="29" t="n">
        <f aca="false">E26-D26</f>
        <v>-0.350000000000001</v>
      </c>
      <c r="G26" s="43" t="n">
        <f aca="false">IF(D26=0,"-",F26/D26)</f>
        <v>-0.00583333333333336</v>
      </c>
      <c r="H26" s="44" t="n">
        <f aca="false">Presupuesto!J432</f>
        <v>16.5</v>
      </c>
      <c r="I26" s="29" t="n">
        <f aca="false">ROUND(D26*H26,2)</f>
        <v>990</v>
      </c>
      <c r="J26" s="44" t="n">
        <f aca="false">Presupuesto!K432</f>
        <v>984.23</v>
      </c>
      <c r="K26" s="29" t="n">
        <f aca="false">J26-I26</f>
        <v>-5.76999999999998</v>
      </c>
      <c r="L26" s="26" t="s">
        <v>1299</v>
      </c>
    </row>
    <row r="27" customFormat="false" ht="21.75" hidden="false" customHeight="true" outlineLevel="0" collapsed="false">
      <c r="A27" s="41" t="str">
        <f aca="false">Presupuesto!A433</f>
        <v>08.02</v>
      </c>
      <c r="B27" s="41" t="str">
        <f aca="false">Presupuesto!B433</f>
        <v>m2</v>
      </c>
      <c r="C27" s="41" t="str">
        <f aca="false">Presupuesto!C433</f>
        <v>XPS 4 CM SOBRE FORJADOS (PASO DE INSTALACIONES)</v>
      </c>
      <c r="D27" s="42" t="n">
        <v>163</v>
      </c>
      <c r="E27" s="42" t="n">
        <v>190.46</v>
      </c>
      <c r="F27" s="29" t="n">
        <f aca="false">E27-D27</f>
        <v>27.46</v>
      </c>
      <c r="G27" s="43" t="n">
        <f aca="false">IF(D27=0,"-",F27/D27)</f>
        <v>0.168466257668712</v>
      </c>
      <c r="H27" s="44" t="n">
        <f aca="false">Presupuesto!J437</f>
        <v>7.47</v>
      </c>
      <c r="I27" s="29" t="n">
        <f aca="false">ROUND(D27*H27,2)</f>
        <v>1217.61</v>
      </c>
      <c r="J27" s="44" t="n">
        <f aca="false">Presupuesto!K437</f>
        <v>1422.74</v>
      </c>
      <c r="K27" s="29" t="n">
        <f aca="false">J27-I27</f>
        <v>205.13</v>
      </c>
      <c r="L27" s="26" t="s">
        <v>1300</v>
      </c>
    </row>
    <row r="28" customFormat="false" ht="21.75" hidden="false" customHeight="true" outlineLevel="0" collapsed="false">
      <c r="A28" s="41" t="str">
        <f aca="false">Presupuesto!A438</f>
        <v>08.03</v>
      </c>
      <c r="B28" s="41" t="str">
        <f aca="false">Presupuesto!B438</f>
        <v>m2</v>
      </c>
      <c r="C28" s="41" t="str">
        <f aca="false">Presupuesto!C438</f>
        <v>LÁMINA ANTIIMPACTO 5 MM Y BANDA PERIMETRAL</v>
      </c>
      <c r="D28" s="42" t="n">
        <v>163</v>
      </c>
      <c r="E28" s="42" t="n">
        <v>219.91</v>
      </c>
      <c r="F28" s="29" t="n">
        <f aca="false">E28-D28</f>
        <v>56.91</v>
      </c>
      <c r="G28" s="43" t="n">
        <f aca="false">IF(D28=0,"-",F28/D28)</f>
        <v>0.349141104294479</v>
      </c>
      <c r="H28" s="44" t="n">
        <f aca="false">Presupuesto!J441</f>
        <v>4.6</v>
      </c>
      <c r="I28" s="29" t="n">
        <f aca="false">ROUND(D28*H28,2)</f>
        <v>749.8</v>
      </c>
      <c r="J28" s="44" t="n">
        <f aca="false">Presupuesto!K441</f>
        <v>1011.59</v>
      </c>
      <c r="K28" s="29" t="n">
        <f aca="false">J28-I28</f>
        <v>261.79</v>
      </c>
      <c r="L28" s="26" t="s">
        <v>1301</v>
      </c>
    </row>
    <row r="29" customFormat="false" ht="21.75" hidden="false" customHeight="true" outlineLevel="0" collapsed="false">
      <c r="A29" s="41" t="str">
        <f aca="false">Presupuesto!A458</f>
        <v>08.08</v>
      </c>
      <c r="B29" s="41" t="str">
        <f aca="false">Presupuesto!B458</f>
        <v>m2</v>
      </c>
      <c r="C29" s="41" t="str">
        <f aca="false">Presupuesto!C458</f>
        <v>IMPERMEABILIZACIÓN CON LÁMINA DE BETÚN MODIFICADO EN PATIO, PORCHE, TERRAZA Y CUBIERTA PLANA</v>
      </c>
      <c r="D29" s="42" t="n">
        <v>0</v>
      </c>
      <c r="E29" s="42" t="n">
        <v>70.14</v>
      </c>
      <c r="F29" s="29" t="n">
        <f aca="false">E29-D29</f>
        <v>70.14</v>
      </c>
      <c r="G29" s="43" t="str">
        <f aca="false">IF(D29=0,"-",F29/D29)</f>
        <v>-</v>
      </c>
      <c r="H29" s="44" t="n">
        <f aca="false">Presupuesto!J461</f>
        <v>22</v>
      </c>
      <c r="I29" s="29" t="n">
        <f aca="false">ROUND(D29*H29,2)</f>
        <v>0</v>
      </c>
      <c r="J29" s="44" t="n">
        <f aca="false">Presupuesto!K461</f>
        <v>1543.08</v>
      </c>
      <c r="K29" s="29" t="n">
        <f aca="false">J29-I29</f>
        <v>1543.08</v>
      </c>
      <c r="L29" s="26" t="s">
        <v>1302</v>
      </c>
    </row>
    <row r="30" customFormat="false" ht="15" hidden="false" customHeight="true" outlineLevel="0" collapsed="false">
      <c r="A30" s="41" t="str">
        <f aca="false">Presupuesto!A465</f>
        <v>09.01</v>
      </c>
      <c r="B30" s="41" t="str">
        <f aca="false">Presupuesto!B465</f>
        <v>m2</v>
      </c>
      <c r="C30" s="41" t="str">
        <f aca="false">Presupuesto!C465</f>
        <v>FALSO TECHO DE PLACA DE YESO LAMINADO 15 MM</v>
      </c>
      <c r="D30" s="42" t="n">
        <v>99.35</v>
      </c>
      <c r="E30" s="42" t="n">
        <v>88.76</v>
      </c>
      <c r="F30" s="29" t="n">
        <f aca="false">E30-D30</f>
        <v>-10.59</v>
      </c>
      <c r="G30" s="43" t="n">
        <f aca="false">IF(D30=0,"-",F30/D30)</f>
        <v>-0.106592853548062</v>
      </c>
      <c r="H30" s="44" t="n">
        <f aca="false">Presupuesto!J468</f>
        <v>27</v>
      </c>
      <c r="I30" s="29" t="n">
        <f aca="false">ROUND(D30*H30,2)</f>
        <v>2682.45</v>
      </c>
      <c r="J30" s="44" t="n">
        <f aca="false">Presupuesto!K468</f>
        <v>2396.52</v>
      </c>
      <c r="K30" s="29" t="n">
        <f aca="false">J30-I30</f>
        <v>-285.93</v>
      </c>
      <c r="L30" s="26" t="s">
        <v>1303</v>
      </c>
    </row>
    <row r="31" customFormat="false" ht="21.75" hidden="false" customHeight="true" outlineLevel="0" collapsed="false">
      <c r="A31" s="41" t="str">
        <f aca="false">Presupuesto!A473</f>
        <v>09.03</v>
      </c>
      <c r="B31" s="41" t="str">
        <f aca="false">Presupuesto!B473</f>
        <v>m2</v>
      </c>
      <c r="C31" s="41" t="str">
        <f aca="false">Presupuesto!C473</f>
        <v>TABICA DE PLACA DE YESO LAMINADO EN LOS BORDES DEL FALSO TECHO</v>
      </c>
      <c r="D31" s="42" t="n">
        <v>0</v>
      </c>
      <c r="E31" s="42" t="n">
        <v>21.35</v>
      </c>
      <c r="F31" s="29" t="n">
        <f aca="false">E31-D31</f>
        <v>21.35</v>
      </c>
      <c r="G31" s="43" t="str">
        <f aca="false">IF(D31=0,"-",F31/D31)</f>
        <v>-</v>
      </c>
      <c r="H31" s="44" t="n">
        <f aca="false">Presupuesto!J476</f>
        <v>34</v>
      </c>
      <c r="I31" s="29" t="n">
        <f aca="false">ROUND(D31*H31,2)</f>
        <v>0</v>
      </c>
      <c r="J31" s="44" t="n">
        <f aca="false">Presupuesto!K476</f>
        <v>725.9</v>
      </c>
      <c r="K31" s="29" t="n">
        <f aca="false">J31-I31</f>
        <v>725.9</v>
      </c>
      <c r="L31" s="26" t="s">
        <v>1304</v>
      </c>
    </row>
    <row r="32" customFormat="false" ht="15" hidden="false" customHeight="true" outlineLevel="0" collapsed="false">
      <c r="A32" s="41" t="str">
        <f aca="false">Presupuesto!A484</f>
        <v>10.01</v>
      </c>
      <c r="B32" s="41" t="str">
        <f aca="false">Presupuesto!B484</f>
        <v>m2</v>
      </c>
      <c r="C32" s="41" t="str">
        <f aca="false">Presupuesto!C484</f>
        <v>MORTERO AUTONIVELANTE DE 4 CM CON SUELO RADIANTE</v>
      </c>
      <c r="D32" s="42" t="n">
        <v>188.3</v>
      </c>
      <c r="E32" s="42" t="n">
        <v>209.42</v>
      </c>
      <c r="F32" s="29" t="n">
        <f aca="false">E32-D32</f>
        <v>21.12</v>
      </c>
      <c r="G32" s="43" t="n">
        <f aca="false">IF(D32=0,"-",F32/D32)</f>
        <v>0.112161444503452</v>
      </c>
      <c r="H32" s="44" t="n">
        <f aca="false">Presupuesto!J487</f>
        <v>15</v>
      </c>
      <c r="I32" s="29" t="n">
        <f aca="false">ROUND(D32*H32,2)</f>
        <v>2824.5</v>
      </c>
      <c r="J32" s="44" t="n">
        <f aca="false">Presupuesto!K487</f>
        <v>3141.3</v>
      </c>
      <c r="K32" s="29" t="n">
        <f aca="false">J32-I32</f>
        <v>316.8</v>
      </c>
      <c r="L32" s="26" t="s">
        <v>1305</v>
      </c>
    </row>
    <row r="33" customFormat="false" ht="15" hidden="false" customHeight="true" outlineLevel="0" collapsed="false">
      <c r="A33" s="41" t="str">
        <f aca="false">Presupuesto!A492</f>
        <v>10.03</v>
      </c>
      <c r="B33" s="41" t="str">
        <f aca="false">Presupuesto!B492</f>
        <v>m2</v>
      </c>
      <c r="C33" s="41" t="str">
        <f aca="false">Presupuesto!C492</f>
        <v>PAVIMENTO CONTINUO DE MICROCEMENTO PULIDO INTERIOR</v>
      </c>
      <c r="D33" s="42" t="n">
        <v>191.01</v>
      </c>
      <c r="E33" s="42" t="n">
        <v>191.76</v>
      </c>
      <c r="F33" s="29" t="n">
        <f aca="false">E33-D33</f>
        <v>0.75</v>
      </c>
      <c r="G33" s="43" t="n">
        <f aca="false">IF(D33=0,"-",F33/D33)</f>
        <v>0.00392649599497409</v>
      </c>
      <c r="H33" s="44" t="n">
        <f aca="false">Presupuesto!J496</f>
        <v>48</v>
      </c>
      <c r="I33" s="29" t="n">
        <f aca="false">ROUND(D33*H33,2)</f>
        <v>9168.48</v>
      </c>
      <c r="J33" s="44" t="n">
        <f aca="false">Presupuesto!K496</f>
        <v>9204.48</v>
      </c>
      <c r="K33" s="29" t="n">
        <f aca="false">J33-I33</f>
        <v>36</v>
      </c>
      <c r="L33" s="26" t="s">
        <v>1306</v>
      </c>
    </row>
    <row r="34" customFormat="false" ht="15" hidden="false" customHeight="true" outlineLevel="0" collapsed="false">
      <c r="A34" s="41" t="str">
        <f aca="false">Presupuesto!A497</f>
        <v>10.04</v>
      </c>
      <c r="B34" s="41" t="str">
        <f aca="false">Presupuesto!B497</f>
        <v>m2</v>
      </c>
      <c r="C34" s="41" t="str">
        <f aca="false">Presupuesto!C497</f>
        <v>PAVIMENTO CONTINUO DE MICROCEMENTO EXTERIOR</v>
      </c>
      <c r="D34" s="42" t="n">
        <v>91.93</v>
      </c>
      <c r="E34" s="42" t="n">
        <v>70.14</v>
      </c>
      <c r="F34" s="29" t="n">
        <f aca="false">E34-D34</f>
        <v>-21.79</v>
      </c>
      <c r="G34" s="43" t="n">
        <f aca="false">IF(D34=0,"-",F34/D34)</f>
        <v>-0.237028173610356</v>
      </c>
      <c r="H34" s="44" t="n">
        <f aca="false">Presupuesto!J501</f>
        <v>56</v>
      </c>
      <c r="I34" s="29" t="n">
        <f aca="false">ROUND(D34*H34,2)</f>
        <v>5148.08</v>
      </c>
      <c r="J34" s="44" t="n">
        <f aca="false">Presupuesto!K501</f>
        <v>3927.84</v>
      </c>
      <c r="K34" s="29" t="n">
        <f aca="false">J34-I34</f>
        <v>-1220.24</v>
      </c>
      <c r="L34" s="26" t="s">
        <v>1307</v>
      </c>
    </row>
    <row r="35" customFormat="false" ht="15" hidden="false" customHeight="true" outlineLevel="0" collapsed="false">
      <c r="A35" s="41" t="str">
        <f aca="false">Presupuesto!A502</f>
        <v>10.05</v>
      </c>
      <c r="B35" s="41" t="str">
        <f aca="false">Presupuesto!B502</f>
        <v>m2</v>
      </c>
      <c r="C35" s="41" t="str">
        <f aca="false">Presupuesto!C502</f>
        <v>PAVIMENTO DE GRES PORCELÁNICO EN BAÑOS Y ASEOS</v>
      </c>
      <c r="D35" s="42" t="n">
        <v>17.81</v>
      </c>
      <c r="E35" s="42" t="n">
        <v>17.66</v>
      </c>
      <c r="F35" s="29" t="n">
        <f aca="false">E35-D35</f>
        <v>-0.149999999999999</v>
      </c>
      <c r="G35" s="43" t="n">
        <f aca="false">IF(D35=0,"-",F35/D35)</f>
        <v>-0.00842223469960688</v>
      </c>
      <c r="H35" s="44" t="n">
        <f aca="false">Presupuesto!J505</f>
        <v>54</v>
      </c>
      <c r="I35" s="29" t="n">
        <f aca="false">ROUND(D35*H35,2)</f>
        <v>961.74</v>
      </c>
      <c r="J35" s="44" t="n">
        <f aca="false">Presupuesto!K505</f>
        <v>953.64</v>
      </c>
      <c r="K35" s="29" t="n">
        <f aca="false">J35-I35</f>
        <v>-8.10000000000002</v>
      </c>
      <c r="L35" s="26" t="s">
        <v>1308</v>
      </c>
    </row>
    <row r="36" customFormat="false" ht="15" hidden="false" customHeight="true" outlineLevel="0" collapsed="false">
      <c r="A36" s="41" t="str">
        <f aca="false">Presupuesto!A506</f>
        <v>10.06</v>
      </c>
      <c r="B36" s="41" t="str">
        <f aca="false">Presupuesto!B506</f>
        <v>m2</v>
      </c>
      <c r="C36" s="41" t="str">
        <f aca="false">Presupuesto!C506</f>
        <v>PAVIMENTO CONTINUO DE CUARZO EN GARAJE</v>
      </c>
      <c r="D36" s="42" t="n">
        <v>49.52</v>
      </c>
      <c r="E36" s="42" t="n">
        <v>49.52</v>
      </c>
      <c r="F36" s="29" t="n">
        <f aca="false">E36-D36</f>
        <v>0</v>
      </c>
      <c r="G36" s="43" t="n">
        <f aca="false">IF(D36=0,"-",F36/D36)</f>
        <v>0</v>
      </c>
      <c r="H36" s="44" t="n">
        <f aca="false">Presupuesto!J509</f>
        <v>15.61</v>
      </c>
      <c r="I36" s="29" t="n">
        <f aca="false">ROUND(D36*H36,2)</f>
        <v>773.01</v>
      </c>
      <c r="J36" s="44" t="n">
        <f aca="false">Presupuesto!K509</f>
        <v>773.01</v>
      </c>
      <c r="K36" s="29" t="n">
        <f aca="false">J36-I36</f>
        <v>0</v>
      </c>
      <c r="L36" s="26" t="s">
        <v>963</v>
      </c>
    </row>
    <row r="37" customFormat="false" ht="15" hidden="false" customHeight="true" outlineLevel="0" collapsed="false">
      <c r="A37" s="41" t="str">
        <f aca="false">Presupuesto!A518</f>
        <v>10.09</v>
      </c>
      <c r="B37" s="41" t="str">
        <f aca="false">Presupuesto!B518</f>
        <v>m2</v>
      </c>
      <c r="C37" s="41" t="str">
        <f aca="false">Presupuesto!C518</f>
        <v>MORTERO DE PROTECCIÓN DE 4 CM SOBRE LA LÁMINA (PATIO, PORCHE, TERRAZA Y CUBIERTA PLANA)</v>
      </c>
      <c r="D37" s="42" t="n">
        <v>0</v>
      </c>
      <c r="E37" s="42" t="n">
        <v>70.14</v>
      </c>
      <c r="F37" s="29" t="n">
        <f aca="false">E37-D37</f>
        <v>70.14</v>
      </c>
      <c r="G37" s="43" t="str">
        <f aca="false">IF(D37=0,"-",F37/D37)</f>
        <v>-</v>
      </c>
      <c r="H37" s="44" t="n">
        <f aca="false">Presupuesto!J521</f>
        <v>15</v>
      </c>
      <c r="I37" s="29" t="n">
        <f aca="false">ROUND(D37*H37,2)</f>
        <v>0</v>
      </c>
      <c r="J37" s="44" t="n">
        <f aca="false">Presupuesto!K521</f>
        <v>1052.1</v>
      </c>
      <c r="K37" s="29" t="n">
        <f aca="false">J37-I37</f>
        <v>1052.1</v>
      </c>
      <c r="L37" s="26" t="s">
        <v>1309</v>
      </c>
    </row>
    <row r="38" customFormat="false" ht="15" hidden="false" customHeight="true" outlineLevel="0" collapsed="false">
      <c r="A38" s="41" t="str">
        <f aca="false">Presupuesto!A525</f>
        <v>11.01</v>
      </c>
      <c r="B38" s="41" t="str">
        <f aca="false">Presupuesto!B525</f>
        <v>m²</v>
      </c>
      <c r="C38" s="41" t="str">
        <f aca="false">Presupuesto!C525</f>
        <v>REVOCO DE CAL / MONOCAPA EN FACHADAS Y PATIOS</v>
      </c>
      <c r="D38" s="42" t="n">
        <v>196.3</v>
      </c>
      <c r="E38" s="42" t="n">
        <v>317.11</v>
      </c>
      <c r="F38" s="29" t="n">
        <f aca="false">E38-D38</f>
        <v>120.81</v>
      </c>
      <c r="G38" s="43" t="n">
        <f aca="false">IF(D38=0,"-",F38/D38)</f>
        <v>0.615435557819664</v>
      </c>
      <c r="H38" s="44" t="n">
        <f aca="false">Presupuesto!J530</f>
        <v>29.56</v>
      </c>
      <c r="I38" s="29" t="n">
        <f aca="false">ROUND(D38*H38,2)</f>
        <v>5802.63</v>
      </c>
      <c r="J38" s="44" t="n">
        <f aca="false">Presupuesto!K530</f>
        <v>9373.77</v>
      </c>
      <c r="K38" s="29" t="n">
        <f aca="false">J38-I38</f>
        <v>3571.14</v>
      </c>
      <c r="L38" s="26" t="s">
        <v>1310</v>
      </c>
    </row>
    <row r="39" customFormat="false" ht="21.75" hidden="false" customHeight="true" outlineLevel="0" collapsed="false">
      <c r="A39" s="41" t="str">
        <f aca="false">Presupuesto!A531</f>
        <v>11.02</v>
      </c>
      <c r="B39" s="41" t="str">
        <f aca="false">Presupuesto!B531</f>
        <v>m2</v>
      </c>
      <c r="C39" s="41" t="str">
        <f aca="false">Presupuesto!C531</f>
        <v>GUARNECIDO Y ENLUCIDO DE YESO EN PAREDES Y TECHOS</v>
      </c>
      <c r="D39" s="42" t="n">
        <v>701.6</v>
      </c>
      <c r="E39" s="42" t="n">
        <v>925.05</v>
      </c>
      <c r="F39" s="29" t="n">
        <f aca="false">E39-D39</f>
        <v>223.45</v>
      </c>
      <c r="G39" s="43" t="n">
        <f aca="false">IF(D39=0,"-",F39/D39)</f>
        <v>0.318486316989738</v>
      </c>
      <c r="H39" s="44" t="n">
        <f aca="false">Presupuesto!J540</f>
        <v>14</v>
      </c>
      <c r="I39" s="29" t="n">
        <f aca="false">ROUND(D39*H39,2)</f>
        <v>9822.4</v>
      </c>
      <c r="J39" s="44" t="n">
        <f aca="false">Presupuesto!K540</f>
        <v>12950.7</v>
      </c>
      <c r="K39" s="29" t="n">
        <f aca="false">J39-I39</f>
        <v>3128.3</v>
      </c>
      <c r="L39" s="26" t="s">
        <v>1311</v>
      </c>
    </row>
    <row r="40" customFormat="false" ht="15" hidden="false" customHeight="true" outlineLevel="0" collapsed="false">
      <c r="A40" s="41" t="str">
        <f aca="false">Presupuesto!A541</f>
        <v>11.03</v>
      </c>
      <c r="B40" s="41" t="str">
        <f aca="false">Presupuesto!B541</f>
        <v>m2</v>
      </c>
      <c r="C40" s="41" t="str">
        <f aca="false">Presupuesto!C541</f>
        <v>ALICATADO CERÁMICO 10 MM EN BAÑOS Y ASEOS</v>
      </c>
      <c r="D40" s="42" t="n">
        <v>67.81</v>
      </c>
      <c r="E40" s="42" t="n">
        <v>88.06</v>
      </c>
      <c r="F40" s="29" t="n">
        <f aca="false">E40-D40</f>
        <v>20.25</v>
      </c>
      <c r="G40" s="43" t="n">
        <f aca="false">IF(D40=0,"-",F40/D40)</f>
        <v>0.298628520867129</v>
      </c>
      <c r="H40" s="44" t="n">
        <f aca="false">Presupuesto!J548</f>
        <v>64</v>
      </c>
      <c r="I40" s="29" t="n">
        <f aca="false">ROUND(D40*H40,2)</f>
        <v>4339.84</v>
      </c>
      <c r="J40" s="44" t="n">
        <f aca="false">Presupuesto!K548</f>
        <v>5635.84</v>
      </c>
      <c r="K40" s="29" t="n">
        <f aca="false">J40-I40</f>
        <v>1296</v>
      </c>
      <c r="L40" s="26" t="s">
        <v>1312</v>
      </c>
    </row>
    <row r="41" customFormat="false" ht="15" hidden="false" customHeight="true" outlineLevel="0" collapsed="false">
      <c r="A41" s="41" t="str">
        <f aca="false">Presupuesto!A556</f>
        <v>12.01</v>
      </c>
      <c r="B41" s="41" t="str">
        <f aca="false">Presupuesto!B556</f>
        <v>ud</v>
      </c>
      <c r="C41" s="41" t="str">
        <f aca="false">Presupuesto!C556</f>
        <v>PUERTA DE PASO P2 ENRASADA 0,85 × 2,05</v>
      </c>
      <c r="D41" s="42" t="n">
        <v>7</v>
      </c>
      <c r="E41" s="42" t="n">
        <v>8</v>
      </c>
      <c r="F41" s="29" t="n">
        <f aca="false">E41-D41</f>
        <v>1</v>
      </c>
      <c r="G41" s="43" t="n">
        <f aca="false">IF(D41=0,"-",F41/D41)</f>
        <v>0.142857142857143</v>
      </c>
      <c r="H41" s="44" t="n">
        <f aca="false">Presupuesto!J559</f>
        <v>899.66</v>
      </c>
      <c r="I41" s="29" t="n">
        <f aca="false">ROUND(D41*H41,2)</f>
        <v>6297.62</v>
      </c>
      <c r="J41" s="44" t="n">
        <f aca="false">Presupuesto!K559</f>
        <v>7197.28</v>
      </c>
      <c r="K41" s="29" t="n">
        <f aca="false">J41-I41</f>
        <v>899.66</v>
      </c>
      <c r="L41" s="26" t="s">
        <v>1313</v>
      </c>
    </row>
    <row r="42" customFormat="false" ht="15" hidden="false" customHeight="true" outlineLevel="0" collapsed="false">
      <c r="A42" s="41" t="str">
        <f aca="false">Presupuesto!A560</f>
        <v>12.02</v>
      </c>
      <c r="B42" s="41" t="str">
        <f aca="false">Presupuesto!B560</f>
        <v>ud</v>
      </c>
      <c r="C42" s="41" t="str">
        <f aca="false">Presupuesto!C560</f>
        <v>PUERTA CORREDERA P3 OCULTA EN TABIQUE (VESTIDOR)</v>
      </c>
      <c r="D42" s="42" t="n">
        <v>1</v>
      </c>
      <c r="E42" s="42" t="n">
        <v>1</v>
      </c>
      <c r="F42" s="29" t="n">
        <f aca="false">E42-D42</f>
        <v>0</v>
      </c>
      <c r="G42" s="43" t="n">
        <f aca="false">IF(D42=0,"-",F42/D42)</f>
        <v>0</v>
      </c>
      <c r="H42" s="44" t="n">
        <f aca="false">Presupuesto!J563</f>
        <v>1650</v>
      </c>
      <c r="I42" s="29" t="n">
        <f aca="false">ROUND(D42*H42,2)</f>
        <v>1650</v>
      </c>
      <c r="J42" s="44" t="n">
        <f aca="false">Presupuesto!K563</f>
        <v>1650</v>
      </c>
      <c r="K42" s="29" t="n">
        <f aca="false">J42-I42</f>
        <v>0</v>
      </c>
      <c r="L42" s="26" t="s">
        <v>1314</v>
      </c>
    </row>
    <row r="43" customFormat="false" ht="15" hidden="false" customHeight="true" outlineLevel="0" collapsed="false">
      <c r="A43" s="41" t="str">
        <f aca="false">Presupuesto!A564</f>
        <v>12.03</v>
      </c>
      <c r="B43" s="41" t="str">
        <f aca="false">Presupuesto!B564</f>
        <v>ud</v>
      </c>
      <c r="C43" s="41" t="str">
        <f aca="false">Presupuesto!C564</f>
        <v>PUERTA P4 EI2 45-C5 GARAJE–ALMACÉN</v>
      </c>
      <c r="D43" s="42" t="n">
        <v>1</v>
      </c>
      <c r="E43" s="42" t="n">
        <v>1</v>
      </c>
      <c r="F43" s="29" t="n">
        <f aca="false">E43-D43</f>
        <v>0</v>
      </c>
      <c r="G43" s="43" t="n">
        <f aca="false">IF(D43=0,"-",F43/D43)</f>
        <v>0</v>
      </c>
      <c r="H43" s="44" t="n">
        <f aca="false">Presupuesto!J567</f>
        <v>1250</v>
      </c>
      <c r="I43" s="29" t="n">
        <f aca="false">ROUND(D43*H43,2)</f>
        <v>1250</v>
      </c>
      <c r="J43" s="44" t="n">
        <f aca="false">Presupuesto!K567</f>
        <v>1250</v>
      </c>
      <c r="K43" s="29" t="n">
        <f aca="false">J43-I43</f>
        <v>0</v>
      </c>
      <c r="L43" s="26" t="s">
        <v>1315</v>
      </c>
    </row>
    <row r="44" customFormat="false" ht="15" hidden="false" customHeight="true" outlineLevel="0" collapsed="false">
      <c r="A44" s="41" t="str">
        <f aca="false">Presupuesto!A575</f>
        <v>13.01</v>
      </c>
      <c r="B44" s="41" t="str">
        <f aca="false">Presupuesto!B575</f>
        <v>ud</v>
      </c>
      <c r="C44" s="41" t="str">
        <f aca="false">Presupuesto!C575</f>
        <v>CARPINTERÍA V1 · 1,15 × 2,28, FACHADA C. ANCHA</v>
      </c>
      <c r="D44" s="42" t="n">
        <v>4</v>
      </c>
      <c r="E44" s="42" t="n">
        <v>4</v>
      </c>
      <c r="F44" s="29" t="n">
        <f aca="false">E44-D44</f>
        <v>0</v>
      </c>
      <c r="G44" s="43" t="n">
        <f aca="false">IF(D44=0,"-",F44/D44)</f>
        <v>0</v>
      </c>
      <c r="H44" s="44" t="n">
        <f aca="false">Presupuesto!J578</f>
        <v>1809.53</v>
      </c>
      <c r="I44" s="29" t="n">
        <f aca="false">ROUND(D44*H44,2)</f>
        <v>7238.12</v>
      </c>
      <c r="J44" s="44" t="n">
        <f aca="false">Presupuesto!K578</f>
        <v>7238.12</v>
      </c>
      <c r="K44" s="29" t="n">
        <f aca="false">J44-I44</f>
        <v>0</v>
      </c>
      <c r="L44" s="26" t="s">
        <v>387</v>
      </c>
    </row>
    <row r="45" customFormat="false" ht="15" hidden="false" customHeight="true" outlineLevel="0" collapsed="false">
      <c r="A45" s="41" t="str">
        <f aca="false">Presupuesto!A579</f>
        <v>13.02</v>
      </c>
      <c r="B45" s="41" t="str">
        <f aca="false">Presupuesto!B579</f>
        <v>ud</v>
      </c>
      <c r="C45" s="41" t="str">
        <f aca="false">Presupuesto!C579</f>
        <v>CARPINTERÍA V2 / V3 · FACHADA C. DEL PESO</v>
      </c>
      <c r="D45" s="42" t="n">
        <v>3</v>
      </c>
      <c r="E45" s="42" t="n">
        <v>3</v>
      </c>
      <c r="F45" s="29" t="n">
        <f aca="false">E45-D45</f>
        <v>0</v>
      </c>
      <c r="G45" s="43" t="n">
        <f aca="false">IF(D45=0,"-",F45/D45)</f>
        <v>0</v>
      </c>
      <c r="H45" s="44" t="n">
        <f aca="false">Presupuesto!J582</f>
        <v>2097.6</v>
      </c>
      <c r="I45" s="29" t="n">
        <f aca="false">ROUND(D45*H45,2)</f>
        <v>6292.8</v>
      </c>
      <c r="J45" s="44" t="n">
        <f aca="false">Presupuesto!K582</f>
        <v>6292.8</v>
      </c>
      <c r="K45" s="29" t="n">
        <f aca="false">J45-I45</f>
        <v>0</v>
      </c>
      <c r="L45" s="26" t="s">
        <v>1316</v>
      </c>
    </row>
    <row r="46" customFormat="false" ht="15" hidden="false" customHeight="true" outlineLevel="0" collapsed="false">
      <c r="A46" s="41" t="str">
        <f aca="false">Presupuesto!A583</f>
        <v>13.03</v>
      </c>
      <c r="B46" s="41" t="str">
        <f aca="false">Presupuesto!B583</f>
        <v>ud</v>
      </c>
      <c r="C46" s="41" t="str">
        <f aca="false">Presupuesto!C583</f>
        <v>CARPINTERÍA V4 · PLANTA BAJA, C. ANCHA</v>
      </c>
      <c r="D46" s="42" t="n">
        <v>1</v>
      </c>
      <c r="E46" s="42" t="n">
        <v>1</v>
      </c>
      <c r="F46" s="29" t="n">
        <f aca="false">E46-D46</f>
        <v>0</v>
      </c>
      <c r="G46" s="43" t="n">
        <f aca="false">IF(D46=0,"-",F46/D46)</f>
        <v>0</v>
      </c>
      <c r="H46" s="44" t="n">
        <f aca="false">Presupuesto!J586</f>
        <v>631.56</v>
      </c>
      <c r="I46" s="29" t="n">
        <f aca="false">ROUND(D46*H46,2)</f>
        <v>631.56</v>
      </c>
      <c r="J46" s="44" t="n">
        <f aca="false">Presupuesto!K586</f>
        <v>631.56</v>
      </c>
      <c r="K46" s="29" t="n">
        <f aca="false">J46-I46</f>
        <v>0</v>
      </c>
      <c r="L46" s="26" t="s">
        <v>1317</v>
      </c>
    </row>
    <row r="47" customFormat="false" ht="21.75" hidden="false" customHeight="true" outlineLevel="0" collapsed="false">
      <c r="A47" s="41" t="str">
        <f aca="false">Presupuesto!A587</f>
        <v>13.04</v>
      </c>
      <c r="B47" s="41" t="str">
        <f aca="false">Presupuesto!B587</f>
        <v>ud</v>
      </c>
      <c r="C47" s="41" t="str">
        <f aca="false">Presupuesto!C587</f>
        <v>CARPINTERÍA V5 · FIJO EN ESQUINA AL PATIO PEQUEÑO (PLANTAS 1ª Y 2ª)</v>
      </c>
      <c r="D47" s="42" t="n">
        <v>2</v>
      </c>
      <c r="E47" s="42" t="n">
        <v>2</v>
      </c>
      <c r="F47" s="29" t="n">
        <f aca="false">E47-D47</f>
        <v>0</v>
      </c>
      <c r="G47" s="43" t="n">
        <f aca="false">IF(D47=0,"-",F47/D47)</f>
        <v>0</v>
      </c>
      <c r="H47" s="44" t="n">
        <f aca="false">Presupuesto!J590</f>
        <v>3281.6</v>
      </c>
      <c r="I47" s="29" t="n">
        <f aca="false">ROUND(D47*H47,2)</f>
        <v>6563.2</v>
      </c>
      <c r="J47" s="44" t="n">
        <f aca="false">Presupuesto!K590</f>
        <v>6563.2</v>
      </c>
      <c r="K47" s="29" t="n">
        <f aca="false">J47-I47</f>
        <v>0</v>
      </c>
      <c r="L47" s="26" t="s">
        <v>1318</v>
      </c>
    </row>
    <row r="48" customFormat="false" ht="15" hidden="false" customHeight="true" outlineLevel="0" collapsed="false">
      <c r="A48" s="41" t="str">
        <f aca="false">Presupuesto!A591</f>
        <v>13.05</v>
      </c>
      <c r="B48" s="41" t="str">
        <f aca="false">Presupuesto!B591</f>
        <v>ud</v>
      </c>
      <c r="C48" s="41" t="str">
        <f aca="false">Presupuesto!C591</f>
        <v>CARPINTERÍA V5b · FIJO EN ESQUINA AL PATIO PEQUEÑO (PLANTA BAJA)</v>
      </c>
      <c r="D48" s="42" t="n">
        <v>1</v>
      </c>
      <c r="E48" s="42" t="n">
        <v>1</v>
      </c>
      <c r="F48" s="29" t="n">
        <f aca="false">E48-D48</f>
        <v>0</v>
      </c>
      <c r="G48" s="43" t="n">
        <f aca="false">IF(D48=0,"-",F48/D48)</f>
        <v>0</v>
      </c>
      <c r="H48" s="44" t="n">
        <f aca="false">Presupuesto!J594</f>
        <v>3528</v>
      </c>
      <c r="I48" s="29" t="n">
        <f aca="false">ROUND(D48*H48,2)</f>
        <v>3528</v>
      </c>
      <c r="J48" s="44" t="n">
        <f aca="false">Presupuesto!K594</f>
        <v>3528</v>
      </c>
      <c r="K48" s="29" t="n">
        <f aca="false">J48-I48</f>
        <v>0</v>
      </c>
      <c r="L48" s="26" t="s">
        <v>1319</v>
      </c>
    </row>
    <row r="49" customFormat="false" ht="15" hidden="false" customHeight="true" outlineLevel="0" collapsed="false">
      <c r="A49" s="41" t="str">
        <f aca="false">Presupuesto!A595</f>
        <v>13.06</v>
      </c>
      <c r="B49" s="41" t="str">
        <f aca="false">Presupuesto!B595</f>
        <v>ud</v>
      </c>
      <c r="C49" s="41" t="str">
        <f aca="false">Presupuesto!C595</f>
        <v>CARPINTERÍA V6 · ASEO AL PATIO PEQUEÑO (PLANTAS 1ª Y 2ª)</v>
      </c>
      <c r="D49" s="42" t="n">
        <v>2</v>
      </c>
      <c r="E49" s="42" t="n">
        <v>2</v>
      </c>
      <c r="F49" s="29" t="n">
        <f aca="false">E49-D49</f>
        <v>0</v>
      </c>
      <c r="G49" s="43" t="n">
        <f aca="false">IF(D49=0,"-",F49/D49)</f>
        <v>0</v>
      </c>
      <c r="H49" s="44" t="n">
        <f aca="false">Presupuesto!J598</f>
        <v>483.41</v>
      </c>
      <c r="I49" s="29" t="n">
        <f aca="false">ROUND(D49*H49,2)</f>
        <v>966.82</v>
      </c>
      <c r="J49" s="44" t="n">
        <f aca="false">Presupuesto!K598</f>
        <v>966.82</v>
      </c>
      <c r="K49" s="29" t="n">
        <f aca="false">J49-I49</f>
        <v>0</v>
      </c>
      <c r="L49" s="26" t="s">
        <v>1320</v>
      </c>
    </row>
    <row r="50" customFormat="false" ht="15" hidden="false" customHeight="true" outlineLevel="0" collapsed="false">
      <c r="A50" s="41" t="str">
        <f aca="false">Presupuesto!A599</f>
        <v>13.07</v>
      </c>
      <c r="B50" s="41" t="str">
        <f aca="false">Presupuesto!B599</f>
        <v>ud</v>
      </c>
      <c r="C50" s="41" t="str">
        <f aca="false">Presupuesto!C599</f>
        <v>CARPINTERÍA V6b · ASEO AL PATIO PEQUEÑO (PLANTA BAJA)</v>
      </c>
      <c r="D50" s="42" t="n">
        <v>1</v>
      </c>
      <c r="E50" s="42" t="n">
        <v>1</v>
      </c>
      <c r="F50" s="29" t="n">
        <f aca="false">E50-D50</f>
        <v>0</v>
      </c>
      <c r="G50" s="43" t="n">
        <f aca="false">IF(D50=0,"-",F50/D50)</f>
        <v>0</v>
      </c>
      <c r="H50" s="44" t="n">
        <f aca="false">Presupuesto!J602</f>
        <v>545.79</v>
      </c>
      <c r="I50" s="29" t="n">
        <f aca="false">ROUND(D50*H50,2)</f>
        <v>545.79</v>
      </c>
      <c r="J50" s="44" t="n">
        <f aca="false">Presupuesto!K602</f>
        <v>545.79</v>
      </c>
      <c r="K50" s="29" t="n">
        <f aca="false">J50-I50</f>
        <v>0</v>
      </c>
      <c r="L50" s="26" t="s">
        <v>1321</v>
      </c>
    </row>
    <row r="51" customFormat="false" ht="15" hidden="false" customHeight="true" outlineLevel="0" collapsed="false">
      <c r="A51" s="41" t="str">
        <f aca="false">Presupuesto!A603</f>
        <v>13.08</v>
      </c>
      <c r="B51" s="41" t="str">
        <f aca="false">Presupuesto!B603</f>
        <v>ud</v>
      </c>
      <c r="C51" s="41" t="str">
        <f aca="false">Presupuesto!C603</f>
        <v>CARPINTERÍA V7 · COCINA A PATIO</v>
      </c>
      <c r="D51" s="42" t="n">
        <v>1</v>
      </c>
      <c r="E51" s="42" t="n">
        <v>1</v>
      </c>
      <c r="F51" s="29" t="n">
        <f aca="false">E51-D51</f>
        <v>0</v>
      </c>
      <c r="G51" s="43" t="n">
        <f aca="false">IF(D51=0,"-",F51/D51)</f>
        <v>0</v>
      </c>
      <c r="H51" s="44" t="n">
        <f aca="false">Presupuesto!J606</f>
        <v>1787.1</v>
      </c>
      <c r="I51" s="29" t="n">
        <f aca="false">ROUND(D51*H51,2)</f>
        <v>1787.1</v>
      </c>
      <c r="J51" s="44" t="n">
        <f aca="false">Presupuesto!K606</f>
        <v>1787.1</v>
      </c>
      <c r="K51" s="29" t="n">
        <f aca="false">J51-I51</f>
        <v>0</v>
      </c>
      <c r="L51" s="26" t="s">
        <v>623</v>
      </c>
    </row>
    <row r="52" customFormat="false" ht="15" hidden="false" customHeight="true" outlineLevel="0" collapsed="false">
      <c r="A52" s="41" t="str">
        <f aca="false">Presupuesto!A607</f>
        <v>13.09</v>
      </c>
      <c r="B52" s="41" t="str">
        <f aca="false">Presupuesto!B607</f>
        <v>ud</v>
      </c>
      <c r="C52" s="41" t="str">
        <f aca="false">Presupuesto!C607</f>
        <v>CARPINTERÍA V8 · COCINA, BAJO EL FORJADO</v>
      </c>
      <c r="D52" s="42" t="n">
        <v>1</v>
      </c>
      <c r="E52" s="42" t="n">
        <v>1</v>
      </c>
      <c r="F52" s="29" t="n">
        <f aca="false">E52-D52</f>
        <v>0</v>
      </c>
      <c r="G52" s="43" t="n">
        <f aca="false">IF(D52=0,"-",F52/D52)</f>
        <v>0</v>
      </c>
      <c r="H52" s="44" t="n">
        <f aca="false">Presupuesto!J610</f>
        <v>4092</v>
      </c>
      <c r="I52" s="29" t="n">
        <f aca="false">ROUND(D52*H52,2)</f>
        <v>4092</v>
      </c>
      <c r="J52" s="44" t="n">
        <f aca="false">Presupuesto!K610</f>
        <v>4092</v>
      </c>
      <c r="K52" s="29" t="n">
        <f aca="false">J52-I52</f>
        <v>0</v>
      </c>
      <c r="L52" s="26" t="s">
        <v>1322</v>
      </c>
    </row>
    <row r="53" customFormat="false" ht="15" hidden="false" customHeight="true" outlineLevel="0" collapsed="false">
      <c r="A53" s="41" t="str">
        <f aca="false">Presupuesto!A611</f>
        <v>13.10</v>
      </c>
      <c r="B53" s="41" t="str">
        <f aca="false">Presupuesto!B611</f>
        <v>ud</v>
      </c>
      <c r="C53" s="41" t="str">
        <f aca="false">Presupuesto!C611</f>
        <v>CARPINTERÍA V9 · LAVANDERÍA, CON PANEL OPACO</v>
      </c>
      <c r="D53" s="42" t="n">
        <v>1</v>
      </c>
      <c r="E53" s="42" t="n">
        <v>1</v>
      </c>
      <c r="F53" s="29" t="n">
        <f aca="false">E53-D53</f>
        <v>0</v>
      </c>
      <c r="G53" s="43" t="n">
        <f aca="false">IF(D53=0,"-",F53/D53)</f>
        <v>0</v>
      </c>
      <c r="H53" s="44" t="n">
        <f aca="false">Presupuesto!J614</f>
        <v>2660</v>
      </c>
      <c r="I53" s="29" t="n">
        <f aca="false">ROUND(D53*H53,2)</f>
        <v>2660</v>
      </c>
      <c r="J53" s="44" t="n">
        <f aca="false">Presupuesto!K614</f>
        <v>2660</v>
      </c>
      <c r="K53" s="29" t="n">
        <f aca="false">J53-I53</f>
        <v>0</v>
      </c>
      <c r="L53" s="26" t="s">
        <v>1323</v>
      </c>
    </row>
    <row r="54" customFormat="false" ht="15" hidden="false" customHeight="true" outlineLevel="0" collapsed="false">
      <c r="A54" s="41" t="str">
        <f aca="false">Presupuesto!A615</f>
        <v>13.11</v>
      </c>
      <c r="B54" s="41" t="str">
        <f aca="false">Presupuesto!B615</f>
        <v>ud</v>
      </c>
      <c r="C54" s="41" t="str">
        <f aca="false">Presupuesto!C615</f>
        <v>CARPINTERÍA V11 · BAÑO PRINCIPAL A PATIO</v>
      </c>
      <c r="D54" s="42" t="n">
        <v>1</v>
      </c>
      <c r="E54" s="42" t="n">
        <v>1</v>
      </c>
      <c r="F54" s="29" t="n">
        <f aca="false">E54-D54</f>
        <v>0</v>
      </c>
      <c r="G54" s="43" t="n">
        <f aca="false">IF(D54=0,"-",F54/D54)</f>
        <v>0</v>
      </c>
      <c r="H54" s="44" t="n">
        <f aca="false">Presupuesto!J618</f>
        <v>1428.3</v>
      </c>
      <c r="I54" s="29" t="n">
        <f aca="false">ROUND(D54*H54,2)</f>
        <v>1428.3</v>
      </c>
      <c r="J54" s="44" t="n">
        <f aca="false">Presupuesto!K618</f>
        <v>1428.3</v>
      </c>
      <c r="K54" s="29" t="n">
        <f aca="false">J54-I54</f>
        <v>0</v>
      </c>
      <c r="L54" s="26" t="s">
        <v>1324</v>
      </c>
    </row>
    <row r="55" customFormat="false" ht="42.75" hidden="false" customHeight="true" outlineLevel="0" collapsed="false">
      <c r="A55" s="41" t="str">
        <f aca="false">Presupuesto!A654</f>
        <v>14.03</v>
      </c>
      <c r="B55" s="41" t="str">
        <f aca="false">Presupuesto!B654</f>
        <v>m</v>
      </c>
      <c r="C55" s="41" t="str">
        <f aca="false">Presupuesto!C654</f>
        <v>BARANDILLA DE ACERO LACADO DE BARROTES REDONDOS</v>
      </c>
      <c r="D55" s="42" t="n">
        <v>26</v>
      </c>
      <c r="E55" s="42" t="n">
        <v>24.08</v>
      </c>
      <c r="F55" s="29" t="n">
        <f aca="false">E55-D55</f>
        <v>-1.92</v>
      </c>
      <c r="G55" s="43" t="n">
        <f aca="false">IF(D55=0,"-",F55/D55)</f>
        <v>-0.0738461538461539</v>
      </c>
      <c r="H55" s="44" t="n">
        <f aca="false">Presupuesto!J659</f>
        <v>215</v>
      </c>
      <c r="I55" s="29" t="n">
        <f aca="false">ROUND(D55*H55,2)</f>
        <v>5590</v>
      </c>
      <c r="J55" s="44" t="n">
        <f aca="false">Presupuesto!K659</f>
        <v>5177.2</v>
      </c>
      <c r="K55" s="29" t="n">
        <f aca="false">J55-I55</f>
        <v>-412.8</v>
      </c>
      <c r="L55" s="26" t="s">
        <v>1325</v>
      </c>
    </row>
    <row r="56" customFormat="false" ht="15" hidden="false" customHeight="true" outlineLevel="0" collapsed="false">
      <c r="A56" s="41" t="str">
        <f aca="false">Presupuesto!A660</f>
        <v>14.04</v>
      </c>
      <c r="B56" s="41" t="str">
        <f aca="false">Presupuesto!B660</f>
        <v>ud</v>
      </c>
      <c r="C56" s="41" t="str">
        <f aca="false">Presupuesto!C660</f>
        <v>MINI-BALCÓN DE CHAPA DE ACERO EN VENTANA DE FACHADA</v>
      </c>
      <c r="D56" s="42" t="n">
        <v>7</v>
      </c>
      <c r="E56" s="42" t="n">
        <v>7</v>
      </c>
      <c r="F56" s="29" t="n">
        <f aca="false">E56-D56</f>
        <v>0</v>
      </c>
      <c r="G56" s="43" t="n">
        <f aca="false">IF(D56=0,"-",F56/D56)</f>
        <v>0</v>
      </c>
      <c r="H56" s="44" t="n">
        <f aca="false">Presupuesto!J663</f>
        <v>480</v>
      </c>
      <c r="I56" s="29" t="n">
        <f aca="false">ROUND(D56*H56,2)</f>
        <v>3360</v>
      </c>
      <c r="J56" s="44" t="n">
        <f aca="false">Presupuesto!K663</f>
        <v>3360</v>
      </c>
      <c r="K56" s="29" t="n">
        <f aca="false">J56-I56</f>
        <v>0</v>
      </c>
      <c r="L56" s="26" t="s">
        <v>1326</v>
      </c>
    </row>
    <row r="57" customFormat="false" ht="15" hidden="false" customHeight="true" outlineLevel="0" collapsed="false">
      <c r="A57" s="41" t="str">
        <f aca="false">Presupuesto!A675</f>
        <v>15.01</v>
      </c>
      <c r="B57" s="41" t="str">
        <f aca="false">Presupuesto!B675</f>
        <v>m2</v>
      </c>
      <c r="C57" s="41" t="str">
        <f aca="false">Presupuesto!C675</f>
        <v>PINTURA PLÁSTICA LISA EN PAREDES Y TECHOS</v>
      </c>
      <c r="D57" s="42" t="n">
        <v>818.95</v>
      </c>
      <c r="E57" s="42" t="n">
        <v>1013.81</v>
      </c>
      <c r="F57" s="29" t="n">
        <f aca="false">E57-D57</f>
        <v>194.86</v>
      </c>
      <c r="G57" s="43" t="n">
        <f aca="false">IF(D57=0,"-",F57/D57)</f>
        <v>0.237938824104036</v>
      </c>
      <c r="H57" s="44" t="n">
        <f aca="false">Presupuesto!J679</f>
        <v>6.37</v>
      </c>
      <c r="I57" s="29" t="n">
        <f aca="false">ROUND(D57*H57,2)</f>
        <v>5216.71</v>
      </c>
      <c r="J57" s="44" t="n">
        <f aca="false">Presupuesto!K679</f>
        <v>6457.97</v>
      </c>
      <c r="K57" s="29" t="n">
        <f aca="false">J57-I57</f>
        <v>1241.26</v>
      </c>
      <c r="L57" s="26" t="s">
        <v>1327</v>
      </c>
    </row>
    <row r="58" customFormat="false" ht="15" hidden="false" customHeight="true" outlineLevel="0" collapsed="false">
      <c r="A58" s="41" t="str">
        <f aca="false">Presupuesto!A680</f>
        <v>15.02</v>
      </c>
      <c r="B58" s="41" t="str">
        <f aca="false">Presupuesto!B680</f>
        <v>m²</v>
      </c>
      <c r="C58" s="41" t="str">
        <f aca="false">Presupuesto!C680</f>
        <v>PINTURA AL SILICATO EN EXTERIORES (SI EL REVOCO NO VA COLOREADO)</v>
      </c>
      <c r="D58" s="42" t="n">
        <v>196.3</v>
      </c>
      <c r="E58" s="42" t="n">
        <v>317.11</v>
      </c>
      <c r="F58" s="29" t="n">
        <f aca="false">E58-D58</f>
        <v>120.81</v>
      </c>
      <c r="G58" s="43" t="n">
        <f aca="false">IF(D58=0,"-",F58/D58)</f>
        <v>0.615435557819664</v>
      </c>
      <c r="H58" s="44" t="n">
        <f aca="false">Presupuesto!J683</f>
        <v>7.55</v>
      </c>
      <c r="I58" s="29" t="n">
        <f aca="false">ROUND(D58*H58,2)</f>
        <v>1482.07</v>
      </c>
      <c r="J58" s="44" t="n">
        <f aca="false">Presupuesto!K683</f>
        <v>2394.18</v>
      </c>
      <c r="K58" s="29" t="n">
        <f aca="false">J58-I58</f>
        <v>912.11</v>
      </c>
      <c r="L58" s="26" t="s">
        <v>1328</v>
      </c>
    </row>
    <row r="60" customFormat="false" ht="15" hidden="false" customHeight="true" outlineLevel="0" collapsed="false">
      <c r="C60" s="3" t="s">
        <v>1329</v>
      </c>
      <c r="I60" s="45" t="n">
        <f aca="false">SUM(I6:I58)</f>
        <v>200559.85</v>
      </c>
      <c r="J60" s="45" t="n">
        <f aca="false">SUM(J6:J58)</f>
        <v>229709.74</v>
      </c>
      <c r="K60" s="45" t="n">
        <f aca="false">SUM(K6:K58)</f>
        <v>29149.89</v>
      </c>
    </row>
    <row r="62" customFormat="false" ht="15" hidden="false" customHeight="true" outlineLevel="0" collapsed="false">
      <c r="C62" s="11" t="s">
        <v>1330</v>
      </c>
      <c r="J62" s="42" t="n">
        <v>359203.02</v>
      </c>
    </row>
    <row r="63" customFormat="false" ht="15" hidden="false" customHeight="true" outlineLevel="0" collapsed="false">
      <c r="C63" s="11" t="s">
        <v>1331</v>
      </c>
      <c r="J63" s="44" t="n">
        <f aca="false">Resumen!C48</f>
        <v>379586.07</v>
      </c>
    </row>
    <row r="64" customFormat="false" ht="15" hidden="false" customHeight="true" outlineLevel="0" collapsed="false">
      <c r="C64" s="3" t="s">
        <v>1273</v>
      </c>
      <c r="J64" s="45" t="n">
        <f aca="false">J63-J62</f>
        <v>20383.05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2026-10-27T22:28:37Z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