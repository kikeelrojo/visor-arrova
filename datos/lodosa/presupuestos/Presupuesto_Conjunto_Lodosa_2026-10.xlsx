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resupuesto" sheetId="2" state="visible" r:id="rId4"/>
    <sheet name="Criterios" sheetId="3" state="visible" r:id="rId5"/>
    <sheet name="Mediciones BIM" sheetId="4" state="visible" r:id="rId6"/>
  </sheets>
  <definedNames>
    <definedName function="false" hidden="false" localSheetId="1" name="_xlnm.Print_Titles" vbProcedure="false">Presupuesto!$4:$4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<sst xmlns="http://schemas.openxmlformats.org/spreadsheetml/2006/main" count="3081" uniqueCount="1322">
  <si>
    <t xml:space="preserve">RESUMEN DE PRESUPUESTO</t>
  </si>
  <si>
    <t xml:space="preserve">DERRIBO Y VIVIENDA DE NUEVA PLANTA · C. ANCHA 34, LODOSA</t>
  </si>
  <si>
    <t xml:space="preserve">Presupuesto conjunto (derribo + obra nueva) · propuesta de octubre de 2026, con las mediciones del modelo BIM del 14-oct y la opción 3 de cubiertas del IFC final (21-oct); con la estructura del ingeniero (23-oct) y el IFC del 24-oct (muros bajo rasante y revoco)</t>
  </si>
  <si>
    <t xml:space="preserve">Capítulo</t>
  </si>
  <si>
    <t xml:space="preserve">Resumen</t>
  </si>
  <si>
    <t xml:space="preserve">Importe</t>
  </si>
  <si>
    <t xml:space="preserve">%</t>
  </si>
  <si>
    <t xml:space="preserve">D</t>
  </si>
  <si>
    <t xml:space="preserve">DERRIBO</t>
  </si>
  <si>
    <t xml:space="preserve">D01</t>
  </si>
  <si>
    <t xml:space="preserve">ACTUACIONES PREVIAS, PROTECCIÓN Y APEO DE MEDIANERAS</t>
  </si>
  <si>
    <t xml:space="preserve">D02</t>
  </si>
  <si>
    <t xml:space="preserve">DEMOLICIONES</t>
  </si>
  <si>
    <t xml:space="preserve">D03</t>
  </si>
  <si>
    <t xml:space="preserve">GESTIÓN DE RESIDUOS</t>
  </si>
  <si>
    <t xml:space="preserve">D04</t>
  </si>
  <si>
    <t xml:space="preserve">SEGURIDAD Y SALUD</t>
  </si>
  <si>
    <t xml:space="preserve">PEM DERRIBO</t>
  </si>
  <si>
    <t xml:space="preserve">ON</t>
  </si>
  <si>
    <t xml:space="preserve">OBRA NUEVA</t>
  </si>
  <si>
    <t xml:space="preserve">01</t>
  </si>
  <si>
    <t xml:space="preserve">CONSIDERACIONES PREVIAS</t>
  </si>
  <si>
    <t xml:space="preserve">02</t>
  </si>
  <si>
    <t xml:space="preserve">TRABAJOS PREVIOS Y DEMOLICIÓN</t>
  </si>
  <si>
    <t xml:space="preserve">03</t>
  </si>
  <si>
    <t xml:space="preserve">MOVIMIENTO DE TIERRAS</t>
  </si>
  <si>
    <t xml:space="preserve">04</t>
  </si>
  <si>
    <t xml:space="preserve">DRENAJES Y SANEAMIENTO</t>
  </si>
  <si>
    <t xml:space="preserve">05</t>
  </si>
  <si>
    <t xml:space="preserve">CIMENTACIÓN Y ESTRUCTURA</t>
  </si>
  <si>
    <t xml:space="preserve">   05.01</t>
  </si>
  <si>
    <t xml:space="preserve">   CIMENTACIÓN Y FORJADO SANITARIO</t>
  </si>
  <si>
    <t xml:space="preserve">   05.02</t>
  </si>
  <si>
    <t xml:space="preserve">   ESTRUCTURA</t>
  </si>
  <si>
    <t xml:space="preserve">06</t>
  </si>
  <si>
    <t xml:space="preserve">ALBAÑILERÍA</t>
  </si>
  <si>
    <t xml:space="preserve">07</t>
  </si>
  <si>
    <t xml:space="preserve">CUBIERTA</t>
  </si>
  <si>
    <t xml:space="preserve">08</t>
  </si>
  <si>
    <t xml:space="preserve">AISLAMIENTOS, IMPERMEABILIZACIÓN Y SELLADOS</t>
  </si>
  <si>
    <t xml:space="preserve">09</t>
  </si>
  <si>
    <t xml:space="preserve">FALSOS TECHOS</t>
  </si>
  <si>
    <t xml:space="preserve">10</t>
  </si>
  <si>
    <t xml:space="preserve">PAVIMENTOS</t>
  </si>
  <si>
    <t xml:space="preserve">11</t>
  </si>
  <si>
    <t xml:space="preserve">REVESTIMIENTOS</t>
  </si>
  <si>
    <t xml:space="preserve">12</t>
  </si>
  <si>
    <t xml:space="preserve">CARPINTERÍA INTERIOR</t>
  </si>
  <si>
    <t xml:space="preserve">13</t>
  </si>
  <si>
    <t xml:space="preserve">CARPINTERÍA EXTERIOR</t>
  </si>
  <si>
    <t xml:space="preserve">14</t>
  </si>
  <si>
    <t xml:space="preserve">PROTECCIONES SOLARES, METALISTERÍA Y VIDRIERÍA</t>
  </si>
  <si>
    <t xml:space="preserve">15</t>
  </si>
  <si>
    <t xml:space="preserve">PINTURA</t>
  </si>
  <si>
    <t xml:space="preserve">16</t>
  </si>
  <si>
    <t xml:space="preserve">INSTALACIONES</t>
  </si>
  <si>
    <t xml:space="preserve">   16.01</t>
  </si>
  <si>
    <t xml:space="preserve">   FONTANERÍA</t>
  </si>
  <si>
    <t xml:space="preserve">   16.02</t>
  </si>
  <si>
    <t xml:space="preserve">   CONTRA INCENDIOS</t>
  </si>
  <si>
    <t xml:space="preserve">   16.03</t>
  </si>
  <si>
    <t xml:space="preserve">   CALEFACCIÓN Y A.C.S.</t>
  </si>
  <si>
    <t xml:space="preserve">   16.04</t>
  </si>
  <si>
    <t xml:space="preserve">   VENTILACIÓN</t>
  </si>
  <si>
    <t xml:space="preserve">   16.05</t>
  </si>
  <si>
    <t xml:space="preserve">   ELECTRICIDAD E ILUMINACIÓN</t>
  </si>
  <si>
    <t xml:space="preserve">   16.06</t>
  </si>
  <si>
    <t xml:space="preserve">   TELECOMUNICACIONES</t>
  </si>
  <si>
    <t xml:space="preserve">18</t>
  </si>
  <si>
    <t xml:space="preserve">CONTROL DE CALIDAD</t>
  </si>
  <si>
    <t xml:space="preserve">   18.01</t>
  </si>
  <si>
    <t xml:space="preserve">   ESTRUCTURAS HORMIGON</t>
  </si>
  <si>
    <t xml:space="preserve">   18.02</t>
  </si>
  <si>
    <t xml:space="preserve">   ESTUDIO GEOTECNICO</t>
  </si>
  <si>
    <t xml:space="preserve">19</t>
  </si>
  <si>
    <t xml:space="preserve">20</t>
  </si>
  <si>
    <t xml:space="preserve">   20.01</t>
  </si>
  <si>
    <t xml:space="preserve">   SISTEMAS PROTECCION COLECTIVA</t>
  </si>
  <si>
    <t xml:space="preserve">   20.02</t>
  </si>
  <si>
    <t xml:space="preserve">   FORMACION</t>
  </si>
  <si>
    <t xml:space="preserve">   20.03</t>
  </si>
  <si>
    <t xml:space="preserve">   EQUIPOS PROTECCION INDIVIDUAL</t>
  </si>
  <si>
    <t xml:space="preserve">   20.04</t>
  </si>
  <si>
    <t xml:space="preserve">   MEDICINA PREVENTIVA Y PRIMEROS AUXILIOS</t>
  </si>
  <si>
    <t xml:space="preserve">   20.05</t>
  </si>
  <si>
    <t xml:space="preserve">   SEÑALIZACION PROVISIONAL DE OBRAS</t>
  </si>
  <si>
    <t xml:space="preserve">PEM OBRA NUEVA</t>
  </si>
  <si>
    <t xml:space="preserve">PRESUPUESTO DE EJECUCIÓN MATERIAL (PEM) TOTAL</t>
  </si>
  <si>
    <t xml:space="preserve">Gastos generales (%)</t>
  </si>
  <si>
    <t xml:space="preserve">Beneficio industrial (%)</t>
  </si>
  <si>
    <t xml:space="preserve">PRESUPUESTO BASE DE LICITACIÓN SIN IVA</t>
  </si>
  <si>
    <t xml:space="preserve">IVA (%) sobre derribo</t>
  </si>
  <si>
    <t xml:space="preserve">IVA (%) sobre obra nueva</t>
  </si>
  <si>
    <t xml:space="preserve">PRESUPUESTO BASE DE LICITACIÓN</t>
  </si>
  <si>
    <t xml:space="preserve">Ratios y referencias</t>
  </si>
  <si>
    <t xml:space="preserve">Superficie construida de la vivienda (m²)</t>
  </si>
  <si>
    <t xml:space="preserve">PEM total por m² construido (€/m²)</t>
  </si>
  <si>
    <t xml:space="preserve">Presupuesto anterior (24/12/2024, «rehabilitación»), PEM</t>
  </si>
  <si>
    <t xml:space="preserve">Azul: datos de entrada (mediciones, precios y porcentajes). Negro: fórmulas. Verde: enlaces a la hoja Presupuesto.</t>
  </si>
  <si>
    <t xml:space="preserve">GG 5 % + BI 5 % sobre el PEM total. IVA: 21 % en el derribo (como en el Proyecto de Derribo) y 10 % en la obra nueva de vivienda (criterio del presupuesto de 24/12/2024). Confirmar con la asesoría.</t>
  </si>
  <si>
    <t xml:space="preserve">PRESUPUESTO Y MEDICIONES</t>
  </si>
  <si>
    <t xml:space="preserve">DERRIBO Y VIVIENDA DE NUEVA PLANTA · C. ANCHA 34, LODOSA · Presupuesto conjunto (derribo + obra nueva) · propuesta de octubre de 2026</t>
  </si>
  <si>
    <t xml:space="preserve">Código</t>
  </si>
  <si>
    <t xml:space="preserve">Ud</t>
  </si>
  <si>
    <t xml:space="preserve">Uds</t>
  </si>
  <si>
    <t xml:space="preserve">Longitud</t>
  </si>
  <si>
    <t xml:space="preserve">Anchura</t>
  </si>
  <si>
    <t xml:space="preserve">Altura</t>
  </si>
  <si>
    <t xml:space="preserve">Parcial</t>
  </si>
  <si>
    <t xml:space="preserve">Cantidad</t>
  </si>
  <si>
    <t xml:space="preserve">Precio</t>
  </si>
  <si>
    <t xml:space="preserve">Origen del precio / observaciones</t>
  </si>
  <si>
    <t xml:space="preserve">tipo</t>
  </si>
  <si>
    <t xml:space="preserve">cap</t>
  </si>
  <si>
    <t xml:space="preserve">sub</t>
  </si>
  <si>
    <t xml:space="preserve">C</t>
  </si>
  <si>
    <t xml:space="preserve">D01.01</t>
  </si>
  <si>
    <t xml:space="preserve">m2</t>
  </si>
  <si>
    <t xml:space="preserve">APEO DE ESTRUCTURA CON MADERA</t>
  </si>
  <si>
    <t xml:space="preserve">M². Apeo de estructura con sopandas, puntales y durmientes de madera, hasta una altura de 3 m, i/replanteo y p.P. De costes indirectos.</t>
  </si>
  <si>
    <t xml:space="preserve">Fachada norte</t>
  </si>
  <si>
    <t xml:space="preserve">Fachada sur</t>
  </si>
  <si>
    <t xml:space="preserve">Importe del documento del proyecto, sin cambios</t>
  </si>
  <si>
    <t xml:space="preserve">P</t>
  </si>
  <si>
    <t xml:space="preserve">D01.02</t>
  </si>
  <si>
    <t xml:space="preserve">APEOS DE FACHADA</t>
  </si>
  <si>
    <t xml:space="preserve">M2. Estructura superslim para estabilización de fachadas, de rmd kwikform iberica, s.A, consistente en formación de estructura superslim de vigas aligeradas con uniones atornilladas, dicha estructura se une a la fachada mediante las correas superslim exteriores e interiores. La finalidad del sistema es estabilizar la fachada frente a posibles cargas horizontales de viento y 1 % debido a posibles desplomes. Se incluye en el precio el montaje y desmontaje, alquiler, transporte, medios auxiliares, acometidas, hasta una altura máxima de 10 m., I/replanteo y p.P. De costes indirectos. Se incluyen vigas metálicas que pasen los muros y curuzen y den estabilidad a las fachadas. Según criteriorios arquitecto director. Según documentación de los planos de proyecto</t>
  </si>
  <si>
    <t xml:space="preserve">TOTAL D01 ACTUACIONES PREVIAS, PROTECCIÓN Y APEO DE MEDIANERAS</t>
  </si>
  <si>
    <t xml:space="preserve">D02.01</t>
  </si>
  <si>
    <t xml:space="preserve">ud</t>
  </si>
  <si>
    <t xml:space="preserve">DESMONTES Y DEMOLICIONES</t>
  </si>
  <si>
    <t xml:space="preserve">Desmontes y demoliciones realizados con medios manuales, mecánico-neumáticos y/o eléctricos, siempre que no afecten a la solidez de los elementos que se proyecta conservar, y siguiendo en todo momento las directrices, procesos, orden y disposiciones previstas en el proyecto, en los apartados correspondientes a desmontes y demoliciones, comprendiendo: - La preparación previa de la obra, vallados, desconexión de acometidas de servicios, retirada de depósitos de todo tipo, desinfección y desinsectación del edificio, montaje de los medios auxiliares, montaje de los elementos de seguridad que eviten la caída o proyección de materiales al exterior, etc., Estando incluido su costo en los gastos generales de la obra excepción hecha de lso que expresamente se consideren en el presente presupuesto; - Los apeos previos que se indican (en su caso) en los planos y memorias, los que se señalen en dirección de obra o los que la urgencia determinen, estando incluido su costo en los gastos generales de la obra excepción hecha de los que expresamente se consideren en el presente presupuesto; - La preparación de la unidad de obra para su demolición, tal como cortes de viguetas para producir la separación física de lo demolible con lo que permanece en pie, etc., - La demolición de la unidad o elemento de que se trate con todo tipo de instalaciones que albergue (tuberías, conductos eléctricos o de aire, entramados secundarios, etc.) Que soporte (radiadores, aparatos sanitarios,espejos, estanterías, armarios, rejillas, luminarias, regletas, accesorios, etc.) Orevestimientos adicionales como azulejos, zócales, molduras; - Los acarreos, contenedores, tolvas; - La carga, transporte a vertedero, descarga y canon de vertido en vertedero autorizado de la totalidad de los productos procedentes de los desmontes y demoliciones; - Los esponjamientos; - Todos cuantos medios auxiliares se necesiten (apeos, cintas continuas, andamiajes, grúas fijas o móviles, maquinaria pesada y colocación y retirada con grúa móvil de gran tonelaje, maquinaria ligera, herramienta, tableros de trabajo o de paso, etc.); - Cuantos medios de protección y seguridad se precisen, tanto los contemplados en el correspondiente estudio o plan de seguridad aprobado (que se abonarán según lo establecido en aquel) como los que se determinen a pie de tajo; - La completa y esmerada limpieza final de la zona de trabajo; - Lo que de concreto para cada unidad se refleja en cada una de las especificaciones que a continuación se desarrollan; - El precio abarcará también la recomposición de fábricas, mochetas o enlaces de los muros medianeros que permanecen ( en el supuesto de que sufrieran deterioros), así como la reposición de los elementos estructurales afectados. Esta nota previa general lo es para todo el presupuesto de desmontes y demoliciones en sus diferentes capítulos y partidas. El criterio de medición se expresa en cada partida, siendo la regla general medir la unidad de obra global de que se trata, según la unidad de medición establecida en cada caso, sin deducciones de huecos y sin incrementos por componentes. Se entiende que el costo total del derribo viene reflejado en las partidas del presupuesto, estando incluido en los gastos generales cualquier otra partida, mano de obra, medio auxiliar, maquinaria, herramienta, materiales, sistemas dea peo, protección y seguridad que fuesen precisos para llevar a cabo la total demolición de lo proyectado bien por el método previsto en el proyecto o bien por la alternativa que previamente se pudiera presentar por el adjudicatario y aprobar por la dirección facultativa.</t>
  </si>
  <si>
    <t xml:space="preserve">General</t>
  </si>
  <si>
    <t xml:space="preserve">D02.02</t>
  </si>
  <si>
    <t xml:space="preserve">NOTA PREVIA DE DERRIBO</t>
  </si>
  <si>
    <t xml:space="preserve">Todos los conceptos que a continuación se eneumeran se incluyen dentros los costos generales de la obra son: Señalización y marcaje de todos los tabiques y elementos de derribar, según instrucciones del d.E.O., Señalizaciones en general, replanteos, marcados, compartimentación de zonas, automatización sistemática de los procesos de protección antipolvo, pasos provisionales, cierres provisionales, limpieza diaria de las zonas de trabajo y medidas de seguridad complementarias, derivadas de la necesidad de realizar los trabajos con los pabellones y galerías prestando su función asistencial. Todas las operaciones descritas en este capítulo u otros resultantes por el proceso de obra, se entiende llevarán incorporado en su precio aquellas medidas de apeos, cierres de colindantes y protecciones necesarias para su seguridad y correcta ejecución. Se incluye en el precio de cada partida las medidas de seguridad descritas en el estudio de seguridad y aprobadas por el coordinador de seguridad.</t>
  </si>
  <si>
    <t xml:space="preserve">D02.03</t>
  </si>
  <si>
    <t xml:space="preserve">DESMONTAJE Y TRASLADO MOBILIARIO</t>
  </si>
  <si>
    <t xml:space="preserve">Desmontaje del mobiliario existente en la totalidad del edificio incluso armarios empotrados, de acuerdo a cada una de las fases previstas. Traslado del mismo a otras zonas del edificio tantas veces como sea necesario, i/traslado a vertedero de mobiliario que no se pueda reutilizar y canon de vertido. La medición es del total de las obras.</t>
  </si>
  <si>
    <t xml:space="preserve">D02.04</t>
  </si>
  <si>
    <t xml:space="preserve">m</t>
  </si>
  <si>
    <t xml:space="preserve">PROTECCION PERIMETRO</t>
  </si>
  <si>
    <t xml:space="preserve">Protección del edificio para evitar las proyecciones de materiales procedentes del desmonte o derribos hacia el exterior, a base de marquesina resistente abarcando el conjunto de piezas y elementos portantes (puntales, durmientes, jácenas, tornapuntas y jabalcones, etc) y el tablero o elemento suficientemente resistente para la formación de la marquesina. En ningún momento se permitirá la acumularción de escombro en tal cantidad que ponga el peligro la estabilidad y seguridad de la marquesina, para lo cual se desescombrará cuantas veces sean necesarias y como mínimo una vez al día (al acabar la jornada), previa inspección del personal responsable del adjudicatario adscrito a esta función. Se medirá la longitud de la fachada exterior.</t>
  </si>
  <si>
    <t xml:space="preserve">Perímetro</t>
  </si>
  <si>
    <t xml:space="preserve">D02.05</t>
  </si>
  <si>
    <t xml:space="preserve">EQUIPO EXTINCIÓN</t>
  </si>
  <si>
    <t xml:space="preserve">Conjunto de equipos de extinción que se citan a continuación, como presencias de los mismos en obra y su posible uso y desgaste o consumo en caso de necesidad a lo largo del proceso de derribos y desescombrado, según lo expresado en las notas previas. El conjunto abarca: Cuatro extintores de polvo seco, de 10 dm3 y dos extintores de co2. La presencia se entiende inexcusablemente obligatoria en los tajos abiertos de desmontes y/o demoliciones. Se aleccionará a todo el personal presente en la obra durante la ejecución de este tipo de trabajos sobre el manejo de los extintores, notificación de uso y de desgaste o deterioro, etc .</t>
  </si>
  <si>
    <t xml:space="preserve">D02.06</t>
  </si>
  <si>
    <t xml:space="preserve">DEMOLICIÓN DE CUBIERTAS Y EDIFICIO DE MADERA</t>
  </si>
  <si>
    <t xml:space="preserve">Desmontaje integral de la estructura de madera existente, con especial atencion en la cubierta, incluyendo la retirada manual y cuidadosa de todos los elementos estructurales constituyentes: Vigas, pilares, correas y demás componentes de madera, mediante procedimientos que garanticen su integridad y posibiliten su reutilización. Se contempla el aprovechamiento de todos aquellos elementos que se encuentren en estado adecuado para su reincorporación en la nueva estructura, debiendo ser clasificados, acopiados y almacenados en zona seca y protegida para asegurar su correcta conservación hasta el momento de su reinstalación. La intervención comprende la totalidad de la estructura portante de madera del edificio, afectando a todos los niveles o secciones en los que ésta esté presente. La empresa adjudicataria deberá elaborar un informe técnico de desmontaje exhaustivo, documentando la ubicación original de cada uno de los elementos estructurales mediante planos, croquis, esquemas u otros medios gráficos necesarios, con el objeto de permitir su correcta recolocación en la nueva estructura de clt (cross laminated timber) una vez ejecutada. Este informe formará parte de la documentación final de obra.</t>
  </si>
  <si>
    <t xml:space="preserve">Cubiertas y estructura de madera</t>
  </si>
  <si>
    <t xml:space="preserve">D02.07</t>
  </si>
  <si>
    <t xml:space="preserve">m3</t>
  </si>
  <si>
    <t xml:space="preserve">DEMOLICIÓN COMPLETA EDIFICIO A MÁQUINA</t>
  </si>
  <si>
    <t xml:space="preserve">M³. Demolición, sobre rasante, de elementos varios de un edificio estructuralmente aislado, mediante empuje de máquina hasta 2/3 de la altura de ataque de la misma, i/riego de escombros, carga mecánica de estos sobre camión, transporte a vertedero y p.P. De costes indirectos, según nte/add-20.</t>
  </si>
  <si>
    <t xml:space="preserve">Edificio pegado a viviendas</t>
  </si>
  <si>
    <t xml:space="preserve">D02.08</t>
  </si>
  <si>
    <t xml:space="preserve">DEMOLICIÓN DE PAVIMENTO.</t>
  </si>
  <si>
    <t xml:space="preserve">Demolición mecánica y manual en el caso que sea imposible su acceso en cualquier tipo de pavimento (hormigón en masa o armado, asfalto, piedra, baldosas, adoquín prefabricado), de espesores variables, incluso solera de hormigón i/p.P. Bordillo existente, instalaciones en parcela, e infraestructuras, carga y transporte a vertedero, canon de vertido y adecuación de éste. No se dañara nada del pavimento que no este dentro del ámbito. Todo gasto que se produzca fuera de la parcela de actuacion, correra a cargo del contratista.</t>
  </si>
  <si>
    <t xml:space="preserve">Planta baja</t>
  </si>
  <si>
    <t xml:space="preserve">D02.09</t>
  </si>
  <si>
    <t xml:space="preserve">DEMOLICIÓN DE ESTRUCTURA</t>
  </si>
  <si>
    <t xml:space="preserve">Demolición de la estructura existente (forjados y muros de adobe y mampostería) por fases y de arriba abajo, incluida en la partida D02.07; según el Proyecto de Derribo.</t>
  </si>
  <si>
    <t xml:space="preserve">D02.10</t>
  </si>
  <si>
    <t xml:space="preserve">DEMOLICIÓN DE MUROS Y TABIQUERÍAS</t>
  </si>
  <si>
    <t xml:space="preserve">Demolición de muros y tabiquerías interiores, incluida en la partida D02.07; según el Proyecto de Derribo.</t>
  </si>
  <si>
    <t xml:space="preserve">TOTAL D02 DEMOLICIONES</t>
  </si>
  <si>
    <t xml:space="preserve">D03.01</t>
  </si>
  <si>
    <t xml:space="preserve">t</t>
  </si>
  <si>
    <t xml:space="preserve">TRANSPORTE Y CANON DE PÉTREOS A PLANTA DE RCD</t>
  </si>
  <si>
    <t xml:space="preserve">Transporte y canon de residuos pétreos (piedra, adobe, cerámicos, morteros) a planta de RCD. Según el Estudio de Gestión de Residuos del Proyecto de Derribo (anexo 3), con entrega a gestor autorizado y certificados de gestión.</t>
  </si>
  <si>
    <t xml:space="preserve">Pétreos</t>
  </si>
  <si>
    <t xml:space="preserve">D03.02</t>
  </si>
  <si>
    <t xml:space="preserve">TRANSPORTE Y VALORIZACIÓN DE MADERA</t>
  </si>
  <si>
    <t xml:space="preserve">Transporte y valorización de la madera de la estructura y la cubierta. Según el Estudio de Gestión de Residuos del Proyecto de Derribo (anexo 3), con entrega a gestor autorizado y certificados de gestión.</t>
  </si>
  <si>
    <t xml:space="preserve">Madera</t>
  </si>
  <si>
    <t xml:space="preserve">D03.03</t>
  </si>
  <si>
    <t xml:space="preserve">TRANSPORTE Y GESTIÓN DE YESO</t>
  </si>
  <si>
    <t xml:space="preserve">Transporte y gestión de residuos de yeso separados. Según el Estudio de Gestión de Residuos del Proyecto de Derribo (anexo 3), con entrega a gestor autorizado y certificados de gestión.</t>
  </si>
  <si>
    <t xml:space="preserve">Yeso</t>
  </si>
  <si>
    <t xml:space="preserve">D03.04</t>
  </si>
  <si>
    <t xml:space="preserve">VIDRIO Y PLÁSTICOS (SACOS BIG BAG Y GESTOR)</t>
  </si>
  <si>
    <t xml:space="preserve">Recogida de vidrio y plásticos en sacos big bag y entrega a gestor. Los metales (≈ 0,9 t) se entregan con abono. Según el Estudio de Gestión de Residuos del Proyecto de Derribo (anexo 3), con entrega a gestor autorizado y certificados de gestión.</t>
  </si>
  <si>
    <t xml:space="preserve">Partida alzada</t>
  </si>
  <si>
    <t xml:space="preserve">D03.05</t>
  </si>
  <si>
    <t xml:space="preserve">INSPECCIÓN Y RETIRADA DE RESIDUOS PELIGROSOS (SIN AMIANTO)</t>
  </si>
  <si>
    <t xml:space="preserve">Inspección previa y retirada de residuos peligrosos por gestor autorizado. Si se detectara amianto, su retirada se valorará aparte. Según el Estudio de Gestión de Residuos del Proyecto de Derribo (anexo 3), con entrega a gestor autorizado y certificados de gestión.</t>
  </si>
  <si>
    <t xml:space="preserve">D03.06</t>
  </si>
  <si>
    <t xml:space="preserve">ALQUILER DE CUBAS, SACOS BIG BAG Y MEDIOS AUXILIARES</t>
  </si>
  <si>
    <t xml:space="preserve">Alquiler de cubas, sacos big bag y medios auxiliares para la separación en origen. Según el Estudio de Gestión de Residuos del Proyecto de Derribo (anexo 3), con entrega a gestor autorizado y certificados de gestión.</t>
  </si>
  <si>
    <t xml:space="preserve">TOTAL D03 GESTIÓN DE RESIDUOS</t>
  </si>
  <si>
    <t xml:space="preserve">D04.01</t>
  </si>
  <si>
    <t xml:space="preserve">VALLADO DE OBRA EN C. ANCHA Y C. DEL PESO</t>
  </si>
  <si>
    <t xml:space="preserve">Vallado trasladable de obra en los frentes de C. Ancha y C. del Peso, con puertas de acceso, durante la demolición. Según el Estudio Básico de Seguridad y Salud del Proyecto de Derribo (anexo 4).</t>
  </si>
  <si>
    <t xml:space="preserve">C. Ancha</t>
  </si>
  <si>
    <t xml:space="preserve">C. del Peso</t>
  </si>
  <si>
    <t xml:space="preserve">D04.02</t>
  </si>
  <si>
    <t xml:space="preserve">MARQUESINA O RED DE PROTECCIÓN EN C. ANCHA</t>
  </si>
  <si>
    <t xml:space="preserve">Marquesina de protección de viandantes o red vertical en la fachada de C. Ancha durante la demolición de la fachada, con acotado de la acera y autorización municipal. Según el Estudio Básico de Seguridad y Salud del Proyecto de Derribo (anexo 4).</t>
  </si>
  <si>
    <t xml:space="preserve">D04.03</t>
  </si>
  <si>
    <t xml:space="preserve">SEÑALIZACIÓN, BARANDILLAS Y TAPAS DE HUECOS</t>
  </si>
  <si>
    <t xml:space="preserve">Señalización de obra, barandillas y tapas de protección de huecos y bordes durante el derribo. Según el Estudio Básico de Seguridad y Salud del Proyecto de Derribo (anexo 4).</t>
  </si>
  <si>
    <t xml:space="preserve">D04.04</t>
  </si>
  <si>
    <t xml:space="preserve">EQUIPOS DE PROTECCIÓN INDIVIDUAL</t>
  </si>
  <si>
    <t xml:space="preserve">Equipos de protección individual para los trabajadores de la demolición (casco, guantes, botas, gafas, mascarillas, arneses). Según el Estudio Básico de Seguridad y Salud del Proyecto de Derribo (anexo 4).</t>
  </si>
  <si>
    <t xml:space="preserve">D04.05</t>
  </si>
  <si>
    <t xml:space="preserve">HIGIENE, BOTIQUÍN Y FORMACIÓN</t>
  </si>
  <si>
    <t xml:space="preserve">Instalaciones de higiene (aseo químico o local habilitado), botiquín y formación e información de los trabajadores. Según el Estudio Básico de Seguridad y Salud del Proyecto de Derribo (anexo 4).</t>
  </si>
  <si>
    <t xml:space="preserve">TOTAL D04 SEGURIDAD Y SALUD</t>
  </si>
  <si>
    <t xml:space="preserve">01.01</t>
  </si>
  <si>
    <t xml:space="preserve">INFORM Y LOCALIZ INST AGUA</t>
  </si>
  <si>
    <t xml:space="preserve">Información y localización de todos los elementos, valvulería, redes, arquetas, etc., De la instalación de agua potable, de acuerdo con scpsa,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</si>
  <si>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Precio del presupuesto de 24/12/2024 actualizado +6 %</t>
  </si>
  <si>
    <t xml:space="preserve">01.02</t>
  </si>
  <si>
    <t xml:space="preserve">INF+LOC REDES ELÉCTR, AT MT BT</t>
  </si>
  <si>
    <t xml:space="preserve">Información y localización de todos los elementos, arquetas, canalizaciones y redes de alta tensión, media tensión y eventualmente baja tensión, etc., De la instalación eléctrica, de acuerdo con iberdrola,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</si>
  <si>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01.03</t>
  </si>
  <si>
    <t xml:space="preserve">INF+LOC RED ALUMBRADO PÚBL SUBT</t>
  </si>
  <si>
    <t xml:space="preserve">Información y localización de todos los elementos, arquetas, canalizaciones y redes subterráneas, etc., De la instalación eléctrica de alumbrado público, de acuerdo con los servicios municipales y con la empresa encargada del mantenimiento de esta instalación en la zona,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</si>
  <si>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01.04</t>
  </si>
  <si>
    <t xml:space="preserve">INFORM Y LOCALIZ RED TELEFÓNICA</t>
  </si>
  <si>
    <t xml:space="preserve">Información y localización de todos los elementos, arquetas, canalizaciones y redes no ópticas, etc., De la instalación telefónica, de acuerdo con la ctne,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</si>
  <si>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01.05</t>
  </si>
  <si>
    <t xml:space="preserve">CARTEL INFORM GENERAL EJEC OBRAS</t>
  </si>
  <si>
    <t xml:space="preserve">Suministro y colocación de cartel informativo general de la obra, de dimensiones totales 200x140 cm, de construcción y diseño según orden foral 108/19 de junio de 1989, adaptado a los criterios marcados por el gobierno de navarra. Completo y colocado según especificaciones de la misma orden, y su eventual desmonte y colocación en un segundo lugar (generalmente en la fachada); Completo y colocado, según notas previas. A instancias de la d.F. Podrán incorporarse en el mismo imágenes o diseños referidos a la obra en construcción El precio abarca el conjunto de todas las puestas que sea preciso realizar a lo largo de la obra y en los lugares que indique la propiedad a través de la dirección de la obra, así como todos los elementos de fijación y anclaje en cada una de las ocasiones. Por tanto esta partida se medirá por una única unidad.</t>
  </si>
  <si>
    <t xml:space="preserve">01.06</t>
  </si>
  <si>
    <t xml:space="preserve">CJTO DESVÍO AGUAS PLUVIALES SUP.</t>
  </si>
  <si>
    <t xml:space="preserve">Partida habilitada para realizar el conjunto de todos los desvíos necesarios y de la recogida de aguas pluviales superficiales que discurran por el terreno con inmediata anteriororidad al comienzo de la obra. Incluye la protección del sistema alternativo para evitar su deterioro o mal funcionamiento durante la obra, así como su reparación cuantas veces sea preciso a juicio de la d.F.. Si llegara a realizarse según las indicaciones y a satisfacción de la d.F., Se medirá y abonará como una única unidad con independencia de los trabajos que conlleve.</t>
  </si>
  <si>
    <t xml:space="preserve">TOTAL 01 CONSIDERACIONES PREVIAS</t>
  </si>
  <si>
    <t xml:space="preserve">02.01</t>
  </si>
  <si>
    <t xml:space="preserve">DERRIBO SEGÚN PROYECTO DE DERRIBO (DOCUMENTO 11)</t>
  </si>
  <si>
    <t xml:space="preserve">Partida informativa: la demolición del edificio existente, la protección y el apeo de las medianeras, la gestión de sus residuos y su seguridad y salud se valoran en el Proyecto de Derribo (documento 11), con presupuesto propio (PEM 21.339,28 €). No suma en este presupuesto.</t>
  </si>
  <si>
    <t xml:space="preserve">Ver documento 11</t>
  </si>
  <si>
    <t xml:space="preserve">TOTAL 02 TRABAJOS PREVIOS Y DEMOLICIÓN</t>
  </si>
  <si>
    <t xml:space="preserve">03.01</t>
  </si>
  <si>
    <t xml:space="preserve">EXCAVACIÓN A CIELO ABIERTO PARA FORJADO SANITARIO</t>
  </si>
  <si>
    <t xml:space="preserve">Excavación a cielo abierto en terreno compacto, con medios mecánicos de pequeño tamaño (solar entre medianeras), hasta la cota de apoyo del encachado del forjado sanitario, con refino de fondos y carga sobre camión. Junto a las medianeras se excavará por bataches según indique la dirección facultativa.</t>
  </si>
  <si>
    <t xml:space="preserve">Planta baja, interior de muros</t>
  </si>
  <si>
    <t xml:space="preserve">Precio de referencia de mercado (Navarra, 2026); contrastar con PREOC / CYPE</t>
  </si>
  <si>
    <t xml:space="preserve">03.02</t>
  </si>
  <si>
    <t xml:space="preserve">EXCAVACIÓN EN ZANJAS PARA ZAPATAS CORRIDAS</t>
  </si>
  <si>
    <t xml:space="preserve">Excavación en zanjas para zapatas corridas bajo los muros de carga, con medios mecánicos y manuales junto a las medianeras, refino y limpieza de fondos y carga sobre camión.</t>
  </si>
  <si>
    <t xml:space="preserve">Zapatas bajo muros de planta baja</t>
  </si>
  <si>
    <t xml:space="preserve">03.03</t>
  </si>
  <si>
    <t xml:space="preserve">TRANSPORTE DE TIERRAS A VERTEDERO O PLANTA</t>
  </si>
  <si>
    <t xml:space="preserve">Carga y transporte de tierras procedentes de la excavación a vertedero autorizado o planta de reciclaje, con canon de vertido, considerando un esponjamiento del 25 %.</t>
  </si>
  <si>
    <t xml:space="preserve">Excavación forjado sanitario</t>
  </si>
  <si>
    <t xml:space="preserve">Zanjas</t>
  </si>
  <si>
    <t xml:space="preserve">03.04</t>
  </si>
  <si>
    <t xml:space="preserve">ENCACHADO DE GRAVA 40/80 MM BAJO FORJADO SANITARIO</t>
  </si>
  <si>
    <t xml:space="preserve">Encachado de grava caliza 40/80 mm de 20 cm de espesor, extendida y compactada con bandeja vibrante, como base del forjado sanitario.</t>
  </si>
  <si>
    <t xml:space="preserve">03.05</t>
  </si>
  <si>
    <t xml:space="preserve">LÁMINA DE POLIETILENO 0,2 mm BAJO FORJADO SANITARIO</t>
  </si>
  <si>
    <t xml:space="preserve">M². Lámina de polietileno de 0,2 mm de espesor, i/p.P. De perdidas por recortes y solapes.</t>
  </si>
  <si>
    <t xml:space="preserve">TOTAL 03 MOVIMIENTO DE TIERRAS</t>
  </si>
  <si>
    <t xml:space="preserve">04.01</t>
  </si>
  <si>
    <t xml:space="preserve">COLECTOR ENTERRADO PVC SN4 Ø110–125 MM</t>
  </si>
  <si>
    <t xml:space="preserve">Colector enterrado bajo el forjado sanitario de PVC compacto SN4 de 110–125 mm, con pendiente ≥ 2 %, sobre cama de arena de 10 cm, relleno lateral y superior, juntas elásticas y piezas especiales. Sistema separativo (fecales y pluviales).</t>
  </si>
  <si>
    <t xml:space="preserve">Fecales</t>
  </si>
  <si>
    <t xml:space="preserve">Pluviales</t>
  </si>
  <si>
    <t xml:space="preserve">04.02</t>
  </si>
  <si>
    <t xml:space="preserve">ARQUETA REGISTRABLE 51×51 CM</t>
  </si>
  <si>
    <t xml:space="preserve">Arqueta registrable de 51×51 cm de fábrica o prefabricada de hormigón, con solera de hormigón, enfoscado interior bruñido y tapa hermética; incluida la arqueta sifónica previa a la acometida.</t>
  </si>
  <si>
    <t xml:space="preserve">Garaje (esquina SE, junto a acometidas)</t>
  </si>
  <si>
    <t xml:space="preserve">04.03</t>
  </si>
  <si>
    <t xml:space="preserve">ACOMETIDA A LA RED MUNICIPAL</t>
  </si>
  <si>
    <t xml:space="preserve">Acometida a la red general de saneamiento de C. del Peso, con rotura y reposición del pavimento, conexión al pozo o colector municipal y pruebas; según condiciones del Ayuntamiento.</t>
  </si>
  <si>
    <t xml:space="preserve">04.04</t>
  </si>
  <si>
    <t xml:space="preserve">BAJANTE INSONORIZADA PP/PVC Ø110 MM</t>
  </si>
  <si>
    <t xml:space="preserve">Bajante de aguas residuales de polipropileno insonorizado de 110 mm, con abrazaderas isofónicas, piezas especiales y ventilación primaria por prolongación sobre cubierta.</t>
  </si>
  <si>
    <t xml:space="preserve">Bajantes residuales</t>
  </si>
  <si>
    <t xml:space="preserve">04.05</t>
  </si>
  <si>
    <t xml:space="preserve">RED INTERIOR DE DESAGÜES POR APARATO</t>
  </si>
  <si>
    <t xml:space="preserve">Red interior de desagües de PVC serie B (Ø32–50 mm a aparatos; manguetón de inodoro Ø110), con botes o sifones individuales, hasta la bajante o colector, probada.</t>
  </si>
  <si>
    <t xml:space="preserve">Lavabos</t>
  </si>
  <si>
    <t xml:space="preserve">Inodoros</t>
  </si>
  <si>
    <t xml:space="preserve">Duchas</t>
  </si>
  <si>
    <t xml:space="preserve">Fregadero cocina y txoko</t>
  </si>
  <si>
    <t xml:space="preserve">Lavavajillas, lavadora, lavadero</t>
  </si>
  <si>
    <t xml:space="preserve">Sumideros interiores</t>
  </si>
  <si>
    <t xml:space="preserve">04.06</t>
  </si>
  <si>
    <t xml:space="preserve">ARQUETA DE VENTILACIÓN DE LA CÁMARA DEL FORJADO SANITARIO</t>
  </si>
  <si>
    <t xml:space="preserve">Arqueta para la salida al exterior de la ventilación del vacío sanitario, de 60x60x60-200 cm , con paredes de ha25 de 15 cm de espesor y mallazo me10.10.8.8, Incluso tapa de de rejilla de acero galvanizado tipo tramex de 30.30.30.3 Mm o tipo cofunco en fundición, a decidir por la d.F. Previa presentación de muestras, así como conexión con el vacío sanitario con tubos de pvc pluviales de ø 200 mm asegurando el perfecto funcionamiento, colocando las piezas especiales de igual material y ø precisas. El fondo de la arqueta estará conectado con el drenaje del edificio para evitar la acumulación de aguas de lluvia. La conexión se realizará con un tubo de ø 125 mm como mínimo.</t>
  </si>
  <si>
    <t xml:space="preserve">Admisión por el hueco del ascensor</t>
  </si>
  <si>
    <t xml:space="preserve">04.07</t>
  </si>
  <si>
    <t xml:space="preserve">CONDUCTO DE VENTILACIÓN DE LA CÁMARA A CUBIERTA Ø160 MM</t>
  </si>
  <si>
    <t xml:space="preserve">Conducto de PVC Ø160 mm desde la cámara del forjado sanitario hasta cubierta, con remate y sombrerete, para la ventilación permanente de la cámara (protección frente al radón y la humedad).</t>
  </si>
  <si>
    <t xml:space="preserve">Conducto a cubierta</t>
  </si>
  <si>
    <t xml:space="preserve">TOTAL 04 DRENAJES Y SANEAMIENTO</t>
  </si>
  <si>
    <t xml:space="preserve">05.01</t>
  </si>
  <si>
    <t xml:space="preserve">CIMENTACIÓN Y FORJADO SANITARIO</t>
  </si>
  <si>
    <t xml:space="preserve">S</t>
  </si>
  <si>
    <t xml:space="preserve">05.01.01</t>
  </si>
  <si>
    <t xml:space="preserve">HORMIGÓN DE LIMPIEZA HM-20 BAJO ZAPATAS</t>
  </si>
  <si>
    <t xml:space="preserve">Hormigón de limpieza HM-20/P/20/I de 10 cm de espesor en el fondo de zapatas y vigas de atado, vertido y nivelado.</t>
  </si>
  <si>
    <t xml:space="preserve">Medición del IFC con la estructura del ingeniero (lodosa_bim_20261024-0000.ifc): planta de zapatas corridas 43,43 + aisladas 4,71 + vigas de atado 8,37 m²</t>
  </si>
  <si>
    <t xml:space="preserve">05.01.02</t>
  </si>
  <si>
    <t xml:space="preserve">ZAPATAS Y VIGAS DE ATADO DE HORMIGÓN ARMADO HA-25</t>
  </si>
  <si>
    <t xml:space="preserve">Zapatas corridas bajo los muros (ZC-1 80×50 excéntricas en las medianeras, ZC-2 70×40), zapatas aisladas bajo los pilares (Z-P6 130×130×50, Z-P7 110×110×50, Z-P8 y Z-P9 120×120×50) y vigas de atado y centradoras 40×40 (VA-1 40×50 bajo el portón), de hormigón armado HA-25/B/20/XC2 con acero B 500 S según el cuadro de cimentación del plano LO-E1, incluso encofrado donde sea necesario, vertido, vibrado y curado.</t>
  </si>
  <si>
    <t xml:space="preserve">Medición del IFC (lodosa_bim_20261024-0000.ifc): zapatas corridas 20,71 m³ (ZC-1 80×50 excéntricas en medianeras, ZC-2 70×40, trazadas bajo los muros con zócalo) + aisladas 2,35 m³ + vigas de atado 3,51 m³</t>
  </si>
  <si>
    <t xml:space="preserve">Mismo precio que la zapata corrida de la propuesta; contrastar con el aparejador</t>
  </si>
  <si>
    <t xml:space="preserve">05.01.03</t>
  </si>
  <si>
    <t xml:space="preserve">ZÓCALO DE HORMIGÓN ARMADO HA-25 DE 0,90 M</t>
  </si>
  <si>
    <t xml:space="preserve">Muro de zócalo de hormigón armado HA-25 de 0,90 m de altura en el arranque de todos los muros de planta baja (en los tramos con trasdosado ocupa todo el espesor), encofrado a dos caras, armado y vibrado, con barrera impermeable en su coronación; según el proyecto de estructuras.</t>
  </si>
  <si>
    <t xml:space="preserve">Medición del modelo BIM de Vectorworks (14-oct-2026)</t>
  </si>
  <si>
    <t xml:space="preserve">05.01.04</t>
  </si>
  <si>
    <t xml:space="preserve">SOLERA DE HORMIGÓN HM-20 DE 11,5 CM BAJO CUPOLEX</t>
  </si>
  <si>
    <t xml:space="preserve">Solera de hormigón HM-20 de 11,5 cm de espesor sobre el encachado y la lámina de polietileno, como base de apoyo de las piezas Cupolex.</t>
  </si>
  <si>
    <t xml:space="preserve">05.01.05</t>
  </si>
  <si>
    <t xml:space="preserve">FORJADO SANITARIO CUPOLEX CON CAPA DE COMPRESIÓN</t>
  </si>
  <si>
    <t xml:space="preserve">Forjado sanitario ventilado con encofrado perdido de piezas Cupolex de polipropileno reciclado (altura según proyecto de estructuras) sobre la solera, con capa de compresión de hormigón HA-25 y mallazo, pasatubos para la ventilación de la cámara, vertido, vibrado y curado.</t>
  </si>
  <si>
    <t xml:space="preserve">05.02</t>
  </si>
  <si>
    <t xml:space="preserve">ESTRUCTURA</t>
  </si>
  <si>
    <t xml:space="preserve">05.02.01</t>
  </si>
  <si>
    <t xml:space="preserve">FORJADO UNIDIRECCIONAL DE VIGUETAS Y BOVEDILLAS DE EPS 20+5</t>
  </si>
  <si>
    <t xml:space="preserve">Forjado unidireccional de viguetas pretensadas de hormigón y bovedillas de poliestireno expandido, canto 20+5 cm, con capa de compresión de HA-25 y mallazo, negativos y zunchos de borde, apeado y desapeado; según el proyecto de estructuras.</t>
  </si>
  <si>
    <t xml:space="preserve">Medición del IFC final de Vectorworks, opción 3 de cubiertas (21-oct-2026)</t>
  </si>
  <si>
    <t xml:space="preserve">05.02.02</t>
  </si>
  <si>
    <t xml:space="preserve">VIGAS DE HORMIGÓN ARMADO HA-25 (PLANAS Y DESCOLGADAS)</t>
  </si>
  <si>
    <t xml:space="preserve">Vigas de hormigón armado HA-25/B/20/XC1 con acero B 500 S, planas de 40×25 embebidas en el forjado y descolgadas de 30×45, 30×55 y 25×30, según los cuadros de vigas de los planos LO-E1 y LO-E2 (alternativa de hormigón armado de cada viga; en el garaje es la que exige R 90), incluso encofrado, armado, vertido, vibrado y curado.</t>
  </si>
  <si>
    <t xml:space="preserve">Cuadros de vigas (luz + 0,30 m de apoyos): 40×25 67,76 m; 30×45 38,05 m; 30×55 41,60 m; 25×30 5,20 m</t>
  </si>
  <si>
    <t xml:space="preserve">Precio de referencia de mercado (Navarra, 2026); contrastar con el aparejador</t>
  </si>
  <si>
    <t xml:space="preserve">05.02.03</t>
  </si>
  <si>
    <t xml:space="preserve">kg</t>
  </si>
  <si>
    <t xml:space="preserve">ACERO S275 EN PILARES DE TUBO #140.140.6 (P-1 A P-9)</t>
  </si>
  <si>
    <t xml:space="preserve">Pilares de tubo de acero conformado en frío #140.140.6 S275 (UNE-EN 10219) rellenos de mortero y embebidos en los muros, con placa base 200×300×15, cartelas y 4 pernos Ø16, placa de cabeza 200×260×12 y rigidizadores (detalles D1 a D3 del plano LO-E3), imprimación anticorrosiva, montaje y nivelación.</t>
  </si>
  <si>
    <t xml:space="preserve">9 pilares, 70,0 m de zapata a su último forjado × 24,6 kg/m + placas, cartelas y pernos 120 kg</t>
  </si>
  <si>
    <t xml:space="preserve">05.02.04</t>
  </si>
  <si>
    <t xml:space="preserve">ZUNCHO DE CORONACIÓN Y DINTEL EN PIEZA U DE YTONG</t>
  </si>
  <si>
    <t xml:space="preserve">Zuncho de coronación de muros y dinteles de hormigón armado HA-25 hormigonado dentro de piezas en U de hormigón celular Ytong (encofrado perdido), con armado longitudinal y estribos.</t>
  </si>
  <si>
    <t xml:space="preserve">05.02.05</t>
  </si>
  <si>
    <t xml:space="preserve">VIGA DE BORDE DE HORMIGÓN ARMADO EN TERRAZAS Y PORCHE</t>
  </si>
  <si>
    <t xml:space="preserve">Viga de borde de hormigón armado HA-25 en terrazas, porche y patio, con anclajes para la pletina base de las barandillas, encofrado y armado.</t>
  </si>
  <si>
    <t xml:space="preserve">Terrazas, porche y patio</t>
  </si>
  <si>
    <t xml:space="preserve">05.02.06</t>
  </si>
  <si>
    <t xml:space="preserve">PETO DE HORMIGÓN ARMADO EN CUBIERTA</t>
  </si>
  <si>
    <t xml:space="preserve">Peto de hormigón armado HA-25 de 20 cm en el borde de la cubierta plana y terrazas, encofrado a dos caras.</t>
  </si>
  <si>
    <t xml:space="preserve">Petos</t>
  </si>
  <si>
    <t xml:space="preserve">05.02.07</t>
  </si>
  <si>
    <t xml:space="preserve">LOSA ARMADA DE HORMIGÓN CELULAR YTONG PARA CUBIERTA, 25 CM</t>
  </si>
  <si>
    <t xml:space="preserve">Losa armada de hormigón celular Ytong de 25 cm para cubierta inclinada, suministrada y colocada con grúa sobre muros y zunchos, con armadura de atado y relleno de juntas.</t>
  </si>
  <si>
    <t xml:space="preserve">05.02.08</t>
  </si>
  <si>
    <t xml:space="preserve">PELDAÑO DE CHAPA DE ACERO PLEGADA SOBRE ZANCAS</t>
  </si>
  <si>
    <t xml:space="preserve">Peldaño de chapa de acero plegada de 4 mm, atornillado a los angulares de las zancas, con acabado antideslizante de clase 2, sin empotrar en los muros (detalle D4 del plano LO-E3).</t>
  </si>
  <si>
    <t xml:space="preserve">Planta baja a primera</t>
  </si>
  <si>
    <t xml:space="preserve">Planta primera a segunda</t>
  </si>
  <si>
    <t xml:space="preserve">Sin empotramiento ni anclaje químico en el muro: el peldaño apoya en las zancas (05.02.10)</t>
  </si>
  <si>
    <t xml:space="preserve">05.02.09</t>
  </si>
  <si>
    <t xml:space="preserve">BOVEDILLA DE HORMIGÓN Y YESO PROYECTADO EN EL TECHO DEL GARAJE (REI 90)</t>
  </si>
  <si>
    <t xml:space="preserve">Suplemento por bovedilla de hormigón en lugar de EPS en el forjado del techo del garaje y revestimiento inferior de yeso proyectado de 15 mm, para REI 90 (memoria estructural, ap. 9; DB-SI 6).</t>
  </si>
  <si>
    <t xml:space="preserve">Techo del garaje</t>
  </si>
  <si>
    <t xml:space="preserve">05.02.10</t>
  </si>
  <si>
    <t xml:space="preserve">ZANCAS DE PLETINA 200×12 S275 DE LA ESCALERA</t>
  </si>
  <si>
    <t xml:space="preserve">Zancas de la escalera de pletina de acero S275 de 200×12 mm, dos por tramo (la del muro, adosada sin empotrar), con placas de apoyo ancladas a los brochales del hueco, angulares de apoyo de los peldaños, imprimación anticorrosiva y montaje (detalle D4 del plano LO-E3).</t>
  </si>
  <si>
    <t xml:space="preserve">Planta baja a primera 2 × 6,1 m + primera a segunda 2 × 5,3 m = 22,8 m × 18,84 kg/m + placas y angulares (10 %)</t>
  </si>
  <si>
    <t xml:space="preserve">Precio de referencia de mercado (Navarra, 2026); contrastar con el aparejador (acero en taller con soldadura y montaje)</t>
  </si>
  <si>
    <t xml:space="preserve">05.02.11</t>
  </si>
  <si>
    <t xml:space="preserve">FORJADO UNIDIRECCIONAL DE VIGUETAS Y BOVEDILLAS DE EPS 15+5 (TERRAZA DE PLANTA SEGUNDA)</t>
  </si>
  <si>
    <t xml:space="preserve">Forjado unidireccional de viguetas pretensadas de hormigón y bovedillas de poliestireno expandido, canto 15+5 cm, con capa de compresión de HA-25 y mallazo, negativos y zunchos de borde, apeado y desapeado, en la terraza de planta segunda (luz ≤ 2,8 m), para dejar espesor al mortero de pendientes (Enrique, 14-oct); según el proyecto de estructuras.</t>
  </si>
  <si>
    <t xml:space="preserve">Proporcional al 05.02.01 (20+5, 74 €/m²) por el menor canto</t>
  </si>
  <si>
    <t xml:space="preserve">TOTAL 05 CIMENTACIÓN Y ESTRUCTURA</t>
  </si>
  <si>
    <t xml:space="preserve">06.01</t>
  </si>
  <si>
    <t xml:space="preserve">FÁBRICA DE HORMIGÓN CELULAR YTONG 30 CM, D350 (FACHADAS)</t>
  </si>
  <si>
    <t xml:space="preserve">Fábrica de bloques de hormigón celular Ytong de 30 cm (densidad 350 kg/m³, machihembrados) tomados con adhesivo de capa fina, incluso piezas especiales, cortes, armadura de tendel donde lo indique el proyecto, replanteo, nivelación y aplomado.</t>
  </si>
  <si>
    <t xml:space="preserve">06.02</t>
  </si>
  <si>
    <t xml:space="preserve">FÁBRICA DE HORMIGÓN CELULAR YTONG 20 CM, D350 (MUROS A PATIO)</t>
  </si>
  <si>
    <t xml:space="preserve">Fábrica de bloques de hormigón celular Ytong de 20 cm de densidad 350 kg/m³ (exigida por la transmitancia) en muros exteriores a patio y sin edificio colindante, tomados con adhesivo de capa fina.</t>
  </si>
  <si>
    <t xml:space="preserve">06.03</t>
  </si>
  <si>
    <t xml:space="preserve">FÁBRICA DE HORMIGÓN CELULAR YTONG 20 CM (MEDIANERAS Y MUROS DE CARGA)</t>
  </si>
  <si>
    <t xml:space="preserve">Fábrica de bloques de hormigón celular Ytong de 20 cm en medianeras y muros interiores de carga, tomados con adhesivo de capa fina, separada de las medianeras existentes por la junta de poliestireno.</t>
  </si>
  <si>
    <t xml:space="preserve">06.04</t>
  </si>
  <si>
    <t xml:space="preserve">JUNTA DE POLIESTIRENO EXPANDIDO 10 MM CONTRA MEDIANERA</t>
  </si>
  <si>
    <t xml:space="preserve">Junta de 10 mm de poliestireno expandido entre la fábrica nueva y la medianera existente, en toda su superficie.</t>
  </si>
  <si>
    <t xml:space="preserve">06.05</t>
  </si>
  <si>
    <t xml:space="preserve">TRASDOSADO DE HORMIGÓN CELULAR YTONG 7 CM CON CÁMARA</t>
  </si>
  <si>
    <t xml:space="preserve">Trasdosado de piezas de hormigón celular Ytong de 7 cm separado del muro por una cámara de espesor variable (regulariza la planta), tomado con adhesivo, con anclajes al muro.</t>
  </si>
  <si>
    <t xml:space="preserve">06.06</t>
  </si>
  <si>
    <t xml:space="preserve">TABIQUE DE HORMIGÓN CELULAR YTONG 7 CM</t>
  </si>
  <si>
    <t xml:space="preserve">Tabique de piezas de hormigón celular Ytong de 7 cm tomadas con adhesivo de capa fina, con anclajes a muros y banda elástica en el encuentro con el forjado.</t>
  </si>
  <si>
    <t xml:space="preserve">06.07</t>
  </si>
  <si>
    <t xml:space="preserve">CAJÓN DE PERSIANA Y DINTEL CON PIEZAS EN U DE YTONG</t>
  </si>
  <si>
    <t xml:space="preserve">Dintel y cajón de persiana formados con piezas en U de hormigón celular Ytong envolviendo el zuncho, con el hueco libre necesario para el paquete de lamas, aislamiento y remates.</t>
  </si>
  <si>
    <t xml:space="preserve">V1</t>
  </si>
  <si>
    <t xml:space="preserve">V2 y V3</t>
  </si>
  <si>
    <t xml:space="preserve">P1</t>
  </si>
  <si>
    <t xml:space="preserve">PG</t>
  </si>
  <si>
    <t xml:space="preserve">06.08</t>
  </si>
  <si>
    <t xml:space="preserve">FRENTE DE FORJADO CON PLAQUETA YTONG Y XPS 4 CM</t>
  </si>
  <si>
    <t xml:space="preserve">Revestimiento del frente de forjado y zuncho con plaqueta de hormigón celular Ytong y 4 cm de XPS, con malla de fibra de vidrio en el revoco.</t>
  </si>
  <si>
    <t xml:space="preserve">06.09</t>
  </si>
  <si>
    <t xml:space="preserve">RECIBIDO MARCOS EXTERIORES</t>
  </si>
  <si>
    <t xml:space="preserve">Colocación y recibido de carpinterías, metálicas o de madera, según notas previas.</t>
  </si>
  <si>
    <t xml:space="preserve">Ventanas y puertas exteriores</t>
  </si>
  <si>
    <t xml:space="preserve">06.10</t>
  </si>
  <si>
    <t xml:space="preserve">RECIBIDO MARCOS INTERIORES</t>
  </si>
  <si>
    <t xml:space="preserve">Colocación y recibido de marcos interiores, metálicos o de madera, según notas previas.</t>
  </si>
  <si>
    <t xml:space="preserve">Puertas interiores</t>
  </si>
  <si>
    <t xml:space="preserve">06.11</t>
  </si>
  <si>
    <t xml:space="preserve">AYUDAS ALBAÑ. A FONTANERÍA</t>
  </si>
  <si>
    <t xml:space="preserve">Ayudas de albañilería a la instalación completa de fontanería, según notas previas.</t>
  </si>
  <si>
    <t xml:space="preserve">06.12</t>
  </si>
  <si>
    <t xml:space="preserve">AYUDAS ALBAÑ. A ELECTRICIDAD</t>
  </si>
  <si>
    <t xml:space="preserve">Ayudas de albañilería a la instalación completa de electricidad, según notas previas.</t>
  </si>
  <si>
    <t xml:space="preserve">06.13</t>
  </si>
  <si>
    <t xml:space="preserve">AYUDAS ALBAÑ. CALEFACCIÓN, VENTILACIÓN Y ACS</t>
  </si>
  <si>
    <t xml:space="preserve">Ayudas de albañilería a la instalación completa de calefacción, ventilación y agua caliente sanitaria, según notas previas.</t>
  </si>
  <si>
    <t xml:space="preserve">TOTAL 06 ALBAÑILERÍA</t>
  </si>
  <si>
    <t xml:space="preserve">07.01</t>
  </si>
  <si>
    <t xml:space="preserve">AISLAMIENTO XPS 10 CM SOBRE LOSA DE CUBIERTA</t>
  </si>
  <si>
    <t xml:space="preserve">Aislamiento de poliestireno extruido de 10 cm (λ 0,034) sobre la losa de Ytong, con juntas a tope y continuidad en la coronación del zuncho.</t>
  </si>
  <si>
    <t xml:space="preserve">07.02</t>
  </si>
  <si>
    <t xml:space="preserve">TABLERO OSB/3 HIDRÓFUGO 20 MM</t>
  </si>
  <si>
    <t xml:space="preserve">Tablero OSB/3 hidrófugo de 20 mm fijado mecánicamente a la losa a través del aislamiento.</t>
  </si>
  <si>
    <t xml:space="preserve">Medición del IFC final (opción 3, 21-oct): igual que la teja, faldones 82,06 + aleros 6,31 m²</t>
  </si>
  <si>
    <t xml:space="preserve">07.03</t>
  </si>
  <si>
    <t xml:space="preserve">LÁMINA IMPERMEABLE TRANSPIRABLE BAJO TEJA</t>
  </si>
  <si>
    <t xml:space="preserve">Suministro y colocación de lámina flexible metalizada tipo tyvek enercor de dupontcompuesta de polietileno de alta densidad termoligado metalizado con capa superficial en polipropileno, en impermeabilizado de cubierta, colocado sobre rastreles de teja y con solapes de 10 cm., Medida la superficie, s/teja. VOLUMEN 1</t>
  </si>
  <si>
    <t xml:space="preserve">07.04</t>
  </si>
  <si>
    <t xml:space="preserve">RASTRELES Y CONTRARRASTRELES DE MADERA TRATADA</t>
  </si>
  <si>
    <t xml:space="preserve">Rastreles y contrarrastreles de madera tratada en autoclave formando cámara ventilada bajo teja, con rejilla antipájaros en la salida.</t>
  </si>
  <si>
    <t xml:space="preserve">07.05</t>
  </si>
  <si>
    <t xml:space="preserve">m²</t>
  </si>
  <si>
    <t xml:space="preserve">COBERTURA DE TEJA CERÁMICA MIXTA</t>
  </si>
  <si>
    <t xml:space="preserve">Cobertura de teja cerámica mixta sobre rastreles, fijada según el fabricante, con piezas especiales de alero, cumbrera y limatesa, totalmente terminada.</t>
  </si>
  <si>
    <t xml:space="preserve">07.06</t>
  </si>
  <si>
    <t xml:space="preserve">CANALÓN DE CHAPA DE ZINC</t>
  </si>
  <si>
    <t xml:space="preserve">Ml.Suministro, puesta en obra y montaje de canalón doble de chapa galvanizada de 1,5 mm de espesor y desarrollo aprox. 1.100 Mm, segun detalles, incluyendo; Beloque de chapa galvanizada de 1,5 mm de 20 cm de desarrollo en encuentro con pared, cortes, juntas de dilatación cada 8 mts, con cubrejuntas, embocaduras, para bajantes, tapas laterales, ingletes, pérdidas, pasivizados, tornillería galvanizada, formación de pendientes, posibles ganchos de sujección. Completo. Según cotas, secciones, despieces y disposiciones de proyecto. (Se medirá longitud ejecutada).</t>
  </si>
  <si>
    <t xml:space="preserve">Canalones: estimación de la propuesta (24 m) + 5,67 m junto a la medianera oeste, donde vierte el faldón de la opción 3 (IFC, 21-oct)</t>
  </si>
  <si>
    <t xml:space="preserve">07.07</t>
  </si>
  <si>
    <t xml:space="preserve">BAJANTE PLUVIAL VISTA DE ZINC Ø100</t>
  </si>
  <si>
    <t xml:space="preserve">Bajante de pluviales vista de chapa de zinc de 100 mm con abrazaderas y conexión a la red enterrada.</t>
  </si>
  <si>
    <t xml:space="preserve">Fachada C. Ancha</t>
  </si>
  <si>
    <t xml:space="preserve">Fachada C. del Peso</t>
  </si>
  <si>
    <t xml:space="preserve">Patios</t>
  </si>
  <si>
    <t xml:space="preserve">07.08</t>
  </si>
  <si>
    <t xml:space="preserve">REMATES, BABEROS Y VIERTEAGUAS DE ZINC</t>
  </si>
  <si>
    <t xml:space="preserve">Remates de alero, coronación, babero sobre la última hilada de teja y encuentros con petos, de chapa de zinc plegada.</t>
  </si>
  <si>
    <t xml:space="preserve">Remates: 59,51 m de la opción 2 − 13,92 m: desaparecen los bordes del faldón ventilado y de la celosía y se añaden la coronación del faldón a la medianera oeste sobre el muro del patio y su encuentro al norte (bordes libres medidos en el modelo, 21-oct)</t>
  </si>
  <si>
    <t xml:space="preserve">07.09</t>
  </si>
  <si>
    <t xml:space="preserve">AISLAMIENTO XPS 14 CM EN CUBIERTA PLANA</t>
  </si>
  <si>
    <t xml:space="preserve">Aislamiento de poliestireno extruido de 14 cm sobre el forjado de la cubierta plana, bajo la lámina antiimpacto y el mortero de pendientes. No hay cubierta invertida: patio, porche, terraza y cubierta plana son forjado de viguetas + XPS + lámina antiimpacto + mortero de pendientes + lámina de betún modificado + mortero de protección + microcemento exterior (Enrique, 14-oct).</t>
  </si>
  <si>
    <t xml:space="preserve">Proporcional al 07.01 (XPS 10 cm, 17,50 €/m²)</t>
  </si>
  <si>
    <t xml:space="preserve">07.10</t>
  </si>
  <si>
    <t xml:space="preserve">SUMIDERO SIFÓNICO Ø90 CON REBOSADERO</t>
  </si>
  <si>
    <t xml:space="preserve">Sumidero sifónico de 90 mm con rebosadero, babero de conexión con la impermeabilización y rejilla.</t>
  </si>
  <si>
    <t xml:space="preserve">Cubiertas planas y terrazas</t>
  </si>
  <si>
    <t xml:space="preserve">07.11</t>
  </si>
  <si>
    <t xml:space="preserve">PUNTO DE ANCLAJE PARA LIMPIEZA Y MANTENIMIENTO</t>
  </si>
  <si>
    <t xml:space="preserve">Punto de anclaje homologado (UNE-EN 795) junto al lucernario para la limpieza y el mantenimiento de la cubierta.</t>
  </si>
  <si>
    <t xml:space="preserve">Ya no se colocan: con la opción 2 de cubiertas el ventanal de la escalera se limpia desde la terraza en cubierta</t>
  </si>
  <si>
    <t xml:space="preserve">07.12</t>
  </si>
  <si>
    <t xml:space="preserve">FORMACIÓN DE PENDIENTES CON MORTERO (1–2 %) EN PATIO, PORCHE, TERRAZA Y CUBIERTA PLANA</t>
  </si>
  <si>
    <t xml:space="preserve">Formación de pendientes del 1–2 % hacia los sumideros con mortero de cemento sobre la lámina antiimpacto y el aislamiento, espesor mínimo 2 cm junto a los sumideros (medio ≈ 5 cm), maestreado y fratasado como soporte de la lámina impermeable.</t>
  </si>
  <si>
    <t xml:space="preserve">07.13</t>
  </si>
  <si>
    <t xml:space="preserve">BARRERA DE VAPOR BAJO EL AISLAMIENTO EN CUBIERTA PLANA, PATIO Y PORCHE</t>
  </si>
  <si>
    <t xml:space="preserve">Barrera de vapor de film de polietileno de baja densidad de 0,2 mm sobre el forjado, bajo el XPS, con solapes de 10 cm sellados con cinta y entrega en los perímetros hasta la cara superior del aislamiento, en la cubierta plana y en el patio y el porche de planta primera (Enrique, 14-oct).</t>
  </si>
  <si>
    <t xml:space="preserve">TOTAL 07 CUBIERTA</t>
  </si>
  <si>
    <t xml:space="preserve">08.01</t>
  </si>
  <si>
    <t xml:space="preserve">AISLAMIENTO XPS 10 CM SOBRE FORJADO SANITARIO</t>
  </si>
  <si>
    <t xml:space="preserve">Aislamiento de poliestireno extruido de 10 cm (λ 0,034), con juntas a tope, sobre el forjado sanitario de las zonas calefactadas, incluso franja de 3,5 cm bajo umbrales.</t>
  </si>
  <si>
    <t xml:space="preserve">08.02</t>
  </si>
  <si>
    <t xml:space="preserve">XPS 4 CM SOBRE FORJADOS (PASO DE INSTALACIONES)</t>
  </si>
  <si>
    <t xml:space="preserve">Placas de poliestireno extruido de 4 cm de espesor y 38 kg/m3 de densidad, tipo floormate 500-a de styrofoam o similar, colocado bien con junta a media madera o contrapeado para evitar los puntos débiles que representen las uniones entre placas, incluso aportación de arena, corte y colocación. El material estará debidamente almacenado y acopiado o debidamente protegido. Se aportará la documentación técnica y de control del producto para ser aprobado por la d.F. Se medirá lo realmente ejecutado. VOLUMEN 1</t>
  </si>
  <si>
    <t xml:space="preserve">08.03</t>
  </si>
  <si>
    <t xml:space="preserve">LÁMINA ANTIIMPACTO 5 MM Y BANDA PERIMETRAL</t>
  </si>
  <si>
    <t xml:space="preserve">Lámina antiimpacto de polietileno reticulado de 5 mm bajo el mortero del suelo radiante y banda perimetral de 10 mm en todos los encuentros con muros, tabiques y umbrales.</t>
  </si>
  <si>
    <t xml:space="preserve">08.04</t>
  </si>
  <si>
    <t xml:space="preserve">BARRERA IMPERMEABLE EN EL ARRANQUE DE MUROS</t>
  </si>
  <si>
    <t xml:space="preserve">Barrera contra la humedad por capilaridad en la coronación del zócalo: lámina impermeable y mortero hidrófugo.</t>
  </si>
  <si>
    <t xml:space="preserve">Muros de planta baja</t>
  </si>
  <si>
    <t xml:space="preserve">08.05</t>
  </si>
  <si>
    <t xml:space="preserve">IMPERMEABILIZACION ASFALTICA ALFEIZAR</t>
  </si>
  <si>
    <t xml:space="preserve">M. Impermeabilización de zonas de alfeizar de huecos mediante previa imprimación del soporte con una dotación de 300 g/m² de la emulsión asfaltica emufal i y la aplicación de la lámina impermeabilizante autoadhesiva y autoprotegida, compuesta por un mástico elastomérico (sbs) con armadura de fieltro de fibra de vidrio y acabado mineral en la cara superior y un film siliconado extraíble en la inferior tipo texself fv 4 kg min. Impermeabilización de alfeizares, vierteaguas, encuentros de pilares, encuentros con formados, canales y otros elementos constructivos, a base de tela asfáltica soldada, de 4 kg/m2 y 130 cm. De desarrollo, incluso p.P. De solapes e imprimación previa asfáltica y sellado mediante masilla de poliuretano compacta. Medida la longitud ejecutada. VOLUMEN 1 Fachada norte</t>
  </si>
  <si>
    <t xml:space="preserve">Alféizares</t>
  </si>
  <si>
    <t xml:space="preserve">08.06</t>
  </si>
  <si>
    <t xml:space="preserve">SELLADO HERMÉTICO DE CARPINTERÍAS</t>
  </si>
  <si>
    <t xml:space="preserve">Sellado del perímetro de las carpinterías con cinta expansiva y láminas de estanqueidad interior/exterior para la hermeticidad (n50).</t>
  </si>
  <si>
    <t xml:space="preserve">Perímetro de huecos: 145 m de la propuesta − 13,40 m del lucernario de la propuesta + 8,60 m del V12 (lucernario escalera–terraza, opción 3)</t>
  </si>
  <si>
    <t xml:space="preserve">08.07</t>
  </si>
  <si>
    <t xml:space="preserve">IMPERMEABILIZACIÓN Y DRENAJE DE JARDINERA</t>
  </si>
  <si>
    <t xml:space="preserve">Lámina antirraíz, capa drenante y geotextil en la jardinera integrada en la viga de borde.</t>
  </si>
  <si>
    <t xml:space="preserve">Jardinera</t>
  </si>
  <si>
    <t xml:space="preserve">08.08</t>
  </si>
  <si>
    <t xml:space="preserve">IMPERMEABILIZACIÓN CON LÁMINA DE BETÚN MODIFICADO EN PATIO, PORCHE, TERRAZA Y CUBIERTA PLANA</t>
  </si>
  <si>
    <t xml:space="preserve">Impermeabilización con lámina de betún modificado LBM-40/FP adherida sobre el mortero de pendientes de los forjados exteriores (patio y porche, terraza de planta segunda y cubierta plana), con imprimación, media caña y remonte ≥ 20 cm en petos y paramentos, refuerzos en sumideros y encuentros; bajo el mortero de protección y el microcemento exterior (Enrique, 14-oct: lámina y microcemento; no se confía la estanqueidad solo al microcemento).</t>
  </si>
  <si>
    <t xml:space="preserve">TOTAL 08 AISLAMIENTOS, IMPERMEABILIZACIÓN Y SELLADOS</t>
  </si>
  <si>
    <t xml:space="preserve">09.01</t>
  </si>
  <si>
    <t xml:space="preserve">FALSO TECHO DE PLACA DE YESO LAMINADO 15 MM</t>
  </si>
  <si>
    <t xml:space="preserve">Falso techo de placa de yeso laminado de 15 mm (hidrófuga en baños y aseos) sobre perfilería de acero galvanizado y varilla roscada, con juntas tratadas, listo para pintar.</t>
  </si>
  <si>
    <t xml:space="preserve">09.02</t>
  </si>
  <si>
    <t xml:space="preserve">REGISTRO CON TAPA MAGNÉTICA ENRASADA</t>
  </si>
  <si>
    <t xml:space="preserve">Registro de instalaciones con tapa magnética enrasada, pintada como el paramento.</t>
  </si>
  <si>
    <t xml:space="preserve">Registros</t>
  </si>
  <si>
    <t xml:space="preserve">09.03</t>
  </si>
  <si>
    <t xml:space="preserve">TABICA DE PLACA DE YESO LAMINADO EN LOS BORDES DEL FALSO TECHO</t>
  </si>
  <si>
    <t xml:space="preserve">Tabica (cierre vertical) de placa de yeso laminado de 15 mm sobre perfilería de acero galvanizado, desde el borde del falso techo hasta la cara inferior del forjado, donde el falso techo termina en mitad de un espacio, con cantonera en la arista, juntas tratadas y lista para pintar (Enrique, 14-oct).</t>
  </si>
  <si>
    <t xml:space="preserve">Precio de referencia de mercado (Navarra, 2026), algo por encima del 09.01 por la cantonera y el trabajo en vertical; contrastar con PREOC / CYPE</t>
  </si>
  <si>
    <t xml:space="preserve">TOTAL 09 FALSOS TECHOS</t>
  </si>
  <si>
    <t xml:space="preserve">10.01</t>
  </si>
  <si>
    <t xml:space="preserve">MORTERO AUTONIVELANTE DE 4 CM CON SUELO RADIANTE</t>
  </si>
  <si>
    <t xml:space="preserve">Mortero autonivelante de 4 cm sobre el suelo radiante compacto, con aditivo para calefacción, juntas de dilatación y protocolo de primer encendido.</t>
  </si>
  <si>
    <t xml:space="preserve">10.02</t>
  </si>
  <si>
    <t xml:space="preserve">RECRECIDO DE HORMIGÓN LIGERO 9 CM (SUELO DE PLANTA PRIMERA)</t>
  </si>
  <si>
    <t xml:space="preserve">Recrecido de hormigón ligero de 9 cm sobre el forjado de planta primera para el paso de instalaciones.</t>
  </si>
  <si>
    <t xml:space="preserve">Planta primera</t>
  </si>
  <si>
    <t xml:space="preserve">10.03</t>
  </si>
  <si>
    <t xml:space="preserve">PAVIMENTO CONTINUO DE MICROCEMENTO PULIDO INTERIOR</t>
  </si>
  <si>
    <t xml:space="preserve">Pavimento continuo de microcemento pulido sobre el mortero, con imprimación, malla, capas de base y acabado y sellado de poliuretano mate.</t>
  </si>
  <si>
    <t xml:space="preserve">10.04</t>
  </si>
  <si>
    <t xml:space="preserve">PAVIMENTO CONTINUO DE MICROCEMENTO EXTERIOR</t>
  </si>
  <si>
    <t xml:space="preserve">Pavimento continuo de microcemento para exterior, antideslizante clase 3, sobre el mortero autonivelante del patio, el porche, la terraza y la cubierta plana, con sellado alifático.</t>
  </si>
  <si>
    <t xml:space="preserve">10.05</t>
  </si>
  <si>
    <t xml:space="preserve">PAVIMENTO DE GRES PORCELÁNICO EN BAÑOS Y ASEOS</t>
  </si>
  <si>
    <t xml:space="preserve">Pavimento de gres porcelánico tomado con adhesivo C2 y rejuntado, en baños y aseos.</t>
  </si>
  <si>
    <t xml:space="preserve">10.06</t>
  </si>
  <si>
    <t xml:space="preserve">PAVIMENTO CONTINUO DE CUARZO EN GARAJE</t>
  </si>
  <si>
    <t xml:space="preserve">M². Pavimento continuo cuarzo gris para, sobre solera de hormigón ha-250 bombeado y vertido con grúa o dumper de 7 cm de espesor, con acabado monolítico incorporando 3 kg de cuarzo y 1,5 kg de cemento portland cem i/45 r, i/replanteo de solera, encofrado y desencofrado, colocación del hormigón dejando juntas de construcción en v, regleado y nivelado de solera, fratasado mecánico, incorporación capa de rodadura, enlisado y pulimentado, curado del hormigón, aserrado de juntas de retracción de 3 mm de espesor y profundidad 1/3 de la solera en cuadrículas no mayor de 5x5 m respetando igualmente juntas de dilatación, y sellado de juntas de retracción después de 28 días con masilla de poliuretano de elasticidad permanente, tipo sikaflex-a1 incluso transporte del hormigón a pie de tajo (grúa, dumper, etc...). Igual a medicon de suelo radiante tipo Minitec                                                                                     125,62 =DIF-RAD/10.11.CanPres</t>
  </si>
  <si>
    <t xml:space="preserve">10.07</t>
  </si>
  <si>
    <t xml:space="preserve">CANALETA CON REJILLA EN EL ACCESO DEL GARAJE</t>
  </si>
  <si>
    <t xml:space="preserve">Canaleta de recogida con rejilla de fundición o acero por el interior de la puerta del garaje, conectada a la red de pluviales.</t>
  </si>
  <si>
    <t xml:space="preserve">10.08</t>
  </si>
  <si>
    <t xml:space="preserve">UMBRAL DE PIEDRA Y ZAGUÁN DE P1</t>
  </si>
  <si>
    <t xml:space="preserve">Losa del zaguán con pendiente, acanaladuras rellenas de grava, umbral de piedra con goterón y umbral de aluminio con RPT ≤ 2 cm.</t>
  </si>
  <si>
    <t xml:space="preserve">10.09</t>
  </si>
  <si>
    <t xml:space="preserve">MORTERO DE PROTECCIÓN DE 4 CM SOBRE LA LÁMINA (PATIO, PORCHE, TERRAZA Y CUBIERTA PLANA)</t>
  </si>
  <si>
    <t xml:space="preserve">Mortero de protección de 4 cm armado con malla, sobre la lámina impermeable de los forjados exteriores (patio y porche, terraza de planta segunda y cubierta plana), como base del microcemento exterior, con juntas de dilatación y junta perimetral.</t>
  </si>
  <si>
    <t xml:space="preserve">Mismo precio que 10.01 (mortero autonivelante de 4 cm)</t>
  </si>
  <si>
    <t xml:space="preserve">TOTAL 10 PAVIMENTOS</t>
  </si>
  <si>
    <t xml:space="preserve">11.01</t>
  </si>
  <si>
    <t xml:space="preserve">REVOCO DE CAL / MONOCAPA EN FACHADAS Y PATIOS</t>
  </si>
  <si>
    <t xml:space="preserve">Revestimiento exterior de mortero de cal (o monocapa, a elegir por la dirección facultativa), en espesores de 10–15 mm, con malla de fibra de vidrio en encuentros y frentes de forjado y juntas de trabajo, acabado según muestra.</t>
  </si>
  <si>
    <t xml:space="preserve">11.02</t>
  </si>
  <si>
    <t xml:space="preserve">GUARNECIDO Y ENLUCIDO DE YESO EN PAREDES Y TECHOS</t>
  </si>
  <si>
    <t xml:space="preserve">Guarnecido maestreado y enlucido de yeso de 15 mm en paredes y techos interiores, con guardavivos y malla en encuentros de materiales.</t>
  </si>
  <si>
    <t xml:space="preserve">11.03</t>
  </si>
  <si>
    <t xml:space="preserve">ALICATADO CERÁMICO 10 MM EN BAÑOS Y ASEOS</t>
  </si>
  <si>
    <t xml:space="preserve">Alicatado de baldosa cerámica de 10 mm recibida con mortero cola de 5 mm sobre el tabique de Ytong, en baños, aseos y zona de ducha, con piezas de remate.</t>
  </si>
  <si>
    <t xml:space="preserve">11.04</t>
  </si>
  <si>
    <t xml:space="preserve">IMPERMEABILIZACIÓN BAJO ALICATADO EN DUCHAS</t>
  </si>
  <si>
    <t xml:space="preserve">Lamina de impermeabilizacion en paredes ducha y bañera. Volumen 1 Planta primera</t>
  </si>
  <si>
    <t xml:space="preserve">TOTAL 11 REVESTIMIENTOS</t>
  </si>
  <si>
    <t xml:space="preserve">12.01</t>
  </si>
  <si>
    <t xml:space="preserve">PUERTA DE PASO P2 ENRASADA 0,85 × 2,05</t>
  </si>
  <si>
    <t xml:space="preserve">Puerta de paso de una hoja abatible de 0,85 × 2,05 m (paso libre 0,82 m), enrasada con la pared y con su mismo acabado, bisagras ocultas y manilla Ocariz, según la ficha LO-G2.</t>
  </si>
  <si>
    <t xml:space="preserve">12.02</t>
  </si>
  <si>
    <t xml:space="preserve">PUERTA CORREDERA P3 OCULTA EN TABIQUE (VESTIDOR)</t>
  </si>
  <si>
    <t xml:space="preserve">Puerta corredera de 1,22 m oculta en el tabique, con armazón para tabique de Ytong, guía de 60 mm y fijo superior de dos paños hasta 2,70 m, según la ficha LO-G2.</t>
  </si>
  <si>
    <t xml:space="preserve">12.03</t>
  </si>
  <si>
    <t xml:space="preserve">PUERTA P4 EI2 45-C5 GARAJE–ALMACÉN</t>
  </si>
  <si>
    <t xml:space="preserve">Puerta de paso cortafuegos EI2 45-C5 de 0,90 m (paso ≥ 0,80 m) con cierre automático y fijo ciego, acabado de alerce y herrajes ocultos (o corredera cortafuegos certificada si se opta por la P3b).</t>
  </si>
  <si>
    <t xml:space="preserve">12.04</t>
  </si>
  <si>
    <t xml:space="preserve">SUMINISTRO PREMARCO MADERA</t>
  </si>
  <si>
    <t xml:space="preserve">Suministro de premarcos de madera para puertas interiores. Igual a medición P01                                                                    5,00 =12/12.05.CanPres Igual a medcion P02                                                                     2,00 =12/12.22.CanPres</t>
  </si>
  <si>
    <t xml:space="preserve">Puertas de paso</t>
  </si>
  <si>
    <t xml:space="preserve">TOTAL 12 CARPINTERÍA INTERIOR</t>
  </si>
  <si>
    <t xml:space="preserve">13.01</t>
  </si>
  <si>
    <t xml:space="preserve">CARPINTERÍA V1 · 1,15 × 2,28, FACHADA C. ANCHA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</si>
  <si>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(2.62 m²).</t>
  </si>
  <si>
    <t xml:space="preserve">13.02</t>
  </si>
  <si>
    <t xml:space="preserve">CARPINTERÍA V2 / V3 · FACHADA C. DEL PESO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</si>
  <si>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(3.04 m²).</t>
  </si>
  <si>
    <t xml:space="preserve">13.03</t>
  </si>
  <si>
    <t xml:space="preserve">CARPINTERÍA V4 · PLANTA BAJA, C. ANCHA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</si>
  <si>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779 €/m² (0.81 m²).</t>
  </si>
  <si>
    <t xml:space="preserve">13.04</t>
  </si>
  <si>
    <t xml:space="preserve">CARPINTERÍA V5 · FIJO EN ESQUINA AL PATIO PEQUEÑO (PLANTAS 1ª Y 2ª)</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</si>
  <si>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560 €/m² (5.86 m²).</t>
  </si>
  <si>
    <t xml:space="preserve">13.05</t>
  </si>
  <si>
    <t xml:space="preserve">CARPINTERÍA V5b · FIJO EN ESQUINA AL PATIO PEQUEÑO (PLANTA BAJA)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</si>
  <si>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560 €/m² (6.30 m²).</t>
  </si>
  <si>
    <t xml:space="preserve">13.06</t>
  </si>
  <si>
    <t xml:space="preserve">CARPINTERÍA V6 · ASEO AL PATIO PEQUEÑO (PLANTAS 1ª Y 2ª)</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</si>
  <si>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779 €/m² (0.62 m²).</t>
  </si>
  <si>
    <t xml:space="preserve">13.07</t>
  </si>
  <si>
    <t xml:space="preserve">CARPINTERÍA V6b · ASEO AL PATIO PEQUEÑO (PLANTA BAJA)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</si>
  <si>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779 €/m² (0.70 m²).</t>
  </si>
  <si>
    <t xml:space="preserve">13.08</t>
  </si>
  <si>
    <t xml:space="preserve">CARPINTERÍA V7 · COCINA A PATIO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</si>
  <si>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(2.59 m²).</t>
  </si>
  <si>
    <t xml:space="preserve">13.09</t>
  </si>
  <si>
    <t xml:space="preserve">CARPINTERÍA V8 · COCINA, BAJO EL FORJADO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</si>
  <si>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620 €/m² (6.60 m²).</t>
  </si>
  <si>
    <t xml:space="preserve">13.10</t>
  </si>
  <si>
    <t xml:space="preserve">CARPINTERÍA V9 · LAVANDERÍA, CON PANEL OPACO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</si>
  <si>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650 €/m² (3.60 m²) + panel opaco.</t>
  </si>
  <si>
    <t xml:space="preserve">13.11</t>
  </si>
  <si>
    <t xml:space="preserve">CARPINTERÍA V11 · BAÑO PRINCIPAL A PATIO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</si>
  <si>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(2.07 m²).</t>
  </si>
  <si>
    <t xml:space="preserve">13.12</t>
  </si>
  <si>
    <t xml:space="preserve">V10 · PUERTA OPACA DE ALERCE (DORMITORIO PRINCIPAL A PATIO)</t>
  </si>
  <si>
    <t xml:space="preserve">Puerta exterior opaca de alerce macizo (o acero galvanizado de doble chapa aislado, con RPT), con herrajes de seguridad y montaje, según la ficha LO-G1.</t>
  </si>
  <si>
    <t xml:space="preserve">V10</t>
  </si>
  <si>
    <t xml:space="preserve">13.13</t>
  </si>
  <si>
    <t xml:space="preserve">P1 · PORTAL DE ALERCE OPACO 1,82 × 2,45</t>
  </si>
  <si>
    <t xml:space="preserve">Portal de alerce opaco de 1,82 m (hoja 0,90 + fijo + montante 0,41) con galce, buzón, timbre y contadores integrados, cerradura de seguridad y montaje, según la ficha LO-G2.</t>
  </si>
  <si>
    <t xml:space="preserve">13.14</t>
  </si>
  <si>
    <t xml:space="preserve">PG · PUERTA BASCULANTE DE GARAJE 5,40 × 2,45 MOTORIZADA</t>
  </si>
  <si>
    <t xml:space="preserve">Puerta basculante no desbordante de una pieza de 5,40 × 2,45 m revestida en 4 paños verticales, con contrapesos en cajones laterales, carriles colgados, motor lateral, rejillas de ventilación ≥ 480 cm² y montaje, según la ficha LO-G2.</t>
  </si>
  <si>
    <t xml:space="preserve">13.15</t>
  </si>
  <si>
    <t xml:space="preserve">CARPINTERÍA V12 · LUCERNARIO ESCALERA–TERRAZA · 2,87 × 1,80/0,94, FIJO + PRACTICABLE, VIDRIO DE CONTROL SOLAR</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</si>
  <si>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V12, lucernario de la escalera a la terraza en cubierta, en el frente este del faldón que cubre la escalera: 2,87 m de largo, alféizar a +9,84 y cabeza en el plano del faldón (de 1,80 a 0,94 m de alto), con travesaño a +10,41; fijos y hoja practicable de 0,60 m. Acristalamiento 44.1 / 16 argón / 44.1 con capa de control solar (g ≤ 0,35, tipo SGG Cool-Lite) en lugar de estor. Precio unitario = superficie × 690 €/m² (3,93 m²) + suplemento del vidrio de control solar (45 €/m²).</t>
  </si>
  <si>
    <t xml:space="preserve">Precio de referencia de mercado (Navarra, 2026); contrastar con PREOC / CYPE · mismo criterio de €/m² que V7 y V11</t>
  </si>
  <si>
    <t xml:space="preserve">13.16</t>
  </si>
  <si>
    <t xml:space="preserve">VIERTEAGUAS DE ZINC / ALUMINIO</t>
  </si>
  <si>
    <t xml:space="preserve">Ml. Vierteaguas de chapa de aluminio anodizado o lacado en su color de 2 mm de espesor, mismas especificaciones que la carpintería exteriory/o panel composite de 4 mm idem fachada y 60 cm. De desarrollo, según detalle, colocado sobre tablero de dm hidrófugo de 19 mm incluido en el precio, i/patillas de sujeción soldadas, sellado de juntas con silicona incolora y limpieza, medido en su longitud. VOLUMEN 1 Fachada norte</t>
  </si>
  <si>
    <t xml:space="preserve">Ventanas de fachada</t>
  </si>
  <si>
    <t xml:space="preserve">Ventanas a patio</t>
  </si>
  <si>
    <t xml:space="preserve">TOTAL 13 CARPINTERÍA EXTERIOR</t>
  </si>
  <si>
    <t xml:space="preserve">14.01</t>
  </si>
  <si>
    <t xml:space="preserve">PERSIANA EXTERIOR WAREMA RAFFSTORE E 80 MOTORIZADA</t>
  </si>
  <si>
    <t xml:space="preserve">Persiana veneciana exterior WAREMA Raffstore E 80 A6 Z de lama de aluminio anodizado, con guías empotradas, motor y conexión al accionador, alojada en el cajón.</t>
  </si>
  <si>
    <t xml:space="preserve">14.02</t>
  </si>
  <si>
    <t xml:space="preserve">ESTOR EXTERIOR BANDALUX SCREEN MOTORIZADO</t>
  </si>
  <si>
    <t xml:space="preserve">Estor enrollable exterior Bandalux de tejido técnico screen (cara exterior clara, τe ≤ 0,20), con cajón, guías de cable laterales, motor y conexión al accionador.</t>
  </si>
  <si>
    <t xml:space="preserve">V7</t>
  </si>
  <si>
    <t xml:space="preserve">V11</t>
  </si>
  <si>
    <t xml:space="preserve">V12 (lucernario escalera–terraza): sin estor; control solar con vidrio g ≤ 0,35 (13.15)</t>
  </si>
  <si>
    <t xml:space="preserve">14.03</t>
  </si>
  <si>
    <t xml:space="preserve">BARANDILLA DE ACERO LACADO DE BARROTES REDONDOS</t>
  </si>
  <si>
    <t xml:space="preserve">Barandilla de acero lacado de barrotes redondos macizos Ø15 mm con luz libre ≤ 100 mm, pasamanos de chapa angular L 40.40.5 y pletina base de 120×10 mm anclada a la viga de borde o al forjado con varillas M12 cada 60 cm; altura 1,10 m en todas, medida desde el pavimento terminado y sin peto ni remate bajo la barandilla (DB-SUA 1).</t>
  </si>
  <si>
    <t xml:space="preserve">14.04</t>
  </si>
  <si>
    <t xml:space="preserve">MINI-BALCÓN DE CHAPA DE ACERO EN VENTANA DE FACHADA</t>
  </si>
  <si>
    <t xml:space="preserve">Mini-balcón abierto de chapa de acero plegada lacada (vuelo 0,30 m) con barandilla de barrotes redondos macizos Ø15 mm (luz libre ≤ 100 mm) y pasamanos de chapa angular L 40.40.5, altura 1,10 m (DB-SUA 1), anclado al zuncho.</t>
  </si>
  <si>
    <t xml:space="preserve">14.05</t>
  </si>
  <si>
    <t xml:space="preserve">BARANDILLA Y PASAMANOS DE LA ESCALERA</t>
  </si>
  <si>
    <t xml:space="preserve">Barandilla y pasamanos de acero lacado de la escalera interior.</t>
  </si>
  <si>
    <t xml:space="preserve">Escalera</t>
  </si>
  <si>
    <t xml:space="preserve">14.06</t>
  </si>
  <si>
    <t xml:space="preserve">CELOSÍA DE TRAMEX GALVANIZADO DEL FALDÓN VENTILADO · 2,77 × 1,80, FIJO + PUERTA DE 0,80</t>
  </si>
  <si>
    <t xml:space="preserve">Celosía de rejilla electrosoldada (tramex) de acero galvanizado en caliente, malla 33 × 100 mm con pletina portante de 30 × 3 mm, en un paño fijo de ≈ 1,85 m y una puerta abatible de 0,80 m del mismo material, con bastidor de pletina, bisagras soldadas y cerradura de llave; marco perimetral de angular L 40.40.4 galvanizado anclado al piñón, al muro y a la cubierta plana (sobre la protección de la lámina, sin perforarla) con tacos químicos y sellado. 2,77 × 1,80 m. Cierra el frente del faldón ventilado de C. del Peso, donde van la unidad exterior de la aerotermia y un almacenaje. Según la ficha de carpintería LO-G.</t>
  </si>
  <si>
    <t xml:space="preserve">Opción 3 de cubiertas (IFC, 21-oct): no hay faldón ventilado ni celosía</t>
  </si>
  <si>
    <t xml:space="preserve">Precio de referencia de mercado (Navarra, 2026): rejilla electrosoldada galvanizada en caliente ≈ 150 €/m² colocada + puerta con bastidor y cerradura + marco y anclajes; contrastar con PREOC / CYPE</t>
  </si>
  <si>
    <t xml:space="preserve">TOTAL 14 PROTECCIONES SOLARES, METALISTERÍA Y VIDRIERÍA</t>
  </si>
  <si>
    <t xml:space="preserve">15.01</t>
  </si>
  <si>
    <t xml:space="preserve">PINTURA PLÁSTICA LISA EN PAREDES Y TECHOS</t>
  </si>
  <si>
    <t xml:space="preserve">M2 de emplastecido, lijado de plastes, y dos manos de pintura plástica lisa blanca o pigmentada sobre paredes. Tipo acrílica lavable, acabado mate-seda. La pintura debe ser de calidad extra, superior, y debe aguantar sin alteraciones lavados con agua y lejía (desinfección y esterilización de zonas); La d.F. Exigirá prueba con resultado satisfactorio antes de la aplicación general a todas las zonas. Se incluye en el precio el pintado/lacado por separado de aparatos de todo tipo que tengan un color distinto al del paramento a cubrir, tal como difusores, rejillas, detectores, mecanismos, altavoces, cámaras, sondas, reguladores, etc. Color a definir por la df” Volumen 1 Planta baja</t>
  </si>
  <si>
    <t xml:space="preserve">15.02</t>
  </si>
  <si>
    <t xml:space="preserve">PINTURA AL SILICATO EN EXTERIORES (SI EL REVOCO NO VA COLOREADO)</t>
  </si>
  <si>
    <t xml:space="preserve">M². Pintura al silicato en exteriores, con dos manos, i/limpieza de superficies y acabado. Igual a medicion de revestimiento monocapa                                                                                        130,42 =11/D13GD054.CanPres</t>
  </si>
  <si>
    <t xml:space="preserve">TOTAL 15 PINTURA</t>
  </si>
  <si>
    <t xml:space="preserve">16.01</t>
  </si>
  <si>
    <t xml:space="preserve">FONTANERÍA</t>
  </si>
  <si>
    <t xml:space="preserve">16.01.01</t>
  </si>
  <si>
    <t xml:space="preserve">UD</t>
  </si>
  <si>
    <t xml:space="preserve">ACOMETIDA SOTERRADA A.F.S.</t>
  </si>
  <si>
    <t xml:space="preserve">Acometida enterrada para abastecimiento de agua potable de hasta 3,00m de longitud, que une la red general de distribución de agua potable de la empresa suministradora con la instalación general del edificio, continua en todo su recorrido sin uniones o empalmes intermedios no registrables, formada por tubo de polietileno pe 100, de 40 mm de diámetro exterior, pn=10 atm y 2,4 mm de espesor, colocada sobre lecho de arena de 15 cm de espesor, en el fondo de la zanja previamente excavada, debidamente compactada y nivelada con pisón vibrante de guiado manual, relleno lateral compactando hasta los riñones y posterior relleno con la misma arena hasta 10 cm por encima de la generatriz superior de la tubería; Collarín de toma en carga colocado sobre la red general de distribución que sirve de enlace entre la acometida y la red; Llave de corte de esfera de 1 1/4" de diámetro con mando de cuadradillo colocada mediante unión roscada, situada junto a la edificación, fuera de los límites de la propiedad, alojada en arqueta prefabricada de polipropileno de 30x30x30 cm, colocada sobre solera de hormigón en masa hm-20/p/20/i de 15 cm de espesor. Incluso hormigón en masa hm-20/p/20/i para la posterior reposición del firme existente, accesorios y piezas especiales. Incluye: Replanteo del recorrido de la acometida, coordinado con el resto de instalaciones o elementos que puedan tener interferencias. Rotura del pavimento con compresor. Eliminación de las tierras sueltas del fondo de la excavación. Vertido y compactación del hormigón en formación de solera. Colocación de la arqueta prefabricada. Vertido de la arena en el fondo de la zanja. Colocación de la tubería. Montaje de la llave de corte. Colocación de la tapa. Ejecución del relleno envolvente. Empalme de la acometida con la red general del municipio. Reposición del firme. Realización de pruebas de servicio. Criterio de medición de proyecto: Número de unidades previstas, según documentación gráfica de proyecto. Criterio de medición de obra: Se medirá el número de unidades realmente ejecutadas según especificaciones de proyecto. Criterio de valoración económica: El precio no incluye la excavación ni el relleno principal.</t>
  </si>
  <si>
    <t xml:space="preserve">16.01.02</t>
  </si>
  <si>
    <t xml:space="preserve">CUADRO CONTADOR A.F.S. C/VALVULERÍA</t>
  </si>
  <si>
    <t xml:space="preserve">Suministro e instalación de cuadro de abastecimiento de agua, con preinstalación de contador general (el contador lo instalará la mancomunidad de la zona) de agua de diámetro 1" dn 25 mm, colocado en hornacina, conectado al ramal de acometida y al tubo de alimentación, formada por llave de corte general de compuerta de latón fundido; Grifo de comprobación; Filtro retenedor de residuos; Válvula de retención de latón y llave de salida de compuerta de latón fundido. Incluso marco y tapa de fundición dúctil para registro y demás material auxiliar. Totalmente montada, conexionada y probada. Incluye: Replanteo. Colocación y fijación de accesorios y piezas especiales. Conexionado. Criterio de medición de proyecto: Número de unidades previstas, según documentación gráfica de proyecto. Criterio de medición de obra: Se medirá el número de unidades realmente ejecutadas según especificaciones de proyecto. Criterio de valoración económica: El precio no incluye el contador.</t>
  </si>
  <si>
    <t xml:space="preserve">16.01.03</t>
  </si>
  <si>
    <t xml:space="preserve">ML</t>
  </si>
  <si>
    <t xml:space="preserve">ALIMENTACIÓN A.F.S. PE100 D40MM</t>
  </si>
  <si>
    <t xml:space="preserve">Alimentación de agua potable, enterrada, formada por tubo de polietileno pe 100, de color negro con bandas de color azul, de 40 mm de diámetro exterior y 3,7 mm de espesor, sdr11, pn=16 atm, colocado sobre lecho de arena de 10 cm de espesor, en el fondo de la zanja previamente excavada, debidamente compactada y nivelada con pisón vibrante de guiado manual, relleno lateral compactando hasta los riñones y posterior relleno con la misma arena hasta 10 cm por encima de la generatriz superior de la tubería. Incluso accesorios y piezas especiales, y demás material auxiliar. Incluir la excavación y el posterior relleno principal de las zanjas. Totalmente montada, conexionada y probada. Incluye: Replanteo y trazado. Eliminación de las tierras sueltas del fondo de la excavación. Vertido de la arena en el fondo de la zanja. Colocación de la tubería. Ejecución del relleno envolvente. Realización de pruebas de servicio. Criterio de medición de proyecto: Número de unidades previstas, según documentación gráfica de proyecto. Criterio de medición de obra: Se medirá el número de unidades realmente ejecutadas según especificaciones de proyecto. RED INT. ALIMENTACIÓN AFS DESDE CUADRO CONTADOR EN FACHADA VIVIENDA HASTA CUARTO INSTALACIONES Y</t>
  </si>
  <si>
    <t xml:space="preserve">Acometida a cuadro</t>
  </si>
  <si>
    <t xml:space="preserve">16.01.04</t>
  </si>
  <si>
    <t xml:space="preserve">ARQUETA DE PASO DIM.: 68X48CM REG. PPR</t>
  </si>
  <si>
    <t xml:space="preserve">Arqueta de paso prefabricada de polipropileno, de sección rectangular de 48x48 cm en la base y 30 cm de altura, con tapa de 50x34 cm sobre solera de hormigón en masa hm-20/b/20/i de 15 cm de espesor. Incluso conexiones de conducciones y remates. Totalmente montada, incluyendo la excavación y el relleno del trasdós. Incluye: Replanteo de la arqueta. Eliminación de las tierras sueltas del fondo de la excavación. Vertido y compactación del hormigón en formación de solera. Colocación de la arqueta prefabricada. Formación de agujeros para el paso de los tubos. Colocación de la tapa y los accesorios. Criterio de medición de proyecto: Número de unidades previstas, según documentación gráfica de proyecto. Criterio de medición de obra: Se medirá el número de unidades realmente ejecutadas según especificaciones de proyecto.</t>
  </si>
  <si>
    <t xml:space="preserve">16.01.05</t>
  </si>
  <si>
    <t xml:space="preserve">TUBERÍA POLIET. RETICULADO (PEX-a) D16MM</t>
  </si>
  <si>
    <t xml:space="preserve">Tubería para instalación interior, colocada superficialmente y fijada al paramento, formada por tubo de polietileno reticulado (pe-xa), serie 5, modelo aqua pipe "uponor iberia", de 16 mm de diámetro exterior, pn=6 atm y 1,8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</si>
  <si>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Derivaciones a aparatos</t>
  </si>
  <si>
    <t xml:space="preserve">16.01.06</t>
  </si>
  <si>
    <t xml:space="preserve">TUBERÍA POLIET. RETICULADO (PEX-a) D20MM</t>
  </si>
  <si>
    <t xml:space="preserve">Tubería para instalación interior, colocada superficialmente y fijada al paramento, formada por tubo de polietileno reticulado (pe-xa), serie 5, modelo aqua pipe "uponor iberia", de 20 mm de diámetro exterior, pn=6 atm y 1,9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</si>
  <si>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Distribución interior</t>
  </si>
  <si>
    <t xml:space="preserve">16.01.07</t>
  </si>
  <si>
    <t xml:space="preserve">TUBERÍA POLIET. RETICULADO (PEX-a) D25MM</t>
  </si>
  <si>
    <t xml:space="preserve">Tubería para instalación interior, colocada superficialmente y fijada al paramento, formada por tubo de polietileno reticulado (pe-xa), serie 5, modelo aqua pipe "uponor iberia", de 25 mm de diámetro exterior, pn=6 atm y 2,3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</si>
  <si>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Montantes y distribución</t>
  </si>
  <si>
    <t xml:space="preserve">16.01.08</t>
  </si>
  <si>
    <t xml:space="preserve">TUBERÍA POLIET. RETICULADO (PEX-a) D32MM</t>
  </si>
  <si>
    <t xml:space="preserve">Tubería para instalación interior, colocada superficialmente y fijada al paramento, formada por tubo de polietileno reticulado (pe-xa), serie 5, modelo aqua pipe "uponor iberia", de 32 mm de diámetro exterior, pn=6 atm y 2,9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</si>
  <si>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Distribución principal</t>
  </si>
  <si>
    <t xml:space="preserve">16.01.09</t>
  </si>
  <si>
    <t xml:space="preserve">LLAVE DE PASO EMPOTRADA CON MANDO Y PLAFÓN</t>
  </si>
  <si>
    <t xml:space="preserve">Suministro e instalación de mando con palanca y plafón marca tuller para instalación en llaves de empotrar, fabricada en latón según une-en 12165/12164. Incluso accesorio, pequeño material, mano de obra de instalación y pruebas. Incluye válvula de esfera, de latón, de 20 mm de diámetro, con maneta recta de acero inoxidable. Totalmente montada, conexionada y probada. Incluye: Replanteo. Conexión de la válvula a los tubos. Criterio de medición de proyecto: Número de unidades previstas, según documentación gráfica de proyecto. Criterio de medición de obra: Se medirá el número de unidades realmente ejecutadas según especificaciones de proyecto. LLAVES DE CORTE DE LOCAL HÚMEDO .- PLANTA BAJA</t>
  </si>
  <si>
    <t xml:space="preserve">Llaves de fría y caliente por estancia con grifería</t>
  </si>
  <si>
    <t xml:space="preserve">16.01.10</t>
  </si>
  <si>
    <t xml:space="preserve">INST. COCINA F.C. (FREGAD+LAVAVAJ)</t>
  </si>
  <si>
    <t xml:space="preserve">Instalación completa de fontanería (abastecimiento y saneamiento) para lavabo/fregadero y lavavajillas, ubicados en cocina doméstica, compuesta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(sanitarios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t>
  </si>
  <si>
    <t xml:space="preserve">Cocina</t>
  </si>
  <si>
    <t xml:space="preserve">Txoko</t>
  </si>
  <si>
    <t xml:space="preserve">16.01.11</t>
  </si>
  <si>
    <t xml:space="preserve">INST. ZONA HÚMEDA F.C. (FREGAD+LAVADORA)</t>
  </si>
  <si>
    <t xml:space="preserve">Instalación completa de fontanería (abastecimiento y saneamiento) para fregadera+lavadora, formda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t>
  </si>
  <si>
    <t xml:space="preserve">Lavandería</t>
  </si>
  <si>
    <t xml:space="preserve">16.01.12</t>
  </si>
  <si>
    <t xml:space="preserve">INST. ZONA HÚMEDA BAÑO F.C. (DUCHA+INOD+LAVABO)</t>
  </si>
  <si>
    <t xml:space="preserve">Instalación completa de fontanería (abastecimiento y saneamiento) para lavabo, ducha y/o bañera, inodoro, ubicados en baño, compuesta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(sanitarios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 PLANTA PRIMERA</t>
  </si>
  <si>
    <t xml:space="preserve">Baño principal</t>
  </si>
  <si>
    <t xml:space="preserve">Aseo de planta segunda</t>
  </si>
  <si>
    <t xml:space="preserve">16.01.13</t>
  </si>
  <si>
    <t xml:space="preserve">Instalación completa de fontanería (abastecimiento y saneamiento) para lavabo, ducha y/o bañera e inodoro, ubicados en baño, compuesta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(sanitarios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 PLANTA BAJA</t>
  </si>
  <si>
    <t xml:space="preserve">Aseos de plantas baja y primera</t>
  </si>
  <si>
    <t xml:space="preserve">16.01.14</t>
  </si>
  <si>
    <t xml:space="preserve">INST. GRIFO PATIO/ZONA VERDE</t>
  </si>
  <si>
    <t xml:space="preserve">Instalación completa de fontanería (abastecimiento) para circuito de grifo de riego o lavabo exterior, compuesta por lo siguiente: -Abastecimiento. Ejecución de red de distribución a punto de consumo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(fría) desde tubería acero inoxidable aisi 304 (con retorno), hasta grifería (en partida aparte).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GRIFO GENÉRICO</t>
  </si>
  <si>
    <t xml:space="preserve">Porche, patio y terraza</t>
  </si>
  <si>
    <t xml:space="preserve">16.01.15</t>
  </si>
  <si>
    <t xml:space="preserve">VÁLVULA REDUCTORA PRESIÓN DN40-1 1/2"</t>
  </si>
  <si>
    <t xml:space="preserve">Suministro e instalación de válvula reductora de presión, de diámetro dn32-1 1/4", conexión con bridas, equipada con cuerpo de fundición, filtro de malla de acero inoxidable, presión máxima de entrada de 25 bar y presión de salida regulable entre 1 y 6 bar, con orificio roscado para conexión de manómetro y termómetro, juego de contrabridas, tornillería de acero inoxidable, con llave de corte antes y después de acero inoxidable dn40, elementos de montaje y demás accesorios necesarios para su correcto funcionamiento. Totalmente montada, conexionada, regulada y probada. Incluido manómetro y termómetro. Incluye: Replanteo. Conexionado. Criterio de medición de proyecto: Número de unidades previstas, según documentación gráfica de proyecto. Criterio de medición de obra: Se medirá el número de unidades realmente ejecutadas según especificaciones de proyecto.</t>
  </si>
  <si>
    <t xml:space="preserve">16.01.16</t>
  </si>
  <si>
    <t xml:space="preserve">INODORO ROCA DAMA COMPACTO</t>
  </si>
  <si>
    <t xml:space="preserve">Suministro e instalación de taza compacta de inodoro de tanque bajo, para adosar a la pared, de porcelana sanitaria, modelo roca dama compacto, con cisterna de inodoro, de doble descarga, de 360x140x355 mm, asiento y tapa de inodoro, de caída amortiguada. Incluso llave de regulación, enlace de alimentación flexible, conexión a la red de agua fría y a la red de evacuación existente, fijación del aparato y sellado con silicona. Totalmente instalado, conexionado, probado y en funcionamiento. Incluye: Replanteo y trazado en el paramento soporte de la situación del aparato. Colocación de los elementos de fijación suministrados por el fabricante. Nivelación, aplomado y colocación del aparato. Conexión a la red de evacuación. Conexión a la red de agua fría. Montaje de accesorios y complementos. Sellado de juntas. Criterio de medición de proyecto: Número de unidades previstas, según documentación gráfica de proyecto. Criterio de medición de obra: Se medirá el número de unidades realmente colocadas según especificaciones de proyecto. PLANTA BAJA</t>
  </si>
  <si>
    <t xml:space="preserve">Baños y aseos</t>
  </si>
  <si>
    <t xml:space="preserve">16.01.17</t>
  </si>
  <si>
    <t xml:space="preserve">LAVABO ROCA PORC. BAJO ENCIMERA C/GRIFERÍA</t>
  </si>
  <si>
    <t xml:space="preserve">Lavabo de porcelana vitrificada blanco roca, para colocar empotrado bajo encimera, con grifo iconico a-lp22-20 niquel, con aireador y enlaces de alimentación flexibles, en cromado, incluso válvula de desagüe, sifón de botella de acero inoxidable, llaves de escuadra cromadas, y latiguillos flexibles, completamente instalado y funcionando. Incluso p.P. De medios auxiliares, costes indirectos y limpieza final. Según especificaciones del fabricante, proyecto, cte y normativa aplicable. Incluye: Replanteo y trazado en el paramento soporte de la situación del aparato. Colocación de los elementos de fijación suministrados por el fabricante. Nivelación, aplomado y colocación del aparato. Conexión a la red de evacuación. Conexión a la red de agua fría y caliente. Montaje de accesorios y complementos. Sellado de juntas. Criterio de medición de proyecto: Número de unidades previstas, según documentación gráfica de proyecto. Criterio de medición de obra: Se medirá el número de unidades realmente colocadas según especificaciones de proyecto. PLANTA BAJA</t>
  </si>
  <si>
    <t xml:space="preserve">16.01.18</t>
  </si>
  <si>
    <t xml:space="preserve">PLATO DUCHA KRION LINE 150X80CM C/GRIFERÍA</t>
  </si>
  <si>
    <t xml:space="preserve">Suministro e instalación de plato de ducha drion line, dimensiones 150x80cm, blanco, con grifería iconico di 1-20 / dr200-20/d-st-20, con fondo antideslizante, y sifón. Incluso conexión a las redes de agua fría y caliente y a la red de evacuación existente, fijación del aparato y sellado con silicona. Totalmente instalado, conexionado, probado y en funcionamiento. Incluye: Replanteo y trazado en el paramento soporte de la situación del aparato. Colocación de los elementos de fijación suministrados por el fabricante. Nivelación, aplomado y colocación del aparato. Conexión a la red de evacuación. Montaje de la grifería. Conexión a las redes de agua fría y caliente. Montaje de accesorios y complementos. Sellado de juntas. Criterio de medición de proyecto: Número de unidades previstas, según documentación gráfica de proyecto. Criterio de medición de obra: Se medirá el número de unidades realmente colocadas según especificaciones de proyecto.</t>
  </si>
  <si>
    <t xml:space="preserve">Baño y aseo de planta segunda</t>
  </si>
  <si>
    <t xml:space="preserve">16.01.19</t>
  </si>
  <si>
    <t xml:space="preserve">FREGADERO Y LAVADERO CON GRIFERÍA</t>
  </si>
  <si>
    <t xml:space="preserve">Fregadero de acero inoxidable (cocina y txoko) y lavadero (lavandería) con grifería monomando, válvulas y sifón, instalados.</t>
  </si>
  <si>
    <t xml:space="preserve">Cocina, txoko y lavandería</t>
  </si>
  <si>
    <t xml:space="preserve">16.02</t>
  </si>
  <si>
    <t xml:space="preserve">CONTRA INCENDIOS</t>
  </si>
  <si>
    <t xml:space="preserve">16.02.01</t>
  </si>
  <si>
    <t xml:space="preserve">EXTINTOR POLVO 6KG EF.27A-183B</t>
  </si>
  <si>
    <t xml:space="preserve">Suministro y montaje de extintor manual móvil, con capacidad de 6 kg. De carga de polvo seco abc, con eficacia 27a 183b y homologados y certificados por la empresa fabricante y la instaladora. Incluido, material, porte, montaje de extintor y de rótulo de señalización normalizado.</t>
  </si>
  <si>
    <t xml:space="preserve">Vivienda</t>
  </si>
  <si>
    <t xml:space="preserve">16.02.02</t>
  </si>
  <si>
    <t xml:space="preserve">EXTINTOR CO2 5 KG C/LANZA EF.89B</t>
  </si>
  <si>
    <t xml:space="preserve">Extintor manual móvil cargado con 5 kg de nieve carbónica (co2) con lanza, homologado para una eficacia 89b contra fuegos eléctricos, equipado con boquilla y soporte a la pared, totalmente instalado, incluso, rótulo de señalización normalizado.</t>
  </si>
  <si>
    <t xml:space="preserve">Garaje (cuadro y motor)</t>
  </si>
  <si>
    <t xml:space="preserve">16.02.03</t>
  </si>
  <si>
    <t xml:space="preserve">PLACA DE SEÑALIZACION PARA EXTINTOR</t>
  </si>
  <si>
    <t xml:space="preserve">Suministro e instalación de : Placa de señalización fotoluminiscente, para extintor, de dimensiones 230 x 340 mm referencia cir 124, según normas une 23033-1 y une 23035-4. Mano de obra y medios auxiliares.</t>
  </si>
  <si>
    <t xml:space="preserve">Extintores</t>
  </si>
  <si>
    <t xml:space="preserve">16.03</t>
  </si>
  <si>
    <t xml:space="preserve">CALEFACCIÓN Y A.C.S.</t>
  </si>
  <si>
    <t xml:space="preserve">16.03.01</t>
  </si>
  <si>
    <t xml:space="preserve">BOMBA DE CALOR AIRE-AGUA 8 KW CON DEPÓSITO DE ACS 230 L</t>
  </si>
  <si>
    <t xml:space="preserve">Bomba de calor aire-agua de baja temperatura tipo Daikin Altherma 3 de 8 kW (SCOP 4,61 a 35 °C, A+++), unidad exterior en el hueco del muro grueso de la cubierta, junto al V12, sobre bancada antivibratoria, ventilada y registrable desde la terraza, sobre bancada antivibratoria y unidad interior con depósito de ACS de 230 L y resistencia de apoyo integrada en el almacenaje de planta baja, con puesta en marcha.</t>
  </si>
  <si>
    <t xml:space="preserve">Almacenaje de planta baja / cubierta</t>
  </si>
  <si>
    <t xml:space="preserve">16.03.02</t>
  </si>
  <si>
    <t xml:space="preserve">JUEGO CONEXIÓN HIDRÁULICO SALIDA SUPERIOR</t>
  </si>
  <si>
    <t xml:space="preserve">Suministro y montaje de set conexión circuito de calefacción/refrigeración para instalación sobre pared hacia arriba. Todos los conductos de calefacción, refrigeración, llenado agua, acs, etc. Salen por la parte superior del equipo.</t>
  </si>
  <si>
    <t xml:space="preserve">Según instalación</t>
  </si>
  <si>
    <t xml:space="preserve">16.03.03</t>
  </si>
  <si>
    <t xml:space="preserve">CABLE INTERCONEXIÓN BUS 30M</t>
  </si>
  <si>
    <t xml:space="preserve">Suministro e instalación de cable de interconexión mod-bus entre equipos interior y exterior de aerotermia, de hasta 30m de longitud.</t>
  </si>
  <si>
    <t xml:space="preserve">16.03.04</t>
  </si>
  <si>
    <t xml:space="preserve">JUEGO DE MONTAJE Y FIJACIONES</t>
  </si>
  <si>
    <t xml:space="preserve">Suministro y montaje de juego de montaje y fijaciones de equipos interior y exterior de aerotermia.</t>
  </si>
  <si>
    <t xml:space="preserve">16.03.05</t>
  </si>
  <si>
    <t xml:space="preserve">ROLLO 25M TUBERIA DOBLE AISLADA B&amp;F 7/8-5/8 C/TUERCA</t>
  </si>
  <si>
    <t xml:space="preserve">Suministro e instalación de tubería frigorífica doble preaislada de cobre de 0,8mm de espesor y diámetros 3/8" y 5/8". Longitud de 25m. Incluso accesorio, pequeño material, mano de obra de instalación y pruebas.</t>
  </si>
  <si>
    <t xml:space="preserve">16.03.06</t>
  </si>
  <si>
    <t xml:space="preserve">VISOR REFRIGERANTE</t>
  </si>
  <si>
    <t xml:space="preserve">Suministro e instalación de visor de refrigerante.</t>
  </si>
  <si>
    <t xml:space="preserve">16.03.07</t>
  </si>
  <si>
    <t xml:space="preserve">ALIMENTACIÓN AGUA FRÍA PARA CALEFACCIÓN</t>
  </si>
  <si>
    <t xml:space="preserve">Suministro y montaje de sistema de llenado del circuito, así como de medición de consumo de agua de la instalación de calefacción, formado con tubería de cobre rígido, de diámetro 22mm y 1mm de espesor, válvula de cierre tipo esfera, filtro, manómetro a la entrada, estabilizador de presión, válvula antiretorno, contador de agua de abastecimiento preparado para telegestión y un desconectador automático, manómetro en la salida y válvula de cierre tipo esfera. El desconectador automático será capaz de evitar el reflujo del agua en caso de caída de presión de la red pública. El llenado será manual y también se instalará un presostato que actúe de alarma y pare los equipos. Los elementos mínimos serán los siguientes: .- 2 Válvulas de cierre de diámetro 3/4" .- 1 Filtro agua en y de diámetro 3/4" .- 1 Válvula de retención 3/4" (no necesaria si se monta desconector) .- 1 Contador agua impulsos c/telegestión dn13-1/2" .- 1 Válvula reductora de presión (seguridad equipos) 3/4" sin manómetro (concretar si es necesaria en función de la presión de acometida) .- 1 Desconector hidráulico ca295-3/4"a conexión roscada .- 1 Manómetro glicerina 6 bar radial 3/4" .- 1 Partida de tubo une-en 10255 negro o cobre de diámetro dn20-3/4" .- Aislamiento de todos los conductos y elementos con coquilla de fibra de vidrio de 30 mm de espesor y acabado en chapa de aluminio. Incluye: Replanteo del recorrido de las tuberías, todos los elementos descritos, accesorios y piezas especiales. Colocación y fijación de tuberías, accesorios y piezas especiales. Colocación del aislamiento. Realización de pruebas de servicio. Criterio de medición de proyecto: Longitud medida según documentación gráfica de proyecto. Criterio de medición de obra: Se medirá la longitud realmente ejecutada según especificaciones de proyecto.</t>
  </si>
  <si>
    <t xml:space="preserve">16.03.08</t>
  </si>
  <si>
    <t xml:space="preserve">VACIADOS DE LA INSTALACIÓN CALEFACCIÓN</t>
  </si>
  <si>
    <t xml:space="preserve">Suministro e instalación de vaciados conducidos a desagüe, con llave de corte independiente por elemento, de todos los elementos que lo requieran, según esquema de principio, incluyendo los embudos de descarga de las válvulas de seguridad, formado con tubería de cobre rígido, de diámetro 32mm y 1mm de espesor. Mano de obra y medios auxiliares. Nota: Se incluye los vaciados de los equipos interior y exterior, vaso de inercia y armarios de colectores, a concretar con dirección facultativa.</t>
  </si>
  <si>
    <t xml:space="preserve">16.03.09</t>
  </si>
  <si>
    <t xml:space="preserve">VASO EXPANSION CALEF WAFT 10BAR 24L 3/4 CMR</t>
  </si>
  <si>
    <t xml:space="preserve">Suministro e instalación de vaso de expansión waft membrana recambiable, para instalación de calefacción. Capacidad: 24 Litros. Presión de precarga: 2 Bar. Diámetro: 280Mm, altura: 473Mm. Conexión: 3/4". Presión máxima: 10Bar. Peso 5kg. Incluso accesorio, pequeño material, mano de obra de instalación y pruebas.</t>
  </si>
  <si>
    <t xml:space="preserve">16.03.10</t>
  </si>
  <si>
    <t xml:space="preserve">VASO EXPANSION ACS WAFT 10BAR 19L 1 AMR</t>
  </si>
  <si>
    <t xml:space="preserve">Suministro e instalación de vaso de expansión waft membrana recambiable, para instalación de acs. Capacidad: 19 Litros. Presión de precarga: 2 Bar. Diámetro: 280Mm, altura: 425Mm. Conexión: 1". Presión máxima: 10Bar. Peso 5kg. Incluso accesorio, pequeño material, mano de obra de instalación y pruebas.</t>
  </si>
  <si>
    <t xml:space="preserve">16.03.11</t>
  </si>
  <si>
    <t xml:space="preserve">VALVULA SEGURIDAD 3/4" 3 KGS</t>
  </si>
  <si>
    <t xml:space="preserve">Suministro e instalación de válvula de seguridad 3/4" de 3kgs. Incluso accesorio, pequeño material, mano de obra de instalación y pruebas.</t>
  </si>
  <si>
    <t xml:space="preserve">16.03.12</t>
  </si>
  <si>
    <t xml:space="preserve">VALVULA SEGURIDAD 3/4" 7 KGS</t>
  </si>
  <si>
    <t xml:space="preserve">Suministro e instalación de válvula de seguridad 3/4" de 7kgs. Incluso accesorio, pequeño material, mano de obra de instalación y pruebas.</t>
  </si>
  <si>
    <t xml:space="preserve">16.03.13</t>
  </si>
  <si>
    <t xml:space="preserve">RETICULADO POLYTHERM 32x2,9MM EVOHFLEX PRO BARRERA ANTIOXIGENO</t>
  </si>
  <si>
    <t xml:space="preserve">Suministro e instalación de conducto de polietileno reticulado polytherm, con barrera antioxigeno, pro antidifusión, pert ii, suministrada en rollo de 32mm de diámetro exterior, para suelo radiante, diámetro 32x2,9mm de espesor exterior según une en iso 15875. Protección contra oxigeno según une 1264-4. Temperatura máxima de trabajo 95ºc a 9,1 bares de presión. Espesor de 2,9 mm.. Incluso accesorio, pequeño material, mano de obra de instalación y pruebas. Se incluye aislamiento mediante coquilla de caucho elastomérico o similar, en los tramos que se considere necesario en el replanteo de obra, en función de los recorridos de la red. TRAMO ENTRE GRUPOS BOMBEO Y COLECTORES DEL CIRCUITO CORRESPONDIENTE</t>
  </si>
  <si>
    <t xml:space="preserve">16.03.14</t>
  </si>
  <si>
    <t xml:space="preserve">FILTRO AGUA EN Y DOBLE MALLA 1 1/2" 0-100ºC 16BAR</t>
  </si>
  <si>
    <t xml:space="preserve">Suministro e instalación de filtro de malla en y para circuitos de agua de 1 1/2" con doble malla de 0,25mm. Presión máxima de trabajo 16bar y temperatura máxima 100ºc. Incluso accesorio, pequeño material, mano de obra de instalación y pruebas.</t>
  </si>
  <si>
    <t xml:space="preserve">16.03.15</t>
  </si>
  <si>
    <t xml:space="preserve">SEPARADOR MICROBURBUJAS 1 1/2"</t>
  </si>
  <si>
    <t xml:space="preserve">Suministro e instalación de separador de microburbujas exvoid de 1 1/2". Incluido material, mano de obra, pequeño material, medios auxiliares, pruebas, completamente funcional.</t>
  </si>
  <si>
    <t xml:space="preserve">16.03.16</t>
  </si>
  <si>
    <t xml:space="preserve">SEPARADOR LODOS EXDIRT 1 1/2"</t>
  </si>
  <si>
    <t xml:space="preserve">Suministro e instalación de separador de lodos exdirt de 1 1/2". Incluido material, mano de obra, pequeño material, medios auxiliares, pruebas, completamente funcional.</t>
  </si>
  <si>
    <t xml:space="preserve">16.03.20</t>
  </si>
  <si>
    <t xml:space="preserve">SUELO RADIANTE COMPACTO (TUBO PE-Xa 16×1,8, PASO 10–15 CM)</t>
  </si>
  <si>
    <t xml:space="preserve">Suelo radiante compacto con tubo PE-Xa 16 × 1,8 mm con barrera antioxígeno, paso 15 cm (10 cm en baños y aseos), un circuito por estancia, sobre placa de tetones, incluso pruebas de presión; según los planos LO-H9 y LO-H10.</t>
  </si>
  <si>
    <t xml:space="preserve">Superficie con suelo radiante</t>
  </si>
  <si>
    <t xml:space="preserve">Porche (circuito previsto)</t>
  </si>
  <si>
    <t xml:space="preserve">16.03.21</t>
  </si>
  <si>
    <t xml:space="preserve">COLECTOR DE SUELO RADIANTE CON CAUDALÍMETROS Y CABEZALES</t>
  </si>
  <si>
    <t xml:space="preserve">Colector de suelo radiante con caudalímetros, cabezales electrotérmicos, purgadores, llaves y armario, para los circuitos de cada planta.</t>
  </si>
  <si>
    <t xml:space="preserve">Plantas baja, primera y segunda</t>
  </si>
  <si>
    <t xml:space="preserve">16.03.22</t>
  </si>
  <si>
    <t xml:space="preserve">AD324 TERMOSTATO AMBIENTE WIFI SMART TC° CON CABLE</t>
  </si>
  <si>
    <t xml:space="preserve">.- PLANTA BAJA</t>
  </si>
  <si>
    <t xml:space="preserve">Un termostato por bloque y planta</t>
  </si>
  <si>
    <t xml:space="preserve">16.03.23</t>
  </si>
  <si>
    <t xml:space="preserve">SONDA SYMARO QAC22 TEMP. EXTERIOR -35-70ºC</t>
  </si>
  <si>
    <t xml:space="preserve">Suministro e instalación de sonda, siemens, symaro pasiva de temperatura para exterior. Rango de utilización -35 a 70ºc, con ni 1000 ohmios a 0ºc como elemento sensor. Constante de tiempo de 14 minutos. Conexión a dos hilos. Grado de protección ip54. Incluso accesorio, pequeño material, mano de obra de instalación y pruebas.</t>
  </si>
  <si>
    <t xml:space="preserve">16.04</t>
  </si>
  <si>
    <t xml:space="preserve">VENTILACIÓN</t>
  </si>
  <si>
    <t xml:space="preserve">16.04.01</t>
  </si>
  <si>
    <t xml:space="preserve">REJILLA CIRCULAR VISTA Ø125 DE ALUMINIO ANODIZADO EN BOCAS DE EXTRACCIÓN</t>
  </si>
  <si>
    <t xml:space="preserve">Rejilla de extracción circular vista de Ø125 mm de aluminio anodizado (tipo Mayfe o la marca que fije la dirección facultativa), enrasada en techo o falso techo, con su marco de montaje y conexión al conducto Ø125.</t>
  </si>
  <si>
    <t xml:space="preserve">Bocas de extracción de los planos LO-H5 y LO-H6 (10, contadas en el modelo 3D el 22-oct; la campana va aparte y la salida de aire de la cámara Cupolex no es boca)</t>
  </si>
  <si>
    <t xml:space="preserve">Precio de referencia de mercado (rejilla Ø125 de aluminio anodizado, montada); contrastar con el fabricante</t>
  </si>
  <si>
    <t xml:space="preserve">16.04.02</t>
  </si>
  <si>
    <t xml:space="preserve">EXTRACTOR SILENCIOSO EN LÍNEA DE MOTOR INDEPENDIENTE (TIPO SOLER &amp; PALAU) EN FALSO TECHO</t>
  </si>
  <si>
    <t xml:space="preserve">Extractor helicocentrífugo en línea de bajo nivel sonoro para conducto Ø125 (tipo Soler &amp; Palau TD-Silent o equivalente), con motor independiente de la rejilla, montado en el falso techo del local con soportes antivibratorios y conexión flexible, regulación de velocidad y funcionamiento continuo a caudal de DB-HS 3; uno por boca. Más caro que el extractor todo en uno, pero permite elegir el acabado de la rejilla y es más silencioso.</t>
  </si>
  <si>
    <t xml:space="preserve">Uno por boca de extracción (planos LO-H5 y LO-H6)</t>
  </si>
  <si>
    <t xml:space="preserve">Precio de referencia de mercado (S&amp;P TD-Silent Ø125, montado con accesorios); contrastar con el fabricante</t>
  </si>
  <si>
    <t xml:space="preserve">16.04.03</t>
  </si>
  <si>
    <t xml:space="preserve">AIREADOR DE ADMISIÓN EN CARPINTERÍA (MICROVENTILACIÓN)</t>
  </si>
  <si>
    <t xml:space="preserve">Aireador de admisión integrado en la carpintería o microventilación de los locales secos, con caudal según el DB-HS 3.</t>
  </si>
  <si>
    <t xml:space="preserve">Dormitorios, salón, biblioteca, txoko</t>
  </si>
  <si>
    <t xml:space="preserve">16.04.04</t>
  </si>
  <si>
    <t xml:space="preserve">MONTANTE INT. INSON. DBLUE JIMTEN PPR D110MM</t>
  </si>
  <si>
    <t xml:space="preserve">Suministro y montaje de bajante interior insonorizada de la red de evacuación de aguas residuales, formada por tubo de polipropileno con carga mineral, insonorizado, dblue "jimten", de 125 mm de diámetro y 5,5 mm de espesor. Incluso p/p de material auxiliar para montaje y sujeción a la obra, accesorios y piezas especiales colocados mediante unión a presión con junta elástica. Totalmente montada, conexionada y probada por la empresa instaladora mediante las correspondientes pruebas de servicio (incluidas en este precio). Incluye: Replanteo y trazado de la bajante. Presentación en seco de tubos, accesorios y piezas especiales. Colocación y fijación de tubos, accesorios y piezas especiales. Limpieza de la zona a unir, colocación de la junta elástica y conexión de las piezas. Realización de pruebas de servicio. Se incluye trabajos de formación de paso a cubierta y posterior remate compatible con cubierta de tejas existente, sellado tipo wakaflex o similar, completamente terminado y estanco. Criterio de medición de proyecto: Longitud medida según documentación gráfica de proyecto. Criterio de medición de obra: Se medirá la longitud realmente ejecutada según especificaciones de proyecto.</t>
  </si>
  <si>
    <t xml:space="preserve">Montantes de extracción a cubierta</t>
  </si>
  <si>
    <t xml:space="preserve">16.04.05</t>
  </si>
  <si>
    <t xml:space="preserve">CONDUCTO AC GALV. D135MM</t>
  </si>
  <si>
    <t xml:space="preserve">Suministro y colocación de conducto circular para instalación de ventilación formado por tubo de chapa de acero galvanizado de pared simple helicoidal, de 135 mm de diámetro y 0,5 mm de espesor, colocado en posición vertical. Incluso p/p de recorte de materiales, uniones, refuerzos, embocaduras, tapas de registro, elementos de fijación, conexiones, accesorios y piezas especiales, sin incluir compuertas de regulación o cortafuego, ni rejillas y difusores. Totalmente montado, conexionado y probado por la empresa instaladora mediante las correspondientes pruebas de servicio (incluidas en este precio). Incluye: Replanteo y trazado del conducto. Presentación de tubos, accesorios y piezas especiales. Colocación y fijación de tubos, accesorios y piezas especiales. Realización de pruebas de servicio. Criterio de medición de proyecto: Longitud proyectada, según documentación gráfica de proyecto, medida entre los ejes de los elementos o de los puntos a conectar, sin descontar las piezas especiales. Criterio de medición de obra: Se medirá la longitud realmente ejecutada según especificaciones de proyecto. EXTRACCIÓN CAMPANA COCINA A CUBIERTA</t>
  </si>
  <si>
    <t xml:space="preserve">Campana de cocina a cubierta</t>
  </si>
  <si>
    <t xml:space="preserve">16.04.06</t>
  </si>
  <si>
    <t xml:space="preserve">ASPIRADOR GIRATORIO C/SOMBRERO DINÁMICO</t>
  </si>
  <si>
    <t xml:space="preserve">Suministro y montaje en el extremo exterior del conducto de extracción (boca de expulsión) de aspirador giratorio con sombrero dinámico, de aluminio (dureza h-24), para conducto de salida de 250 mm de diámetro exterior, para ventilación de cocinas. Incluso p/p de elementos de anclaje y sujeción. Totalmente montado. Incluye: Replanteo. Fijación y colocación mediante elementos de anclaje. Criterio de medición de proyecto: Número de unidades previstas, según documentación gráfica de proyecto. Criterio de medición de obra: Se medirá el número de unidades realmente ejecutadas según especificaciones de proyecto. TERMINACIÓN EN CUBIERTA DE SALIDA EXTRACCIÓN CAMPANA EXTRACCIÓN CAMPANA COCINA A CUBIERTA</t>
  </si>
  <si>
    <t xml:space="preserve">Salidas a cubierta</t>
  </si>
  <si>
    <t xml:space="preserve">16.05</t>
  </si>
  <si>
    <t xml:space="preserve">ELECTRICIDAD E ILUMINACIÓN</t>
  </si>
  <si>
    <t xml:space="preserve">16.05.01</t>
  </si>
  <si>
    <t xml:space="preserve">ZANJAS RED TIERRAS EXTERIOR</t>
  </si>
  <si>
    <t xml:space="preserve">Apertura de zanja en jardin y posterior relleno, para formacion de red de tierras edificio, de dimensiones 30x60cm. Comprende p.P. Maquinaria, mano de obra necesaria. ZANJA RED TIERRAS                                     10                                                    10,0000</t>
  </si>
  <si>
    <t xml:space="preserve">16.05.02</t>
  </si>
  <si>
    <t xml:space="preserve">CABLE DESNUDO CU 1X35MM2 ANILLO DE TIERRAS ESTRUCTURA</t>
  </si>
  <si>
    <t xml:space="preserve">Cable desnudo cu 1x35mm2, según itc-bt-18 del reglamento electrotécnico para baja tensión real decreto 842/2002, totalmente instalado, conexionado y comprobado compuesto de: - 1 M. Cable desnudo cu 1x35mm2 - P.P. Soldadura aluminotérmica - P.P. Pequeño material y accesorios de montaje - P.P. Mano de obra de instalación NUEVA INSTALACIÓN TOMA-TIERRA MEDIANTE RED DE COBRE DESNUDO 35MM2 Y LO LLEVO HASTA ARQUETA</t>
  </si>
  <si>
    <t xml:space="preserve">16.05.03</t>
  </si>
  <si>
    <t xml:space="preserve">PICA TOMA TIERRA DE ACERO COBRIZADO 2M 3/4" DIAMETRO</t>
  </si>
  <si>
    <t xml:space="preserve">Pica toma tierra de acero cobrizado 2m 3/4" diametro, según itc-bt-18 del reglamento electrotécnico para baja tensión real decreto 842/2002, totalmente instalada, conexionada y comprobada compuesta de: - 1 U. Pica toma tierra de acero cobrizado 2m 3/4" diametro - P.P. Soldadura aluminotérmica - P.P. Pequeño material y accesorios de montaje - P.P. Mano de obra de instalación</t>
  </si>
  <si>
    <t xml:space="preserve">16.05.04</t>
  </si>
  <si>
    <t xml:space="preserve">CAJA DE SECCIONAMIENTO TIERRA HASTA CABLE CU 1X50MM2</t>
  </si>
  <si>
    <t xml:space="preserve">Caja de seccionamiento tierra hasta cable cu 1x50mm2, según itc-bt-18 del reglamento electrotécnico para baja tensión real decreto 842/2002, totalmente instalada, conexionada y comprobada compuesta de: - 1 U. Caja de seccionamiento tierra hasta cable cu 1x50mm2 - P.P. Pequeño material y accesorios de montaje - P.P. Mano de obra de instalación</t>
  </si>
  <si>
    <t xml:space="preserve">16.05.05</t>
  </si>
  <si>
    <t xml:space="preserve">EJECUCIÓN NICHO DE OBRA PARA ALOJAR CPM ACOMETIDA</t>
  </si>
  <si>
    <t xml:space="preserve">Ejecución de nicho de obra en fachada exterior existente para alojar cgp de acometida eléctrica, caja de fusibles y los elementos necesarios, incluido corte, picado y recibido interior de mortero, puerta y cerradura reglamentarias, según condicionado de la compañía distribuidora.</t>
  </si>
  <si>
    <t xml:space="preserve">16.05.06</t>
  </si>
  <si>
    <t xml:space="preserve">EQUIPO DE MEDIDA CPM2E4 45 KW TRIF.</t>
  </si>
  <si>
    <t xml:space="preserve">Suministro e instalación de caja para un contador monofasico ref: Cpm1-e2 m, para suministros individuales de potencia inferior a 15kw. Para contadores monofásicos electrónicos multifunción, con una base portafusibles buc y un dispositivo de neutro seccionable mediante tornillería, preparados para conexión mediante terminal de pala. El ángulo de apertura de la puerta respecto a la base es superior a 90º, los fusibles a utilizar para esta caja serian: Nh-00 ó nh-000 de 63, 80 ó 100amp. Incluido material auxiliar, cableado y conexionado, completamente colocado. Caracteristicas tecnicas: Envolvente fabricada en poliéster prensado en caliente, reforzado con fibra de vidrio, color gris ral 7035. Dim.: 432X330x210mm, protección contra polvo y agua ip43 y contra impactos ik09, doble aislamiento, auto extinguible a 960º., Clase térmica del poliéster e (150º), resistente a las principales agresiones químicas, ambientales y a la acción de los uv, cierre mediante tres puntos con llave triangular y sistema de bloqueo por candado, doble fondo con troqueles realizados, pantalla transparente y aislante con elementos para su precintado, base de neutro seccionable, base fusible seccionable en carga de tamaño 00, hasta 160a, mirilla para la visualización de su interior, placa de señalización de riesgo eléctrico, cableado. Incluye: Replanteo de la situación de los conductos y anclajes de la caja. Fijación. Colocación de tubos y piezas especiales. Conexionado. Criterio de medición de proyecto: Número de unidades previstas, según documentación gráfica de proyecto. Criterio de medición de obra: Se medirá el número de unidades realmente ejecutadas según especificaciones de proyecto.</t>
  </si>
  <si>
    <t xml:space="preserve">16.05.07</t>
  </si>
  <si>
    <t xml:space="preserve">ZANJA ELECTRIFICACIÓN ACOMETIDA 3XPVC63</t>
  </si>
  <si>
    <t xml:space="preserve">Excavación de zanja para línea de acometidas y/o derivaciones eléctricas, consistente en el replanteo, excavación, colocación de 3 tubos de pvc de 63mm de diámetro, relleno y cierre de zanja, preparación y restitución de pavimento existente en el interior de parcela. Incluido material, maquinaria, mano de obra, completamente terminado.</t>
  </si>
  <si>
    <t xml:space="preserve">16.05.08</t>
  </si>
  <si>
    <t xml:space="preserve">CUADRO GENERAL Y SUBCUADRO DE VIVIENDA (ELECTRIFICACIÓN ELEVADA)</t>
  </si>
  <si>
    <t xml:space="preserve">Cuadro general de mando y protección (armario de instalaciones de planta primera) y subcuadro de planta segunda, para electrificación elevada (ITC-BT-25) con los circuitos C1–C13, protecciones magnetotérmicas y diferenciales, montado.</t>
  </si>
  <si>
    <t xml:space="preserve">Cuadro general</t>
  </si>
  <si>
    <t xml:space="preserve">Subcuadro planta segunda (prorrata)</t>
  </si>
  <si>
    <t xml:space="preserve">16.05.09</t>
  </si>
  <si>
    <t xml:space="preserve">TUBO REFORZADO IP-54 16MM</t>
  </si>
  <si>
    <t xml:space="preserve">Tubo corrugado marca aiscan mod chf o equivalente, diámetro nominal 16 mm, libre halógenos, ip-54, grado de proteccion 7 según norma une20 324, resistencia al impacto &gt;2j a -5ºc y a la compresión &gt;320 n, incluso p.P.De fijaciones y accesorios de unión y derivación, totalmente instalado.</t>
  </si>
  <si>
    <t xml:space="preserve">16.05.10</t>
  </si>
  <si>
    <t xml:space="preserve">Ml    TUBO REFORZADO IP-54 20MM</t>
  </si>
  <si>
    <t xml:space="preserve">Tubo corrugado marca aiscan mod chf o equivalente, diámetro nominal 20 mm, libre halógenos, ip-54, grado de proteccion 7 según norma une20 324, resistencia al impacto &gt;2j a -5ºc y a la compresión &gt;320 n, incluso p.P.De fijaciones y accesorios de unión y derivación, totalmente instalado.</t>
  </si>
  <si>
    <t xml:space="preserve">16.05.11</t>
  </si>
  <si>
    <t xml:space="preserve">TUBO REFORZADO IP-54 25MM</t>
  </si>
  <si>
    <t xml:space="preserve">Tubo corrugado marca aiscan mod chf o equivalente, diámetro nominal 25 mm, libre halógenos, ip-54, grado de proteccion 7 según norma une20 324, resistencia al impacto &gt;2j a -5ºc y a la compresión &gt;320 n, incluso p.P.De fijaciones y accesorios de unión y derivación, totalmente instalado.</t>
  </si>
  <si>
    <t xml:space="preserve">16.05.12</t>
  </si>
  <si>
    <t xml:space="preserve">TUBO REFORZADO IP-54 32MM</t>
  </si>
  <si>
    <t xml:space="preserve">Tubo corrugado marca aiscan mod chf o equivalente, diámetro nominal 32 mm, libre halógenos, ip-54, grado de proteccion 7 según norma une20 324, resistencia al impacto &gt;2j a -5ºc y a la compresión &gt;320 n, incluso p.P.De fijaciones y accesorios de unión y derivación, totalmente instalado.</t>
  </si>
  <si>
    <t xml:space="preserve">16.05.13</t>
  </si>
  <si>
    <t xml:space="preserve">LINEA RZ1-K 3G16MM2 MULTIPOLAR</t>
  </si>
  <si>
    <t xml:space="preserve">Línea cable libre de halogenos multiconductor, rz1-k 0.6/1 Kv 3x16 mm2. - 3 Mts.Cable rz1-k 0.6/1 Kv 1x16 mm2. - P.P. Pequeño material y accesorios de montaje. - P.P. Mano de obra de instalación.</t>
  </si>
  <si>
    <t xml:space="preserve">16.05.14</t>
  </si>
  <si>
    <t xml:space="preserve">LÍNEA H07Z1-K 1,5MM2 UNIPOLAR</t>
  </si>
  <si>
    <t xml:space="preserve">Suministro e instalación de línea cable h07z1-k, 450/750v, cobre, unipolar, 1.5Mm2. - 1 Mts.Cable rz1-k 1x1.5Mm2. - Incluido tubo de pvc correspondiente - P.P. Pequeño material y accesorios de montaje. - P.P. Mano de obra de instalación.</t>
  </si>
  <si>
    <t xml:space="preserve">16.05.15</t>
  </si>
  <si>
    <t xml:space="preserve">LÍNEA H07Z1-K 2,5MM2 UNIPOLAR</t>
  </si>
  <si>
    <t xml:space="preserve">Suministro e instalación de línea cable h07z1-k, 450/750v, cobre, unipolar, 2.5Mm2. - 1 Mts.Cable rz1-k 2.5Mm2. - Incluido tubo de pvc correspondiente - P.P. Pequeño material y accesorios de montaje. - P.P. Mano de obra de instalación.</t>
  </si>
  <si>
    <t xml:space="preserve">16.05.16</t>
  </si>
  <si>
    <t xml:space="preserve">LÍNEA H07Z1-K 6MM2 UNIPOLAR</t>
  </si>
  <si>
    <t xml:space="preserve">Suministro e instalación de línea cable h07z1-k, 450/750v, cobre, unipolar, 6mm2. - 1 Mts.Cable rz1-k 1x6mm2. - Incluido tubo de pvc correspondiente - P.P. Pequeño material y accesorios de montaje. - P.P. Mano de obra de instalación.</t>
  </si>
  <si>
    <t xml:space="preserve">16.05.17</t>
  </si>
  <si>
    <t xml:space="preserve">LINEA RZ1-K 3G6MM2 MULTIPOLAR</t>
  </si>
  <si>
    <t xml:space="preserve">16.05.18</t>
  </si>
  <si>
    <t xml:space="preserve">PUNTO DE LUZ BAJO TUBO FLEXIBLE PVC FLEXIBLE LIBRE DE HAL</t>
  </si>
  <si>
    <t xml:space="preserve">Punto de luz simple desde caja de registro de cable unipolar tipo cu h07z1-k 3x1,5mm2 bajo tubo pvc flexible libre de halógenos, según reglamento electrotécnico para baja tensión real decreto 842/2002, totalmente instalado, conexionado y comprobado compuesto de: - 15 M. Cable unipolar tipo cu h07z1-k(as) 1x1,5mm2 - 5 M. Tubo pvc flexible libre de halógenos m20 - 1Ud. Caja estanca 100x100x55 7conos pg16 - P.P. Regletas de conexión, pequeño material y accesorios de montaje - P.P. Mano de obra de instalación .- PLANTA BAJA</t>
  </si>
  <si>
    <t xml:space="preserve">Puntos de luz y apliques (LO-H7, LO-H8)</t>
  </si>
  <si>
    <t xml:space="preserve">16.05.19</t>
  </si>
  <si>
    <t xml:space="preserve">PUNTO DE EMERGENCIA BAJO TUBO FLEXIBLE PVC FLEXIBLE LIBRE DE</t>
  </si>
  <si>
    <t xml:space="preserve">Punto de luz simple desde caja de registro de cable unipolar tipo cu h07z1-k 3x1,5mm2 bajo tubo pvc flexible libre de halógenos, según reglamento electrotécnico para baja tensión real decreto 842/2002, totalmente instalado, conexionado y comprobado compuesto de: - 15 M. Cable unipolar tipo cu h07z1-k(as) 1x1,5mm2 - 5 M. Tubo pvc flexible libre de halógenos m20 -1Ud caja estanca 100x100x55 7conos pg16 - P.P. Regletas de conexión, pequeño material y accesorios de montaje - P.P. Mano de obra de instalación EMERGENCIA AERLUX SERIE 10 300LM</t>
  </si>
  <si>
    <t xml:space="preserve">Emergencias</t>
  </si>
  <si>
    <t xml:space="preserve">16.05.20</t>
  </si>
  <si>
    <t xml:space="preserve">PUNTO DE TOMA DE CORRIENTE 16A TUBO FLEXIBLE LIBRE HALOGENOS</t>
  </si>
  <si>
    <t xml:space="preserve">Punto de toma de corriente bajo tubo pvc flexible libre de halógenos, según reglamento electrotécnico para baja tensión real decreto 842/2002, totalmente instalado, conexionado y comprobado compuesto de: - 24 M. Cable unipolar tipo cu h07z1-k(as) 1x2,5mm2 - 8 M. Tubo pvc flexible libre de halógenos m20 - 1Ud. Caja estanca 100x100x55 7conos pg16 - P.P. Regletas de conexión, pequeño material y accesorios de montaje - P.P. Mano de obra de instalación ENCHUFES 16A .- PLANTA BAJA</t>
  </si>
  <si>
    <t xml:space="preserve">Tomas 16 A</t>
  </si>
  <si>
    <t xml:space="preserve">16.05.21</t>
  </si>
  <si>
    <t xml:space="preserve">PUNTO DE TOMA DE CORRIENTE 16A ESTANCA TUBO FLEX. LIBRE HALOG.</t>
  </si>
  <si>
    <t xml:space="preserve">Punto de toma de corriente estanco bajo tubo pvc flexible libre de halógenos, según reglamento electrotécnico para baja tensión real decreto 842/2002, totalmente instalado, conexionado y comprobado compuesto de: - 24 M. Cable unipolar tipo cu h07z1-k(as) 1x2,5mm2 - 8 M. Tubo pvc flexible libre de halógenos m20 - 1Ud. Caja estanca 100x100x55 7conos pg16 - P.P. Regletas de conexión, pequeño material y accesorios de montaje - P.P. Mano de obra de instalación</t>
  </si>
  <si>
    <t xml:space="preserve">Tomas exteriores estancas</t>
  </si>
  <si>
    <t xml:space="preserve">16.05.22</t>
  </si>
  <si>
    <t xml:space="preserve">PUNTO DE TOMA DE CORRIENTE 25A TUBO FLEXIBLE LIBRE HALOGENOS</t>
  </si>
  <si>
    <t xml:space="preserve">Punto de toma de corriente bajo tubo pvc flexible libre de halógenos, según reglamento electrotécnico para baja tensión real decreto 842/2002, totalmente instalado, conexionado y comprobado compuesto de: - 24 M. Cable unipolar tipo cu h07z1-k(as) 1x6mm2 - 8 M. Tubo pvc flexible libre de halógenos m25 - 1Ud. Caja estanca 100x100x55 7conos pg16 - P.P. Regletas de conexión, pequeño material y accesorios de montaje - P.P. Mano de obra de instalación ENCHUFES 25A</t>
  </si>
  <si>
    <t xml:space="preserve">Horno y placa</t>
  </si>
  <si>
    <t xml:space="preserve">16.05.23</t>
  </si>
  <si>
    <t xml:space="preserve">PUNTO DE ALIMENTACION A PERSIANA</t>
  </si>
  <si>
    <t xml:space="preserve">Punto de toma de corriente 16a totalmente instalado compuesto de: - 15 Ml cable unipolar tipo cu 07z1-k de sección 2,5mm2. - 5 Ml tubo pvc flexible corrugado m20. - P.P. Pequeño material y accesorios de montaje. - P.P. Mano de obra de instalación.</t>
  </si>
  <si>
    <t xml:space="preserve">Persianas (7) y estores (2)</t>
  </si>
  <si>
    <t xml:space="preserve">16.05.24</t>
  </si>
  <si>
    <t xml:space="preserve">PUNTO VENTILACIÓN-EXTRACCIÓN</t>
  </si>
  <si>
    <t xml:space="preserve">Punto de ventilacion, empotrado con cable de cobre 07z1-k de 2,5 mm2, 4 mm2 o 6 mm2, segun corresponda al equipo, cero halógenos marca general cable o equivalente bajo tubo corrugado 25 mm de diámetro cero halógenos marca aiscan o equivalente, con parte proporcional de cajas de empotrar de paso y derivación, fijaciones, accesorios de unión y derivación, bornas, totalmente conexionado e instalado.</t>
  </si>
  <si>
    <t xml:space="preserve">Extractores (10) y campana</t>
  </si>
  <si>
    <t xml:space="preserve">16.05.25</t>
  </si>
  <si>
    <t xml:space="preserve">PUNTO INTERRUPTOR EMPOTRADO</t>
  </si>
  <si>
    <t xml:space="preserve">Punto de interruptor empotrado con cable de cobre 07z1-k de 1,5 mm2 cero halógenos marca general cable o equivalente bajo tubo corrugado 20 mm de diámetro cero halógenos marca aiscan o equivalente, con parte proporcional de cajas de empotrar de paso y derivación, fijaciones, accesorios de unión y derivación, bornas, totalmente conexionado e instalado. .- PLANTA BAJA</t>
  </si>
  <si>
    <t xml:space="preserve">Interruptores</t>
  </si>
  <si>
    <t xml:space="preserve">16.05.26</t>
  </si>
  <si>
    <t xml:space="preserve">PUNTO CONMUTADOR EMPOTRADO</t>
  </si>
  <si>
    <t xml:space="preserve">Punto de conmutador con cable unipolar no propagador del incendio y emisión de humos y opacidad reducida, según norma une21123 p4-5 y une 21.1002·, H07z1-k de 1,5 mm2, tubo corrugado protegido doble capa, de d=16 mm de diámetro y cajas de empotrar de paso y derivación, totalmente conexionado e instalado. .- PLANTA BAJA</t>
  </si>
  <si>
    <t xml:space="preserve">Conmutados</t>
  </si>
  <si>
    <t xml:space="preserve">16.05.27</t>
  </si>
  <si>
    <t xml:space="preserve">PUNTO EQUIPOTENCIAL BAÑOS ASEOS</t>
  </si>
  <si>
    <t xml:space="preserve">Alimentación a cuartos de baño y aseo para la toma equipotencial, con parte proporcional de cable de cobre v-750 de 4 mm2 , tubo corrugado de 20 mm de diámetro y cajas de empotrar de paso y derivación, totalmente conexionado e instalado. Instalación equipotencial de cuarto húmedo completa. CUARTOS HÚMEDOS</t>
  </si>
  <si>
    <t xml:space="preserve">16.05.28</t>
  </si>
  <si>
    <t xml:space="preserve">CELER PANTALLA MONOBLOCK IP65 LED 50W 4000K C2</t>
  </si>
  <si>
    <t xml:space="preserve">Pantalla led estanca marca celer. Modelo monoblock c2. Potencia 50w. Temperatura color 4.000 ºk. Emite 6.000 Lúmenes. Protección ip65, ik08. Longitud: 157Cm. Cuerpo y difusor de policarbonato y cierres de acero inoxidable.</t>
  </si>
  <si>
    <t xml:space="preserve">Garaje y almacenaje</t>
  </si>
  <si>
    <t xml:space="preserve">16.05.29</t>
  </si>
  <si>
    <t xml:space="preserve">DOWNLIGHT ALUMBR. EXT. IP65 ARKOSLIGHT SWAP</t>
  </si>
  <si>
    <t xml:space="preserve">Suministro e instalación de luminaria downlight, arkoslight swap xl, asymmetric, para alumbrado exterior, estanco.</t>
  </si>
  <si>
    <t xml:space="preserve">Exteriores</t>
  </si>
  <si>
    <t xml:space="preserve">16.05.30</t>
  </si>
  <si>
    <t xml:space="preserve">APLIQUE RZB HOME 501 40CM 24W LED</t>
  </si>
  <si>
    <t xml:space="preserve">Suministro e instalación de aplique rzb home 501 40cm 24w led</t>
  </si>
  <si>
    <t xml:space="preserve">Apliques</t>
  </si>
  <si>
    <t xml:space="preserve">16.05.31</t>
  </si>
  <si>
    <t xml:space="preserve">EMERGENCIA AERLUX SERIE 10 300LM</t>
  </si>
  <si>
    <t xml:space="preserve">Luminaria de emergencia led marca aerlux, modelo serie 10. Emite 300 lúmenes. 1H de autonomía, con bateria de ni-cd estanda de alta temperatura. Ip44, ik04. Grado de aislamiento: Clase ii. Led indicador de presencia de red y carga de batería. Dimensiones: 255X89x37mm. Incluido marco y dispositivo para empotrar en pared o techo s10, blanco 10-dp, completamente instalada y probada.</t>
  </si>
  <si>
    <t xml:space="preserve">16.05.32</t>
  </si>
  <si>
    <t xml:space="preserve">INTERRUPTOR JUNG LS990 BL</t>
  </si>
  <si>
    <t xml:space="preserve">Interruptor unipolar jung ls990 bl color blanco totalmente instalado compuesto de: - 1Ud. Interruptor unipolar serie jung ls990 bl color blanco completo. - P.P. Pequeño material y accesorios de montaje. - P.P. Mano de obra de instalación. .- PLANTA BAJA</t>
  </si>
  <si>
    <t xml:space="preserve">16.05.33</t>
  </si>
  <si>
    <t xml:space="preserve">CONMUTADOR JUNG LS990 BL</t>
  </si>
  <si>
    <t xml:space="preserve">Conmutador serie jung ls990 bl color blanco totalmente instalado compuesto de: - 1Ud. Conmutador serie jung ls990 bl color blanco completo. - P.P. Pequeño material y accesorios de montaje. - P.P. Mano de obra de instalación. .- PLANTA BAJA</t>
  </si>
  <si>
    <t xml:space="preserve">Conmutadores</t>
  </si>
  <si>
    <t xml:space="preserve">16.05.34</t>
  </si>
  <si>
    <t xml:space="preserve">ENCHUFE 25A LEGRAND</t>
  </si>
  <si>
    <t xml:space="preserve">Toma corriente 25a mod. Legrand totalmente instalada compuesta de: - 1Ud. Toma corriente 25a mod. Legrand completa. - P.P. Pequeño material y accesorios de montaje. - P.P. Mano de obra de instalación. ENCHUFES 25A</t>
  </si>
  <si>
    <t xml:space="preserve">16.05.35</t>
  </si>
  <si>
    <t xml:space="preserve">ENCHUFE JUNG LS990 BL</t>
  </si>
  <si>
    <t xml:space="preserve">Toma corriente 16a serie jung ls990 bl color blanco totalmente instalada compuesta de: - 1Ud. Toma corriente 16a serie jung ls990 bl color blanco completa. - P.P. Pequeño material y accesorios de montaje. - P.P. Mano de obra de instalación. ENCHUFES 16A .- PLANTA BAJA</t>
  </si>
  <si>
    <t xml:space="preserve">16.05.36</t>
  </si>
  <si>
    <t xml:space="preserve">PULSADOR DOBLE PERSIANA JUNG LS990 BL</t>
  </si>
  <si>
    <t xml:space="preserve">Pulsador jung ls990 bl color blanco formado por: - 1 Pulsador completo jung ls990 bl. - 1 Caja 64x64.</t>
  </si>
  <si>
    <t xml:space="preserve">Accionadores de persiana / estor (el V12 no lleva estor: vidrio de control solar)</t>
  </si>
  <si>
    <t xml:space="preserve">16.05.37</t>
  </si>
  <si>
    <t xml:space="preserve">PREINSTALACIÓN DE RECARGA DE VEHÍCULO ELÉCTRICO (DB-HE 6)</t>
  </si>
  <si>
    <t xml:space="preserve">Conducción de cables para la futura recarga del vehículo eléctrico (ITC-BT-52): tubo vacío Ø32 mm desde el cuadro general por el montante hasta una caja de registro en el muro del garaje, con guía; según el plano LO-H7.</t>
  </si>
  <si>
    <t xml:space="preserve">Garaje</t>
  </si>
  <si>
    <t xml:space="preserve">16.05.38</t>
  </si>
  <si>
    <t xml:space="preserve">LUMINARIAS INTERIORES (PARTIDA ALZADA A JUSTIFICAR)</t>
  </si>
  <si>
    <t xml:space="preserve">Suministro e instalación de luminarias interiores según la elección de la propiedad (partida alzada a justificar).</t>
  </si>
  <si>
    <t xml:space="preserve">Precio de referencia de mercado (Navarra, 2026); contrastar con PREOC / CYPE. Partida alzada: depende de la elección de la propiedad.</t>
  </si>
  <si>
    <t xml:space="preserve">16.06</t>
  </si>
  <si>
    <t xml:space="preserve">TELECOMUNICACIONES</t>
  </si>
  <si>
    <t xml:space="preserve">16.06.01</t>
  </si>
  <si>
    <t xml:space="preserve">CAPTACIÓN DE SEÑALES RTV</t>
  </si>
  <si>
    <t xml:space="preserve">Conjunto de captación de señales de tv terrenal dab y fm formado por antenas para dab, uhf y fm, mástil de tubo de acero galvanizado, torreta autoestable, incluso anclajes, cable coaxial, conductor de tierra y material de sujección, completamente instalado.</t>
  </si>
  <si>
    <t xml:space="preserve">16.06.02</t>
  </si>
  <si>
    <t xml:space="preserve">AMPLIFICADOR TV</t>
  </si>
  <si>
    <t xml:space="preserve">Equipo distribución de tv para 1/2 usuarios, hasta 6 tomas de usuario. Amplificador y alimentador para tv digital y terrestre. Instalado en armario ict. Medida la unidad terminada.</t>
  </si>
  <si>
    <t xml:space="preserve">16.06.03</t>
  </si>
  <si>
    <t xml:space="preserve">PUNTO DE ACCESO DE USUARIO RTV Y RED DE DISPERSIÓN</t>
  </si>
  <si>
    <t xml:space="preserve">Distribución de señal de rtv para toda la vivienda, incluso cable coaxial, canalizaciones, conectores, distribuidores, derivadores, cajas y punto de acceso de usuario (pau) para los servicios de radio y televisión tanto terrenal como de satélite, incluido cable duplicado y repartidores para toda la vivienda, desde entrada a la vivienda hasta tomas finales, material de fijación instalado y debidamente conexionado. Alojado en rtr de vivienda. Probado y funcionando según reglamento de telecomunicaciones.</t>
  </si>
  <si>
    <t xml:space="preserve">16.06.04</t>
  </si>
  <si>
    <t xml:space="preserve">CABLE UTP CATEGORIA 6A</t>
  </si>
  <si>
    <t xml:space="preserve">Cable utp cat 6 lsfh libre de halógenos.</t>
  </si>
  <si>
    <t xml:space="preserve">16.06.05</t>
  </si>
  <si>
    <t xml:space="preserve">INTERCONEXIÓN CON OPERADOR</t>
  </si>
  <si>
    <t xml:space="preserve">P.A. Interconexión con operador teleco</t>
  </si>
  <si>
    <t xml:space="preserve">16.06.06</t>
  </si>
  <si>
    <t xml:space="preserve">REG. PASO TIPO C, T D= 20 mm.</t>
  </si>
  <si>
    <t xml:space="preserve">Registro de paso solera o similar, tipo c, de 150x160x120 mm, diámetro máximo de tubo de 20 mm y 4 entradas en cada lateral, formado por una caja aislada para empotrar, según norma une en 50298 con rigidez dieléctrica mínima de 15kv/mm, incluído accesoríos y fijaciones. Medida la unidad instalada. PEQUEÑOS CAJAS DE REGISTROS DE PASO PARA CONEXIÓN</t>
  </si>
  <si>
    <t xml:space="preserve">16.06.07</t>
  </si>
  <si>
    <t xml:space="preserve">VIDEOPORTERO</t>
  </si>
  <si>
    <t xml:space="preserve">Instalación de kit de portero electrónico para vivienda unifamiliar compuesto de: Placa exterior de calle con pulsador de llamada, alimentador, abrepuertas y teléfono. Incluso cableado y cajas. Totalmente montado, conexionado y puesto en marcha por la empresa instaladora para la comprobación de su correcto funcionamiento. Nota: Dispondrá de 2 pantallas interiores, ubicadas en planta primera y planta baja. Incluye: Instalación de tubos, cajas de derivación y conductores de señal y eléctricos. Colocación de teléfonos y repetidores de llamada interiores. Colocación de la placa exterior. Colocación del abrepuertas. Colocación del alimentador. Puesta en marcha. Criterio de medición de proyecto: Número de unidades previstas, según documentación gráfica de proyecto. Criterio de medición de obra: Se medirá el número de unidades realmente ejecutadas según especificaciones de proyecto.</t>
  </si>
  <si>
    <t xml:space="preserve">16.06.08</t>
  </si>
  <si>
    <t xml:space="preserve">CANALIZACION TELEFONÍA EXTERIOR</t>
  </si>
  <si>
    <t xml:space="preserve">Canalización de telefonía externa, bajo tubo enterrado con 3 conductos de pvc de 63 mm. De diámetro, de acuerdo a la serie de normas une 50086 (&gt; 450 n, 15 joules), distanciadores cada 70 cm, cuerda guía para cables, conexión de tendido exitente y paso de conducción aérea a enterrada . Instalación hasta registro principal. Según las indicaciones de la compañía suministradora.</t>
  </si>
  <si>
    <t xml:space="preserve">16.06.09</t>
  </si>
  <si>
    <t xml:space="preserve">CAJA Y DISTRIBUCIÓN DE TELEFONÍA EN R.S.</t>
  </si>
  <si>
    <t xml:space="preserve">Armario metálico para registro de instalaciones de ict, dimensiones 450x450x150 mm (alto x ancho x profundo), para instalación interior, grado de protección ip33 ik3, para instalación empotrada, colocado, incluso ayudas de albañilería. Se incluye su equipamiento con cableado, pau de telefonía, repartidores y cableado completo para toda la vivienda hasta tomas finales, derivadores de red de rtv y de red de cables coaxiales de tba, así como las regletas y cajas de segregación de cables de pares y de fibra óptica y el paso de cables de pares trenzados y de fibra óptica. Terminado completo.</t>
  </si>
  <si>
    <t xml:space="preserve">16.06.10</t>
  </si>
  <si>
    <t xml:space="preserve">TOMA DE TELEVISION JUNG LS990 BL</t>
  </si>
  <si>
    <t xml:space="preserve">Suministro e instalación de base de acceso terminal (base de toma blindada rtv+sat), banda 5-2.150Mhz, para conexión final o en estrella,; Toma doble dos módulos con embellecedor y tapa ciega para televisión y telecomunicaciones por cable, tipo jung ls990 bl.</t>
  </si>
  <si>
    <t xml:space="preserve">Tomas de TV / datos (LO-H7, LO-H8)</t>
  </si>
  <si>
    <t xml:space="preserve">TOTAL 16 INSTALACIONES</t>
  </si>
  <si>
    <t xml:space="preserve">18.01</t>
  </si>
  <si>
    <t xml:space="preserve">ESTRUCTURAS HORMIGON</t>
  </si>
  <si>
    <t xml:space="preserve">18.01.01</t>
  </si>
  <si>
    <t xml:space="preserve">ENSAYO MUESTRA ACERO</t>
  </si>
  <si>
    <t xml:space="preserve">Ensayo a realizar en laboratorio acreditado en el área técnica correspondiente, sobre una muestra de dos barras de acero corrugado de un mismo lote, tomada en obra, para la determinación de las siguientes características: Sección media equivalente según une-en iso 15630-1, características geométricas del corrugado según une-en 10080, doblado/desdoblado según une-en iso 15630-1. Incluso desplazamiento a obra, toma de muestra e informe de resultados. Incluye: Desplazamiento a obra. Toma de muestras. Realización de ensayos. Redacción de informe de los resultados de los ensayos realizados. Criterio de medición de proyecto: Ensayo a realizar, según documentación del plan de control de calidad.</t>
  </si>
  <si>
    <t xml:space="preserve">Según el documento del proyecto</t>
  </si>
  <si>
    <t xml:space="preserve">18.01.02</t>
  </si>
  <si>
    <t xml:space="preserve">ENSAYO MUESTRA HORMIGON</t>
  </si>
  <si>
    <t xml:space="preserve">Ensayo a realizar en laboratorio acreditado en el área técnica correspondiente, sobre una muestra de hormigón fresco, tomada en obra según une-en 12350-1, para la determinación de las siguientes características: Consistencia del hormigón fresco mediante el método de asentamiento del cono de abrams según une-en 12350-2 y resistencia característica a compresión del hormigón endurecido mediante control estadístico con fabricación y curado de seis probetas cilíndricas de 15x30 cm del mismo lote según une-en 12390-2, refrentado y rotura a compresión de las mismas según une-en 12390-3. Incluso desplazamiento a obra, toma de muestra e informe de resultados. Incluye: Desplazamiento a obra. Toma de muestras. Realización de ensayos. Redacción de informe de los resultados de los ensayos realizados. Criterio de medición de proyecto: Ensayo a realizar, según documentación del plan de control de calidad.</t>
  </si>
  <si>
    <t xml:space="preserve">18.02</t>
  </si>
  <si>
    <t xml:space="preserve">ESTUDIO GEOTECNICO</t>
  </si>
  <si>
    <t xml:space="preserve">18.02.01</t>
  </si>
  <si>
    <t xml:space="preserve">Estudio geotécnico del terreno en gravas compuesto por los siguientes trabajos de campo y ensayos de laboratorio. Trabajos de campo: Un sondeo a rotación con extracción de testigo continuo hasta una profundidad de 10 m tomando 1 muestra inalterada mediante tomamuestras de pared gruesa y 1 muestra alterada mediante tomamuestras normalizado del ensayo de penetración estándar (spt), una penetración dinámica mediante penetrómetro dinámico superpesado (dpsh) hasta 15 m de profundidad. Ensayos de laboratorio: Apertura y descripción de las muestras tomadas, descripción del testigo continuo obtenido, efectuándose los siguientes ensayos de laboratorio: 2 De análisis granulométrico según une 103101; 2 De límites de atterberg según une 103103 y une 103104; 2 De humedad natural según une 103300; Densidad aparente según une 103301; Resistencia a compresión según une 103400; Proctor normal según une 103500; C.B.R. Según une 103502; 2 De contenido en sulfatos según une 103201. Todo ello recogido en el correspondiente informe geotécnico con especificación de cada uno de los resultados obtenidos, conclusiones y validez del estudio sobre parámetros para el diseño de la cimentación. Incluye: Desplazamiento a obra. Toma de muestras. Realización de ensayos. Redacción del informe geotécnico, con especificación de cada uno de los resultados obtenidos, conclusiones y validez del estudio sobre parámetros para el diseño de la cimentación. Criterio de medición de proyecto: Ensayo a realizar, según documentación del plan de control de calidad.</t>
  </si>
  <si>
    <t xml:space="preserve">TOTAL 18 CONTROL DE CALIDAD</t>
  </si>
  <si>
    <t xml:space="preserve">19.01</t>
  </si>
  <si>
    <t xml:space="preserve">Transporte de residuos inertes de hormigones, morteros y prefabricados producidos</t>
  </si>
  <si>
    <t xml:space="preserve">en obras de construcción y/o demolición, con c Transporte de residuos inertes de hormigones, morteros y prefabricados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</si>
  <si>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19.02</t>
  </si>
  <si>
    <t xml:space="preserve">Transporte de residuos inertes de ladrillos, tejas y materiales cerámicos, producidos</t>
  </si>
  <si>
    <t xml:space="preserve">en obras de construcción y/o demolición, c Transporte de residuos inertes de ladrillos, tejas y materiales cerámicos,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</si>
  <si>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19.03</t>
  </si>
  <si>
    <t xml:space="preserve">Transporte de residuos inertes de madera producidos en obras de construcción y/o</t>
  </si>
  <si>
    <t xml:space="preserve">demolición, con contenedor de 7 m³, a vertedero Transporte de residuos inertes de madera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</si>
  <si>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19.04</t>
  </si>
  <si>
    <t xml:space="preserve">Transporte de residuos inertes plásticos producidos en obras de construcción y/o</t>
  </si>
  <si>
    <t xml:space="preserve">demolición, con contenedor de 7 m³, a vertedero Transporte de residuos inertes plásticos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</si>
  <si>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19.05</t>
  </si>
  <si>
    <t xml:space="preserve">Transporte de residuos inertes de papel y cartón, producidos en obras de</t>
  </si>
  <si>
    <t xml:space="preserve">construcción y/o demolición, con contenedor de 7 m³, a Transporte de residuos inertes de papel y cartón,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</si>
  <si>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19.06</t>
  </si>
  <si>
    <t xml:space="preserve">Transporte de residuos inertes metálicos producidos en obras de construcción y/o</t>
  </si>
  <si>
    <t xml:space="preserve">demolición, con contenedor de 7 m³, a vertedero Transporte de residuos inertes metálicos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</si>
  <si>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19.07</t>
  </si>
  <si>
    <t xml:space="preserve">Transporte de mezcla sin clasificar de residuos inertes producidos en obras de</t>
  </si>
  <si>
    <t xml:space="preserve">construcción y/o demolición, con contenedor de 7 Transporte de mezcla sin clasificar de residuos inertes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</si>
  <si>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19.08</t>
  </si>
  <si>
    <t xml:space="preserve">TRANSP. RESIDUOS SIN CLASIFICAR</t>
  </si>
  <si>
    <t xml:space="preserve">Transporte de mezcla sin clasificar de residuos inertes producidos en obras de construcción y/o demolición, con contenedor de 5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t>
  </si>
  <si>
    <t xml:space="preserve">TOTAL 19 GESTIÓN DE RESIDUOS</t>
  </si>
  <si>
    <t xml:space="preserve">20.01</t>
  </si>
  <si>
    <t xml:space="preserve">SISTEMAS PROTECCION COLECTIVA</t>
  </si>
  <si>
    <t xml:space="preserve">20.01.01</t>
  </si>
  <si>
    <t xml:space="preserve">M2</t>
  </si>
  <si>
    <t xml:space="preserve">ANDAMIAJE TUBULAR EUROPEO PERIMETRAL VIVIENDA</t>
  </si>
  <si>
    <t xml:space="preserve">Montaje de andamiaje tubular europeo homologado y certificado en todo el perímetro de vivienda y en toda la altura, de 6.50 M, durante la duración de todos los trabajos de limpieza, preparación y colocación de aplacado cerámico o monocapa industrial. Incluido desmontaje, materiales, portes, completamente terminado. Incluidas escaleras interiores, barandillas, rodapiés, etc.</t>
  </si>
  <si>
    <t xml:space="preserve">20.01.02</t>
  </si>
  <si>
    <t xml:space="preserve">Barandilla de protección de perímetro de forjados</t>
  </si>
  <si>
    <t xml:space="preserve">Suministro, montaje y desmontaje de barandilla de protección de perímetro de forjados, compuesta por guardacuerpos de seguridad telescópicos colocados cada 2,5 m (amortizables en 8 usos), fijados por apriete al forjado, pasamanos y travesaño intermedio formado por barandilla de tubo de acero de 25 mm de diámetro y 2,5 m de longitud (amortizable en 10 usos) y rodapié metálico de 3 m de longitud (amortizable en 10 usos). Según r.D. 486/97. Incluye: Colocación, instalación y comprobación. Desmontaje posterior. Criterio de medición de proyecto: Longitud medida según estudio o estudio básico de seguridad y salud.</t>
  </si>
  <si>
    <t xml:space="preserve">20.01.03</t>
  </si>
  <si>
    <t xml:space="preserve">Barandilla de protección de escaleras o rampas</t>
  </si>
  <si>
    <t xml:space="preserve">Suministro, montaje y desmontaje de barandilla de protección de escaleras o rampas, "redes jorpe", compuesta por guardacuerpos de seguridad telescópicos colocados cada 2,5 m (amortizables en 8 usos), fijados por apriete al forjado, pasamanos y travesaño intermedio formado por barandilla de tubo de acero de 25 mm de diámetro y 2,5 m de longitud (amortizable en 10 usos) y rodapié metálico de 3 m de longitud (amortizable en 10 usos). Según r.D. 486/97. Incluye: Colocación, instalación y comprobación. Desmontaje posterior. Criterio de medición de proyecto: Longitud medida según estudio o estudio básico de seguridad y salud.</t>
  </si>
  <si>
    <t xml:space="preserve">20.01.04</t>
  </si>
  <si>
    <t xml:space="preserve">Barandilla de protección de huecos verticales de fachada</t>
  </si>
  <si>
    <t xml:space="preserve">Suministro, montaje y desmontaje de barandilla de protección de huecos verticales de fachada, puertas de ascensor, etc., Compuesta por pasamanos y travesaño intermedio formado por tubo metálico de 50 mm de diámetro (amortizable en 10 usos) y rodapié de tabloncillo de madera de pino de 15x5,2 cm (amortizable en 3 usos). Incluye: Colocación, instalación y comprobación. Desmontaje posterior. Criterio de medición de proyecto: Longitud medida según estudio o estudio básico de seguridad y salud.</t>
  </si>
  <si>
    <t xml:space="preserve">20.01.05</t>
  </si>
  <si>
    <t xml:space="preserve">Tapa de madera</t>
  </si>
  <si>
    <t xml:space="preserve">Protección de hueco horizontal de una arqueta de 50x50 cm de sección, durante su proceso de construcción hasta que se coloque su tapa definitiva, realizada mediante tabloncillos de madera de pino de 15x5,2 cm, colocados uno junto a otro hasta cubrir la totalidad del hueco, reforzados en su parte inferior por tres tabloncillos clavados en sentido contrario, con rebaje en su refuerzo para alojarla en el hueco de la planta de la arqueta de modo que impida su movimiento horizontal, preparada para soportar una carga puntual de 3 kn. Amortizable en 4 usos. Incluso p/p de mantenimiento en condiciones seguras durante todo el periodo de tiempo que se requiera y desmontaje. Criterio de medición de proyecto: Número de unidades previstas, según estudio o estudio básico de seguridad y salud.</t>
  </si>
  <si>
    <t xml:space="preserve">20.01.06</t>
  </si>
  <si>
    <t xml:space="preserve">Sistema provisional de protección de borde de forjado</t>
  </si>
  <si>
    <t xml:space="preserve">Sistema provisional de protección de borde de forjado, clase a, de 1 m de altura, que proporciona resistencia sólo para cargas estáticas y para superficies de trabajo con un ángulo de inclinación máximo de 10°, formado por: Barandilla principal de tabla de madera de pino de 12x2,7 cm, amortizable en 4 usos; Barandilla intermedia de tabla de madera de pino de 12x2,7 cm, dispuesta de manera que una esfera de 470 mm no pase a través de cualquier apertura, amortizable en 4 usos; Rodapié metálico de 3 m de longitud, que tenga el borde superior al menos 15 cm por encima de la superficie de trabajo, amortizable en 10 usos y guardacuerpos fijos de seguridad fabricados en acero de primera calidad pintado al horno en epoxi-poliéster, de 40 mm de diámetro y 1200 mm de longitud, separados entre sí una distancia máxima de 2,5 m y fijados al forjado con base plástica embebida en el hormigón, amortizables en 8 usos. Incluso p/p de mantenimiento en condiciones seguras durante todo el periodo de tiempo que se requiera y desmontaje. Criterio de medición de proyecto: Longitud medida según estudio o estudio básico de seguridad y salud.</t>
  </si>
  <si>
    <t xml:space="preserve">20.01.07</t>
  </si>
  <si>
    <t xml:space="preserve">Red de protección de poliamida</t>
  </si>
  <si>
    <t xml:space="preserve">Red de protección de poliamida de alta tenacidad, color blanco, de 80x80 mm de paso, con cuerda de red de calibre 4 mm y cuerda perimetral de poliamida de 12 mm de calibre anudada a la red, para cubrir huecos horizontales de superficie comprendida entre 2,3 y 15 m² en forjados, anclada al forjado cada 50 cm con elementos metálicos. Incluso p/p de mantenimiento en condiciones seguras durante todo el periodo de tiempo que se requiera y desmontaje. Criterio de medición de proyecto: Superficie del hueco horizontal, medida según estudio o estudio básico de seguridad y salud.</t>
  </si>
  <si>
    <t xml:space="preserve">20.01.08</t>
  </si>
  <si>
    <t xml:space="preserve">Tapón protector tipo seta</t>
  </si>
  <si>
    <t xml:space="preserve">Protección de extremo de armadura de 12 a 32 mm de diámetro, mediante colocación de tapón protector tipo seta, de color rojo, amortizable en 3 usos. Incluso p/p de mantenimiento en condiciones seguras durante todo el periodo de tiempo que se requiera. Criterio de medición de proyecto: Número de unidades previstas, según estudio o estudio básico de seguridad y salud.</t>
  </si>
  <si>
    <t xml:space="preserve">20.01.09</t>
  </si>
  <si>
    <t xml:space="preserve">Protección de hueco de ventana</t>
  </si>
  <si>
    <t xml:space="preserve">Protección de hueco de ventana de entre 95 y 165 cm de anchura en cerramiento exterior, mediante dos tubos metálicos extensibles, con tornillo cilíndrico con hexágono interior para llave allen, para fijación de los tubos, amortizables en 20 usos, colocados una vez construida la hoja exterior del cerramiento y anclados a los orificios previamente realizados en los laterales del hueco de la ventana. Incluso p/p de montaje, mantenimiento en condiciones seguras durante todo el periodo de tiempo que se requiera y desmontaje. Criterio de medición de proyecto: Número de unidades previstas, según estudio o estudio básico de seguridad y salud.</t>
  </si>
  <si>
    <t xml:space="preserve">20.01.10</t>
  </si>
  <si>
    <t xml:space="preserve">Foco portátil de 500 W de potencia</t>
  </si>
  <si>
    <t xml:space="preserve">Suministro y colocación de foco portátil de 500 w de potencia, para interior, con rejilla de protección, soporte de tubo de acero y cable de 1,5 m, amortizable en 3 usos. Criterio de medición de proyecto: Número de unidades previstas, según estudio o estudio básico de seguridad y salud.</t>
  </si>
  <si>
    <t xml:space="preserve">20.01.11</t>
  </si>
  <si>
    <t xml:space="preserve">Cuadro eléctrico provisional de obra</t>
  </si>
  <si>
    <t xml:space="preserve">Suministro e instalación de cuadro eléctrico provisional de obra para una potencia máxima de 5 kw, compuesto por armario de distribución con dispositivo de emergencia, tomas y los interruptores automáticos magnetotérmicos y diferenciales necesarios, amortizable en 4 usos. Incluso elementos de fijación, regletas de conexión y cuantos accesorios sean necesarios para su correcta instalación. Totalmente montado, conexionado y probado. Criterio de medición de proyecto: Número de unidades previstas, según estudio o estudio básico de seguridad y salud.</t>
  </si>
  <si>
    <t xml:space="preserve">20.01.12</t>
  </si>
  <si>
    <t xml:space="preserve">Toma de tierra</t>
  </si>
  <si>
    <t xml:space="preserve">Suministro e instalación de toma de tierra independiente para instalación provisional de obra, compuesta por pica de acero cobreado de 2 m de longitud, hincada en el terreno, conectada a puente para comprobación, dentro de una arqueta de registro de polipropileno de 30x30 cm. Incluso replanteo, excavación para la arqueta de registro, hincado del electrodo en el terreno, colocación de la arqueta de registro, conexión del electrodo con la línea de enlace mediante grapa abarcón, relleno con tierras de la propia excavación y aditivos para disminuir la resistividad del terreno y conexionado a la red de tierra mediante puente de comprobación. Totalmente montada, conexionada y probada por la empresa instaladora mediante las correspondientes pruebas de servicio (incluidas en este precio). Criterio de medición de proyecto: Número de unidades previstas, según estudio o estudio básico de seguridad y salud.</t>
  </si>
  <si>
    <t xml:space="preserve">20.01.13</t>
  </si>
  <si>
    <t xml:space="preserve">Extintor portátil de polvo químico ABC</t>
  </si>
  <si>
    <t xml:space="preserve">Suministro y colocación de extintor portátil de polvo químico abc polivalente antibrasa, con presión incorporada, de eficacia 21a-113b-c, con 6 kg de agente extintor, con manómetro y manguera con boquilla difusora, amortizable en 3 usos. Incluso p/p de soporte y accesorios de montaje, mantenimiento en condiciones seguras durante todo el periodo de tiempo que se requiera y desmontaje. Criterio de medición de proyecto: Número de unidades previstas, según estudio o estudio básico de seguridad y salud.</t>
  </si>
  <si>
    <t xml:space="preserve">20.01.14</t>
  </si>
  <si>
    <t xml:space="preserve">Extintor portátil de nieve carbónica CO2</t>
  </si>
  <si>
    <t xml:space="preserve">Suministro y colocación de extintor portátil de nieve carbónica co2, de eficacia 34b, con 2 kg de agente extintor, con vaso difusor, amortizable en 3 usos. Incluso p/p de soporte y accesorios de montaje, mantenimiento en condiciones seguras durante todo el periodo de tiempo que se requiera y desmontaje. Criterio de medición de proyecto: Número de unidades previstas, según estudio o estudio básico de seguridad y salud.</t>
  </si>
  <si>
    <t xml:space="preserve">20.01.15</t>
  </si>
  <si>
    <t xml:space="preserve">Bajante para vertido de escombros</t>
  </si>
  <si>
    <t xml:space="preserve">Suministro, montaje y desmontaje de bajante para vertido de escombros, compuesta por 3 tubos y 1 embocadura de polietileno, de 49 cm de diámetro superior y 40 cm de diámetro inferior, con soportes y cadenas metálicas, por cada planta de hasta 3 m de altura libre, amortizable en 5 usos. Incluso p/p de puntales de acodalamiento, elementos de sujeción y accesorios y mantenimiento en condiciones seguras durante todo el periodo de tiempo que se requiera. Criterio de medición de proyecto: Longitud medida según estudio o estudio básico de seguridad y salud.</t>
  </si>
  <si>
    <t xml:space="preserve">20.01.16</t>
  </si>
  <si>
    <t xml:space="preserve">Toldo plastificado para pie de bajante de escombros</t>
  </si>
  <si>
    <t xml:space="preserve">Suministro, montaje y desmontaje de toldo plastificado para pie de bajante de escombros, para cubrición de contenedor, amortizable en 5 usos, que impide tanto la emisión del polvo generado por la salida de escombros como el depósito en el contenedor de otros residuos ajenos a la obra. Incluso p/p de elementos de sujeción y mantenimiento en condiciones seguras durante todo el periodo de tiempo que se requiera. Criterio de medición de proyecto: Número de unidades previstas, según estudio o estudio básico de seguridad y salud.</t>
  </si>
  <si>
    <t xml:space="preserve">20.02</t>
  </si>
  <si>
    <t xml:space="preserve">FORMACION</t>
  </si>
  <si>
    <t xml:space="preserve">20.02.01</t>
  </si>
  <si>
    <t xml:space="preserve">Reunión del Comité de Seguridad y Salud en el Trabajo.</t>
  </si>
  <si>
    <t xml:space="preserve">Reunión del comité de seguridad y salud en el trabajo, considerando una reunión de dos horas. El comité estará compuesto por un técnico cualificado en materia de seguridad y salud con categoría de encargado de obra, dos trabajadores con categoría de oficial de 2ª, un ayudante y un vigilante de seguridad y salud con categoría de oficial de 1ª. Criterio de medición de proyecto: Número de unidades previstas, según estudio o estudio básico de seguridad y salud.</t>
  </si>
  <si>
    <t xml:space="preserve">20.02.02</t>
  </si>
  <si>
    <t xml:space="preserve">Hora de charla para formación de Seguridad y Salud en el Trabajo.</t>
  </si>
  <si>
    <t xml:space="preserve">Hora de charla para formación de seguridad y salud en el trabajo, realizada por técnico cualificado perteneciente a una empresa asesora en seguridad y prevención de riesgos. Incluso p/p de pérdida de horas de trabajo por parte de los trabajadores asistentes a la charla, considerando una media de seis personas. Criterio de medición de proyecto: Número de unidades previstas, según estudio o estudio básico de seguridad y salud.</t>
  </si>
  <si>
    <t xml:space="preserve">20.03</t>
  </si>
  <si>
    <t xml:space="preserve">EQUIPOS PROTECCION INDIVIDUAL</t>
  </si>
  <si>
    <t xml:space="preserve">20.03.01</t>
  </si>
  <si>
    <t xml:space="preserve">Casco de seguridad.</t>
  </si>
  <si>
    <t xml:space="preserve">Suministro de casco de seguridad para la construcción, con arnés de sujeción, según r.D. 773/97. Homologado y marcado con certificado ce. Criterio de medición de proyecto: Número de unidades previstas, según estudio o estudio básico de seguridad y salud.</t>
  </si>
  <si>
    <t xml:space="preserve">20.03.02</t>
  </si>
  <si>
    <t xml:space="preserve">Casco de seguridad dieléctrico.</t>
  </si>
  <si>
    <t xml:space="preserve">Suministro de casco de seguridad dieléctrico con pantalla para protección de descargas eléctricas (amortizable en 5 usos), según r.D. 773/97. Homologado y marcado con certificado ce. Criterio de medición de proyecto: Número de unidades previstas, según estudio o estudio básico de seguridad y salud.</t>
  </si>
  <si>
    <t xml:space="preserve">20.03.03</t>
  </si>
  <si>
    <t xml:space="preserve">Cinturón de seguridad de suspensión con un punto de amarre.</t>
  </si>
  <si>
    <t xml:space="preserve">Suministro de cinturón de seguridad de suspensión con un punto de amarre (amortizable en 4 usos), según r.D. 773/97. Homologado y marcado con certificado ce. Criterio de medición de proyecto: Número de unidades previstas, según estudio o estudio básico de seguridad y salud.</t>
  </si>
  <si>
    <t xml:space="preserve">20.03.04</t>
  </si>
  <si>
    <t xml:space="preserve">Equipo de arnés simple de seguridad anticaídas.</t>
  </si>
  <si>
    <t xml:space="preserve">Suministro de equipo de arnés simple de seguridad anticaídas cr61 "redes jorpe", con un elemento de amarre incorporado consistente en una cinta tubular elástica de 1,5 m con amortiguador de impacto en el extremo, en bolsa de transporte (amortizable en 4 usos), según r.D. 773/97. Homologado y marcado con certificado ce. Criterio de medición de proyecto: Número de unidades previstas, según estudio o estudio básico de seguridad y salud.</t>
  </si>
  <si>
    <t xml:space="preserve">20.03.05</t>
  </si>
  <si>
    <t xml:space="preserve">Cuerda guía anticaídas de poliamida de 16 mm de diámetro.</t>
  </si>
  <si>
    <t xml:space="preserve">Suministro, montaje y desmontaje de cuerda guía anticaídas de poliamida de alta tenacidad de 16 mm de diámetro, con guardacabos en los extremos, según r.D. 773/97. Homologada y marcada con certificado ce. Criterio de medición de proyecto: Longitud medida según estudio o estudio básico de seguridad y salud.</t>
  </si>
  <si>
    <t xml:space="preserve">20.03.06</t>
  </si>
  <si>
    <t xml:space="preserve">Gafas de protección contra impactos.</t>
  </si>
  <si>
    <t xml:space="preserve">Suministro de gafas de protección contra impactos (amortizables en 3 usos), según r.D. 773/97. Homologadas y marcadas con certificado ce. Criterio de medición de proyecto: Número de unidades previstas, según estudio o estudio básico de seguridad y salud.</t>
  </si>
  <si>
    <t xml:space="preserve">20.03.07</t>
  </si>
  <si>
    <t xml:space="preserve">Gafas de protección antipolvo.</t>
  </si>
  <si>
    <t xml:space="preserve">Suministro de gafas de protección antipolvo (amortizables en 3 usos), según r.D. 773/97. Homologadas y marcadas con certificado ce. Criterio de medición de proyecto: Número de unidades previstas, según estudio o estudio básico de seguridad y salud.</t>
  </si>
  <si>
    <t xml:space="preserve">20.03.08</t>
  </si>
  <si>
    <t xml:space="preserve">Gafas de protección para ayudante de soldadura.</t>
  </si>
  <si>
    <t xml:space="preserve">Suministro de gafas de protección para ayudante de soldadura (amortizables en 3 usos), según r.D. 773/97. Homologadas y marcadas con certificado ce. Criterio de medición de proyecto: Número de unidades previstas, según estudio o estudio básico de seguridad y salud.</t>
  </si>
  <si>
    <t xml:space="preserve">20.03.09</t>
  </si>
  <si>
    <t xml:space="preserve">Pantalla de protección contra partículas, con fijación en la cabeza.</t>
  </si>
  <si>
    <t xml:space="preserve">Suministro de pantalla de protección contra partículas con visor de policarbonato claro rígido, con fijación en la cabeza (amortizable en 5 usos), según r.D. 773/97. Homologada y marcada con certificado ce. Criterio de medición de proyecto: Número de unidades previstas, según estudio o estudio básico de seguridad y salud.</t>
  </si>
  <si>
    <t xml:space="preserve">20.03.10</t>
  </si>
  <si>
    <t xml:space="preserve">Pantalla de protección de soldador, con fijación en la cabeza.</t>
  </si>
  <si>
    <t xml:space="preserve">Suministro de pantalla de protección de soldador en material termoformado, con fijación en la cabeza (amortizable en 5 usos), según r.D. 773/97. Homologada y marcada con certificado ce. Criterio de medición de proyecto: Número de unidades previstas, según estudio o estudio básico de seguridad y salud.</t>
  </si>
  <si>
    <t xml:space="preserve">20.03.11</t>
  </si>
  <si>
    <t xml:space="preserve">Par de guantes de goma-látex anticorte.</t>
  </si>
  <si>
    <t xml:space="preserve">Suministro de par de guantes de goma-látex anticorte, según r.D. 773/97. Homologados y marcados con certificado ce. Criterio de medición de proyecto: Número de unidades previstas, según estudio o estudio básico de seguridad y salud.</t>
  </si>
  <si>
    <t xml:space="preserve">20.03.12</t>
  </si>
  <si>
    <t xml:space="preserve">Par de guantes de neopreno.</t>
  </si>
  <si>
    <t xml:space="preserve">Suministro de par de guantes de neopreno, según r.D. 773/97. Homologados y marcados con certificado ce. Criterio de medición de proyecto: Número de unidades previstas, según estudio o estudio básico de seguridad y salud.</t>
  </si>
  <si>
    <t xml:space="preserve">20.03.13</t>
  </si>
  <si>
    <t xml:space="preserve">Par de guantes de nitrilo amarillo de alta resistencia.</t>
  </si>
  <si>
    <t xml:space="preserve">Suministro de par de guantes de nitrilo amarillo de alta resistencia, según r.D. 773/97. Homologados y marcados con certificado ce. Criterio de medición de proyecto: Número de unidades previstas, según estudio o estudio básico de seguridad y salud.</t>
  </si>
  <si>
    <t xml:space="preserve">20.03.14</t>
  </si>
  <si>
    <t xml:space="preserve">Par de guantes resistentes al fuego, de fibra Nomex con acabado reflectante</t>
  </si>
  <si>
    <t xml:space="preserve">aluminizado. Suministro de par de guantes resistentes al fuego, de fibra nomex con acabado reflectante aluminizado, según r.D. 773/97. Homologados y marcados con certificado ce. Criterio de medición de proyecto: Número de unidades previstas, según estudio o estudio básico de seguridad y salud.</t>
  </si>
  <si>
    <t xml:space="preserve">20.03.15</t>
  </si>
  <si>
    <t xml:space="preserve">Par de guantes de uso general de lona y serraje.</t>
  </si>
  <si>
    <t xml:space="preserve">Suministro de par de guantes de uso general de lona y serraje, según r.D. 773/97. Homologados y marcados con certificado ce. Criterio de medición de proyecto: Número de unidades previstas, según estudio o estudio básico de seguridad y salud.</t>
  </si>
  <si>
    <t xml:space="preserve">20.03.16</t>
  </si>
  <si>
    <t xml:space="preserve">Par de guantes de uso general de piel de vacuno.</t>
  </si>
  <si>
    <t xml:space="preserve">Suministro de par de guantes de uso general de piel de vacuno, según r.D. 773/97. Homologados y marcados con certificado ce. Criterio de medición de proyecto: Número de unidades previstas, según estudio o estudio básico de seguridad y salud.</t>
  </si>
  <si>
    <t xml:space="preserve">20.03.17</t>
  </si>
  <si>
    <t xml:space="preserve">Par de guantes de serraje forrado ignífugo para soldador.</t>
  </si>
  <si>
    <t xml:space="preserve">Suministro de par de guantes de serraje forrado ignífugo para soldador, según r.D. 773/97. Homologados y marcados con certificado ce. Criterio de medición de proyecto: Número de unidades previstas, según estudio o estudio básico de seguridad y salud.</t>
  </si>
  <si>
    <t xml:space="preserve">20.03.18</t>
  </si>
  <si>
    <t xml:space="preserve">Par de manguitos al hombro de serraje grado A para soldador.</t>
  </si>
  <si>
    <t xml:space="preserve">Suministro de par de manguitos al hombro de serraje grado a para soldador, según r.D. 773/97. Homologados y marcados con certificado ce. Criterio de medición de proyecto: Número de unidades previstas, según estudio o estudio básico de seguridad y salud.</t>
  </si>
  <si>
    <t xml:space="preserve">20.03.19</t>
  </si>
  <si>
    <t xml:space="preserve">Par de guantes para electricista, aislantes hasta 5.000 V.</t>
  </si>
  <si>
    <t xml:space="preserve">Suministro de par de guantes dieléctricos para electricista, aislantes hasta 5.000 V, según r.D. 773/97. Homologados y marcados con certificado ce. Criterio de medición de proyecto: Número de unidades previstas, según estudio o estudio básico de seguridad y salud.</t>
  </si>
  <si>
    <t xml:space="preserve">20.03.20</t>
  </si>
  <si>
    <t xml:space="preserve">Par de manoplas resistentes al fuego de fibra de Nomex aluminizado.</t>
  </si>
  <si>
    <t xml:space="preserve">Suministro de par de manoplas resistentes al fuego de fibra de nomex aluminizado, según r.D. 773/97. Homologadas y marcadas con certificado ce. Criterio de medición de proyecto: Número de unidades previstas, según estudio o estudio básico de seguridad y salud.</t>
  </si>
  <si>
    <t xml:space="preserve">20.03.21</t>
  </si>
  <si>
    <t xml:space="preserve">Protector de manos para puntero.</t>
  </si>
  <si>
    <t xml:space="preserve">Suministro de protector de manos para puntero, según r.D. 773/97. Homologado y marcado con certificado ce. Criterio de medición de proyecto: Número de unidades previstas, según estudio o estudio básico de seguridad y salud.</t>
  </si>
  <si>
    <t xml:space="preserve">20.03.22</t>
  </si>
  <si>
    <t xml:space="preserve">Casco protector auditivo.</t>
  </si>
  <si>
    <t xml:space="preserve">Suministro de protector auditivo con arnés a cabeza anatómico y ajuste con almohadillado central (amortizable en 3 usos), según r.D. 773/97. Homologado y marcado con certificado ce. Criterio de medición de proyecto: Número de unidades previstas, según estudio o estudio básico de seguridad y salud.</t>
  </si>
  <si>
    <t xml:space="preserve">20.03.23</t>
  </si>
  <si>
    <t xml:space="preserve">Juego de tapones antirruido de silicona.</t>
  </si>
  <si>
    <t xml:space="preserve">Suministro de juego de tapones antirruido de silicona, según r.D. 773/97. Homologado y marcado con certificado ce. Criterio de medición de proyecto: Número de unidades previstas, según estudio o estudio básico de seguridad y salud.</t>
  </si>
  <si>
    <t xml:space="preserve">20.03.24</t>
  </si>
  <si>
    <t xml:space="preserve">Par de botas de agua sin cremallera.</t>
  </si>
  <si>
    <t xml:space="preserve">Suministro de par de botas de agua sin cremallera, según r.D. 773/97. Homologadas y marcadas con certificado ce. Criterio de medición de proyecto: Número de unidades previstas, según estudio o estudio básico de seguridad y salud.</t>
  </si>
  <si>
    <t xml:space="preserve">20.03.25</t>
  </si>
  <si>
    <t xml:space="preserve">Par de botas de agua con cremallera y forradas.</t>
  </si>
  <si>
    <t xml:space="preserve">Suministro de par de botas de agua con cremallera y forradas, según r.D. 773/97. Homologadas y marcadas con certificado ce. Criterio de medición de proyecto: Número de unidades previstas, según estudio o estudio básico de seguridad y salud.</t>
  </si>
  <si>
    <t xml:space="preserve">20.03.26</t>
  </si>
  <si>
    <t xml:space="preserve">Par de botas de seguridad con puntera metálica.</t>
  </si>
  <si>
    <t xml:space="preserve">Suministro de par de botas de seguridad con puntera metálica y plantillas de acero flexibles, según r.D. 773/97. Homologadas y marcadas con certificado ce. Criterio de medición de proyecto: Número de unidades previstas, según estudio o estudio básico de seguridad y salud.</t>
  </si>
  <si>
    <t xml:space="preserve">20.03.27</t>
  </si>
  <si>
    <t xml:space="preserve">Par de botas aislantes.</t>
  </si>
  <si>
    <t xml:space="preserve">Suministro de par de botas aislantes para electricista, hasta 5.000 V, según r.D. 773/97. Homologadas y marcadas con certificado ce. Criterio de medición de proyecto: Número de unidades previstas, según estudio o estudio básico de seguridad y salud.</t>
  </si>
  <si>
    <t xml:space="preserve">20.03.28</t>
  </si>
  <si>
    <t xml:space="preserve">Par de polainas para soldador.</t>
  </si>
  <si>
    <t xml:space="preserve">Suministro de par de polainas para soldador, según r.D. 773/97. Homologadas y marcadas con certificado ce. Criterio de medición de proyecto: Número de unidades previstas, según estudio o estudio básico de seguridad y salud.</t>
  </si>
  <si>
    <t xml:space="preserve">20.03.29</t>
  </si>
  <si>
    <t xml:space="preserve">Par de polainas para extinción de incendios.</t>
  </si>
  <si>
    <t xml:space="preserve">Suministro de par de polainas para extinción de incendios, según r.D. 773/97. Homologadas y marcadas con certificado ce. Criterio de medición de proyecto: Número de unidades previstas, según estudio o estudio básico de seguridad y salud.</t>
  </si>
  <si>
    <t xml:space="preserve">20.03.30</t>
  </si>
  <si>
    <t xml:space="preserve">Par de plantillas resistentes a la perforación.</t>
  </si>
  <si>
    <t xml:space="preserve">Suministro de par de plantillas resistentes a la perforación, según r.D. 773/97. Homologadas y marcadas con certificado ce. Criterio de medición de proyecto: Número de unidades previstas, según estudio o estudio básico de seguridad y salud.</t>
  </si>
  <si>
    <t xml:space="preserve">20.03.31</t>
  </si>
  <si>
    <t xml:space="preserve">Mono de trabajo.</t>
  </si>
  <si>
    <t xml:space="preserve">Suministro de mono de trabajo de una pieza de poliéster-algodón, según r.D. 773/97. Homologado y marcado con certificado ce. Criterio de medición de proyecto: Número de unidades previstas, según estudio o estudio básico de seguridad y salud.</t>
  </si>
  <si>
    <t xml:space="preserve">20.03.32</t>
  </si>
  <si>
    <t xml:space="preserve">Traje impermeable de trabajo, de PVC.</t>
  </si>
  <si>
    <t xml:space="preserve">Suministro de traje impermeable de trabajo, de pvc, según r.D. 773/97. Homologado y marcado con certificado ce. Criterio de medición de proyecto: Número de unidades previstas, según estudio o estudio básico de seguridad y salud.</t>
  </si>
  <si>
    <t xml:space="preserve">20.03.33</t>
  </si>
  <si>
    <t xml:space="preserve">Traje impermeable de trabajo, verde tipo ingeniero.</t>
  </si>
  <si>
    <t xml:space="preserve">Suministro de traje impermeable de trabajo, verde tipo ingeniero, según r.D. 773/97. Homologado y marcado con certificado ce. Criterio de medición de proyecto: Número de unidades previstas, según estudio o estudio básico de seguridad y salud.</t>
  </si>
  <si>
    <t xml:space="preserve">20.03.34</t>
  </si>
  <si>
    <t xml:space="preserve">Mandil para soldador.</t>
  </si>
  <si>
    <t xml:space="preserve">Suministro de mandil protector para soldador, de serraje, con cierre lateral y hebilla, según r.D. 773/97. Homologado y marcado con certificado ce. Criterio de medición de proyecto: Número de unidades previstas, según estudio o estudio básico de seguridad y salud.</t>
  </si>
  <si>
    <t xml:space="preserve">20.03.35</t>
  </si>
  <si>
    <t xml:space="preserve">Chaqueta para soldador.</t>
  </si>
  <si>
    <t xml:space="preserve">Suministro de chaqueta protectora para soldador, de serraje, con cierre de velcro o botones de presión, según r.D. 773/97. Homologado y marcado con certificado ce. Criterio de medición de proyecto: Número de unidades previstas, según estudio o estudio básico de seguridad y salud.</t>
  </si>
  <si>
    <t xml:space="preserve">20.03.36</t>
  </si>
  <si>
    <t xml:space="preserve">Bolsa portaelectrodos para soldador.</t>
  </si>
  <si>
    <t xml:space="preserve">Suministro de bolsa portaelectrodos para soldador, según r.D. 773/97. Homologado y marcado con certificado ce. Criterio de medición de proyecto: Número de unidades previstas, según estudio o estudio básico de seguridad y salud.</t>
  </si>
  <si>
    <t xml:space="preserve">20.03.37</t>
  </si>
  <si>
    <t xml:space="preserve">Bolsa portaherramientas.</t>
  </si>
  <si>
    <t xml:space="preserve">Suministro de cinturón con bolsa de varios compartimentos para herramientas, según r.D. 773/97. Homologado y marcado con certificado ce. Criterio de medición de proyecto: Número de unidades previstas, según estudio o estudio básico de seguridad y salud.</t>
  </si>
  <si>
    <t xml:space="preserve">20.03.38</t>
  </si>
  <si>
    <t xml:space="preserve">Peto reflectante.</t>
  </si>
  <si>
    <t xml:space="preserve">Suministro de peto reflectante de color butano o amarillo, según r.D. 773/97. Homologado y marcado con certificado ce. Criterio de medición de proyecto: Número de unidades previstas, según estudio o estudio básico de seguridad y salud.</t>
  </si>
  <si>
    <t xml:space="preserve">20.03.39</t>
  </si>
  <si>
    <t xml:space="preserve">Faja de protección lumbar.</t>
  </si>
  <si>
    <t xml:space="preserve">Suministro de faja de protección lumbar con amplio soporte abdominal y sujeción regulable mediante velcro, según r.D. 773/97. Homologada y marcada con certificado ce. Criterio de medición de proyecto: Número de unidades previstas, según estudio o estudio básico de seguridad y salud.</t>
  </si>
  <si>
    <t xml:space="preserve">20.03.40</t>
  </si>
  <si>
    <t xml:space="preserve">Semi-mascarilla antipolvo, de un filtro.</t>
  </si>
  <si>
    <t xml:space="preserve">Suministro de semi-mascarilla antipolvo, de un filtro (amortizable en 3 usos), según r.D. 773/97. Homologada y marcada con certificado ce. Criterio de medición de proyecto: Número de unidades previstas, según estudio o estudio básico de seguridad y salud.</t>
  </si>
  <si>
    <t xml:space="preserve">20.03.41</t>
  </si>
  <si>
    <t xml:space="preserve">Semi-mascarilla antipolvo, de dos filtros.</t>
  </si>
  <si>
    <t xml:space="preserve">Suministro de semi-mascarilla antipolvo, de dos filtros (amortizable en 3 usos), según r.D. 773/97. Homologada y marcada con certificado ce. Criterio de medición de proyecto: Número de unidades previstas, según estudio o estudio básico de seguridad y salud.</t>
  </si>
  <si>
    <t xml:space="preserve">20.03.42</t>
  </si>
  <si>
    <t xml:space="preserve">Filtro para semi-mascarilla antipolvo.</t>
  </si>
  <si>
    <t xml:space="preserve">Suministro de filtro para semi-mascarilla antipolvo, según r.D. 773/97. Homologado y marcado con certificado ce. Criterio de medición de proyecto: Número de unidades previstas, según estudio o estudio básico de seguridad y salud.</t>
  </si>
  <si>
    <t xml:space="preserve">20.03.43</t>
  </si>
  <si>
    <t xml:space="preserve">Mascarilla desechable antipolvo FFP1.</t>
  </si>
  <si>
    <t xml:space="preserve">Suministro de mascarilla autofiltrante desechable, contra partículas de polvo, ffp1, según r.D. 773/97. Homologada y marcada con certificado ce. Criterio de medición de proyecto: Número de unidades previstas, según estudio o estudio básico de seguridad y salud.</t>
  </si>
  <si>
    <t xml:space="preserve">20.04</t>
  </si>
  <si>
    <t xml:space="preserve">MEDICINA PREVENTIVA Y PRIMEROS AUXILIOS</t>
  </si>
  <si>
    <t xml:space="preserve">20.04.01</t>
  </si>
  <si>
    <t xml:space="preserve">Botiquín de urgencia en caseta de obra.</t>
  </si>
  <si>
    <t xml:space="preserve">Suministro y colocación de botiquín de urgencia para caseta de obra, provisto de desinfectantes y antisépticos autorizados, gasas estériles, algodón hidrófilo, venda, esparadrapo, apósitos adhesivos, un par de tijeras, pinzas y guantes desechables, instalado en el vestuario. Incluye: Replanteo y trazado en el paramento. Colocación y fijación mediante tornillos. Criterio de medición de proyecto: Número de unidades previstas, según estudio o estudio básico de seguridad y salud.</t>
  </si>
  <si>
    <t xml:space="preserve">20.04.02</t>
  </si>
  <si>
    <t xml:space="preserve">Reconocimiento médico anual al trabajador.</t>
  </si>
  <si>
    <t xml:space="preserve">Reconocimiento médico obligatorio anual al trabajador. Incluso p/p de pérdida de horas de trabajo por parte del trabajador de la empresa, debido al desplazamiento desde el centro de trabajo al centro médico (mutua de accidentes) para realizar el pertinente reconocimiento médico. Criterio de medición de proyecto: Número de unidades previstas, según estudio o estudio básico de seguridad y salud.</t>
  </si>
  <si>
    <t xml:space="preserve">20.05</t>
  </si>
  <si>
    <t xml:space="preserve">SEÑALIZACION PROVISIONAL DE OBRAS</t>
  </si>
  <si>
    <t xml:space="preserve">20.05.01</t>
  </si>
  <si>
    <t xml:space="preserve">Cinta bicolor para balizamiento.</t>
  </si>
  <si>
    <t xml:space="preserve">Suministro, colocación y desmontaje de cinta bicolor amarilla/negra de material plástico para balizamiento, de 8 cm. Según r.D. 485/97. Incluye: Colocación y comprobación. Desmontaje posterior. Criterio de medición de proyecto: Longitud medida según estudio o estudio básico de seguridad y salud.</t>
  </si>
  <si>
    <t xml:space="preserve">20.05.02</t>
  </si>
  <si>
    <t xml:space="preserve">Vallado del solar con valla trasladable de tubos y enrejados metálicos.</t>
  </si>
  <si>
    <t xml:space="preserve">Suministro, montaje y desmontaje de valla trasladable realizada con bastidores prefabricados de 3,50x2,00 m de altura. Formados por mallazo de 200x100 mm de dimensiones de malla, con alambres horizontales de 5 mm de diámetro y verticales de 4 mm, plegados longitudinalmente para mejorar su rigidez, soldados a tubos de 40 mm de diámetro y 1,50 mm de espesor. Todo ello galvanizado en caliente, sobre bases de hormigón prefabricado provistas de cuatro agujeros para diferentes posicionamientos del bastidor, separadas cada 3,50 m (amortizable en 5 usos). Incluso p/p de puerta de acceso. Incluye: Replanteo de los apoyos. Montaje y posterior desmontaje de acceso, valla y accesorios. Criterio de medición de proyecto: Longitud medida según estudio o estudio básico de seguridad y salud.</t>
  </si>
  <si>
    <t xml:space="preserve">20.05.03</t>
  </si>
  <si>
    <t xml:space="preserve">Placa de señalización de riesgos.</t>
  </si>
  <si>
    <t xml:space="preserve">Suministro, colocación y desmontaje de placa de señalización o información de riesgos, de pvc serigrafiado de 500x300 mm, fijada mecánicamente (amortizable en 3 usos). Según r.D. 485/97. Incluye: Replanteo de las placas. Fijación mecánica al soporte. Desmontaje posterior. Criterio de medición de proyecto: Número de unidades previstas, según estudio o estudio básico de seguridad y salud.</t>
  </si>
  <si>
    <t xml:space="preserve">TOTAL 20 SEGURIDAD Y SALUD</t>
  </si>
  <si>
    <t xml:space="preserve">CRITERIOS</t>
  </si>
  <si>
    <t xml:space="preserve">Objeto</t>
  </si>
  <si>
    <t xml:space="preserve">Presupuesto conjunto de la actuación en C. Ancha 34, Lodosa: bloque D (Proyecto de Derribo, documento 11) + bloque ON (propuesta de presupuesto del proyecto de ejecución de la vivienda, octubre de 2026). Cada bloque es idéntico a su presupuesto por separado.</t>
  </si>
  <si>
    <t xml:space="preserve">Demolición</t>
  </si>
  <si>
    <t xml:space="preserve">Va solo en el bloque D. El capítulo 02 de la obra nueva queda como nota (0 €) para no duplicarla.</t>
  </si>
  <si>
    <t xml:space="preserve">IVA</t>
  </si>
  <si>
    <t xml:space="preserve">IVA: 21 % en el derribo (como en el Proyecto de Derribo) y 10 % en la obra nueva de vivienda (criterio del presupuesto de 24/12/2024). Confirmar con la asesoría.</t>
  </si>
  <si>
    <t xml:space="preserve">Precios</t>
  </si>
  <si>
    <t xml:space="preserve">Columna «Origen»: (A) presupuesto de 24/12/2024 actualizado un 6 %; (E) referencia de mercado Navarra 2026, contrastar con PREOC / CYPE; (D) importe del documento del proyecto sin cambios. Criterios de medición de la obra nueva: ver su presupuesto por separado.</t>
  </si>
  <si>
    <t xml:space="preserve">Presto</t>
  </si>
  <si>
    <t xml:space="preserve">El .bc3 lleva los dos bloques como capítulos raíz (D y ON) con sus capítulos dentro.</t>
  </si>
  <si>
    <t xml:space="preserve">Modelo BIM (14-oct)</t>
  </si>
  <si>
    <t xml:space="preserve">Las partidas de la hoja «Mediciones BIM» se miden en el modelo BIM de Vectorworks generado desde las plantas (muros por tipos con sus capas, forjados, cubiertas, carpinterías, zunchos, pilar y falsos techos). Criterios de Enrique: forjado de viguetas 20+5 en todos los forjados, también el techo del garaje, salvo la terraza de planta segunda, 15+5; barrera de vapor bajo el XPS en la cubierta plana, el patio y el porche (patio y porche acabados a +3,57); no hay cubierta invertida (patio, porche, terraza y cubierta plana: forjado + XPS + antiimpacto 5 mm + mortero de pendientes + lámina de betún modificado + mortero de protección + microcemento exterior); XPS 14 cm en la cubierta plana y 4 cm en el resto; 2,70 m libres en primera y segunda; alicatado hasta 2,28 m y por encima yeso y pintura; zócalo de 0,32 m en fachada y 0,21 m en el resto.</t>
  </si>
  <si>
    <t xml:space="preserve">Opción 2 de cubiertas (16-oct)</t>
  </si>
  <si>
    <t xml:space="preserve">Enrique 16-oct: se va hacia la opción 2 de cubiertas, así que el presupuesto se mide con ella. Cambia: faldón nuevo sobre la escalera (conecta con la casa de al lado) con el ventanal horizontal de la escalera (alerce, fijo + practicable de 0,60, sustituye al lucernario de aluminio y sus tres estores pasan a uno); la tira junto a la terraza pasa a cubierta plana; faldón de C. del Peso sobre la cubierta plana (17,15 m²), que se mide como los demás faldones (losa, XPS 10, OSB, lámina, rastreles y teja) y deja debajo solo el forjado, sin aislamiento ni acabados de cubierta plana; barandilla de la zona pisable según el croquis y sin la del patio pequeño. El faldón de C. del Peso sobre la cubierta plana es ventilado (Enrique 16-oct): lleva losa, OSB, lámina, rastreles y teja pero no XPS, y el aislamiento (XPS 14 cm con barrera de vapor) y la impermeabilización siguen en la cubierta plana de debajo, que es el suelo del espacio bajo el faldón, donde van la unidad exterior de la aerotermia y un almacenaje. Se cierra con un piñón de Ytong de 20 cm revocado en su cara este (7,47 m², de 0,42 a 2,16 m) y, en el frente que da a la terraza, con una celosía de tramex galvanizado de 2,77 × 1,80 m con un paño fijo y una puerta de 0,80 m del mismo material (14.06); detrás del fijo, la unidad exterior de la aerotermia. El ventanal de la escalera no lleva estor. Los puntos de anclaje junto al lucernario ya no se colocan (07.11 a 0): el ventanal se limpia desde la terraza. DB-HE recalculado con la opción 2 (Anejo 04_2): K ≈ 0,51 &lt; 0,53 y qsol;jul ≈ 1,69 ≤ 2,00.</t>
  </si>
  <si>
    <t xml:space="preserve">Opción 3 de cubiertas · IFC final (21-oct)</t>
  </si>
  <si>
    <t xml:space="preserve">Enrique 21-oct: el proyecto se cierra con la opción 3 de cubiertas y el presupuesto se mide con el IFC final (lodosa_bim_20261023-0021.ifc, «basico op3»). Cambia respecto a la opción 2: no hay faldón ventilado de C. del Peso, ni celosía de tramex, ni almacenaje en cubierta (14.06 a 0); en la esquina SO, el faldón de C. del Peso sube desde el alero (+9,70) hasta la esquina del patio (+10,295) y desde la limatesa (de la esquina del alero en la medianera oeste a la esquina del patio) un faldón al 21,3 % vierte a la medianera oeste hasta el final del patio, con canalón junto a la medianera (5,67 m en 07.06); la cubierta plana queda en 29,31 m². Cada alero es parte de su faldón (un solo elemento IfcRoof en el IFC), pero vuela 200 mm sin aislamiento (regla de Enrique del 21-oct): losa de Ytong y XPS se miden sin los aleros (82,06 m²); OSB, lámina, rastreles y teja, con ellos (88,37 m²). El lucernario de la escalera es el V12 (2,87 m, alféizar a +9,84 y cabeza en el plano del faldón, de 1,80 a 0,94 m de alto, 3,93 m²); para cumplir el control solar sin estor lleva vidrio de control solar (g ≤ 0,35): sin estor, qsol;jul ≈ 2,30 &gt; 2,00; con el vidrio de control solar, ≈ 1,88. El revoco se mide como piel continua de arriba abajo (310,64 m²: cada plano de fachada es un solo paño, con los cantos de losas y faldones que quedaban vistos, sin contar dos veces lo que se solapaba; huecos descontados, con mochetas y dinteles). La barandilla del borde norte del patio va recta, por detrás de la arista del faldón y no al borde del muro (Enrique 22-oct; 24,08 m en total). La unidad exterior de la aerotermia va en el hueco del muro grueso de la cubierta, junto al V12, ventilada y registrable desde la terraza (Enrique 22-oct); la puerta perforada contigua al V12 está en propuesta (hoja LO-G3b) y todavía no tiene partida. DB-HE recalculado (Anejo 04_2): K ≈ 0,51 &lt; 0,53. Comprobación del IFC: esquema IFC2X3 válido, sin GUID repetidos, 4 plantas, 17 recintos, mediciones en la descripción de cada elemento. Enrique 21-oct 18:50: la geometría de cubiertas sale de su planta de cubiertas (la limatesa va de la esquina del patio a la esquina del alero en la medianera oeste, faldón al 21 %; el borde norte del faldón llega 22 cm más allá). El muro de 45 cm del baño de segunda y de la cocina es de carga de 20 cm con trasdosado de 7 cm (baldosa hacia el baño). Corregido en este IFC respecto al de las 16:58: la junta de las medianeras y la baldosa de los tabiques de baño salen como capas, cada alero va dentro de su faldón, y los 38 muros de segunda cuya fábrica se para bajo el zuncho de coronación se exportan partidos (el muro entero hasta 250 mm por debajo de la coronación más baja y, encima, las capas junto al zuncho y la cuña inclinada, como muros aparte «· coronación» sin medición propia) para que todos los muros lleven su juego de capas; los volúmenes por material no cambian. Quedan, sin efecto en el presupuesto: (1) el nombre del V12 lleva un carácter de control en lugar del guion; (2) las carpinterías no abren hueco en los muros (sin IfcOpeningElement). IFC 22:38 (Enrique 21-oct, «el mortero es continuo»): los paños de revoco del mismo plano forman uno solo (con los cantos de losas y faldones) y la junta de poliestireno de las medianeras solo va contra la casa vecina: donde la medianera asoma por encima del vecino y lleva revoco, no hay junta. IFC 00:51 (22-oct): la barandilla del patio en cubierta pasa por detrás de la arista del faldón (−0,31 m) y la unidad exterior de la aerotermia, al muro grueso junto al V12. IFC 10:29 (22-oct): lleva además las instalaciones (tuberías, conductos, tubos eléctricos y suelo radiante como IfcFlowSegment con su diámetro orientativo y longitud; tomas, mecanismos, puntos de luz y de agua, desagües, bocas, llaves y equipos como IfcFlowTerminal, IfcFlowController…, agrupados por red en IfcSystem), sin medición en este presupuesto. Ventilación (Enrique 21/22-oct): cada boca de extracción lleva rejilla circular vista Ø125 de aluminio anodizado (tipo Mayfe) y extractor silencioso en línea de motor independiente (tipo Soler &amp; Palau) en el falso techo; 10 bocas en los planos LO-H5 y LO-H6, contadas en el modelo 3D (16.04.01, 16.04.02 y 16.05.24); la salida de aire de la cámara Cupolex de planta baja no es boca: la cámara ventila por su propio conducto Ø160 a cubierta (04.06–04.07), independiente de la extracción (Enrique 22-oct; quitado el ramal que la unía a la extracción de planta baja).</t>
  </si>
  <si>
    <t xml:space="preserve">MEDICIONES DEL MODELO BIM FRENTE A LA PROPUESTA DE OCTUBRE</t>
  </si>
  <si>
    <t xml:space="preserve">Las partidas de esta hoja toman en la hoja Presupuesto la medición del modelo BIM (Vectorworks, capas BIM-0…BIM-3 del 14 de octubre de 2026; en cubierta, segunda planta y lo que cambia con ella, la opción 3 de cubiertas del IFC final del 21 de octubre). Columna D: medición de la propuesta de octubre (dato fijo). Azul: datos. Verde: enlaces a la hoja Presupuesto. Negro: fórmulas.</t>
  </si>
  <si>
    <t xml:space="preserve">Muros: longitud de eje × altura real de cada tramo, sin huecos. Estructura: forjados y zunchos del BIM; cimentación, vigas, pilares y escalera de los planos de estructura LO-E1 a LO-E3 (23-oct). Criterios de Enrique del 14-oct: alicatado hasta 2,28 m, zócalo 0,32/0,21 m, sin cubierta invertida, forjado 20+5 (15+5 en la terraza de segunda), barrera de vapor en cubierta plana, patio y porche, XPS 14 cm en cubierta plana y 4 cm en el resto, 2,70 m libres en primera y segunda.</t>
  </si>
  <si>
    <t xml:space="preserve">Medición propuesta oct.</t>
  </si>
  <si>
    <t xml:space="preserve">Medición BIM</t>
  </si>
  <si>
    <t xml:space="preserve">Diferencia</t>
  </si>
  <si>
    <t xml:space="preserve">Dif. %</t>
  </si>
  <si>
    <t xml:space="preserve">Importe propuesta</t>
  </si>
  <si>
    <t xml:space="preserve">Importe BIM</t>
  </si>
  <si>
    <t xml:space="preserve">Diferencia €</t>
  </si>
  <si>
    <t xml:space="preserve">Cómo se mide en el BIM</t>
  </si>
  <si>
    <t xml:space="preserve">Zócalo de 0,90 m bajo los muros de planta baja con el grueso que indica Enrique: 0,32 m en fachada a calle (7.9 m) y 0,21 m de media en el resto (58.5 m). Con el grueso de hormigón de cada muro del BIM sale 12.79 m³ · BIM 24-oct: + muros de hormigón bajo rasante (MC) de la cara superior de la cimentación al suelo de planta baja, 23 tramos, 74,05 m de eje: 14.37 m³ (al precio del zócalo)</t>
  </si>
  <si>
    <t xml:space="preserve">Superficie de estancias y escalera de planta baja (garaje incluido)</t>
  </si>
  <si>
    <t xml:space="preserve">Forjado de viguetas 20+5 en todo (Enrique 14-oct), del BIM en proyección con los zunchos de forjado dentro y sin huecos de escalera ni patio: primera 123.4 (con el techo del garaje 53.8) + segunda con la terraza 102.4 + cubierta plana 49.3. El pilar de hormigón junto a la escalera (27×81, tres plantas, 1.87 m³) no tiene partida · Menos la terraza de planta segunda, 11.1 m², que pasa a 15+5 (05.02.11) · Opción 2 de cubiertas (16-oct): la cubierta plana del BIM pasa de 49,3 a 46,47 m² (+11,33 de la tira que deja de ser faldón, −14,17 del faldón nuevo sobre la escalera); los 17,15 m² bajo el faldón nuevo de C. del Peso conservan el forjado · Opción 3 de cubiertas, IFC final (21-oct): la cubierta plana pasa de 46,47 a 30,02 m²; los 16,45 m² restantes son ahora el faldón a la medianera oeste (losa de Ytong), sin forjado: 261,19 − 16,45 · Opción 3, planta de cubiertas de Enrique e IFC 20:01 (21-oct): cubierta plana 29,31 m² (planta de cubiertas de Enrique, 21-oct 18:50): 261,19 − 17,16</t>
  </si>
  <si>
    <t xml:space="preserve">Partida rehecha el 23-oct con la estructura del ingeniero: vigas de hormigón armado de los cuadros de LO-E1/LO-E2 (antes losa maciza del garaje, que ya no existe); no se mide en el BIM</t>
  </si>
  <si>
    <t xml:space="preserve">Zunchos de forjado sobre muros de carga (147.9 m, 14.6 m³) y de coronación bajo cubierta (69.4 m, 3.6 m³, canto supuesto 25 cm) · Opción 2 de cubiertas (16-oct): zunchos remedidos en el BIM de la opción 2 · Opción 3 de cubiertas, IFC final (21-oct): zunchos remedidos en el modelo de la opción 3 · Opción 3, planta de cubiertas de Enrique e IFC 20:01 (21-oct): zunchos remedidos en el modelo de la opción 3 (IFC 20:01)</t>
  </si>
  <si>
    <t xml:space="preserve">Faldones medidos en pendiente (sin aleros, 6.0 m² en planta aparte) · Opción 2 de cubiertas (16-oct): faldones en pendiente 62,44 + faldón sobre la escalera 14,79 + faldón de C. del Peso sobre la cubierta plana 17,90 − tira que pasa a plana 11,84 · Opción 3 de cubiertas, IFC final (21-oct): faldón de C. Ancha 47,37 (con el de la escalera, mismo plano) + faldón de C. del Peso 11,58 + faldón a la medianera oeste 22,28 = 81,23 m² en pendiente, sin los aleros: regla de Enrique del 21-oct, el alero es parte de su faldón pero vuela 200 mm sin aislamiento (no lleva losa de Ytong ni XPS). Ya no hay faldón ventilado · Opción 3, planta de cubiertas de Enrique e IFC 20:01 (21-oct): faldón de C. Ancha 47,38 + faldón de C. del Peso 11,54 + faldón a la medianera oeste 23,14 = 82,06 m² en pendiente, sin los aleros (200 mm sin aislamiento): planta de cubiertas de Enrique del 21-oct (la limatesa va a la esquina del alero en la medianera, faldón oeste al 21 %; su borde norte llega 22 cm más allá)</t>
  </si>
  <si>
    <t xml:space="preserve">Partida rehecha el 23-oct con la estructura del ingeniero: zancas de la escalera (antes pilar de hormigón 27×81, que pasa a ser el pilar metálico P-6 de 05.02.03); no se mide en el BIM</t>
  </si>
  <si>
    <t xml:space="preserve">Forjado de la terraza de planta segunda en el BIM (15+5, Enrique 14-oct) · Partida nueva</t>
  </si>
  <si>
    <t xml:space="preserve">Muros M1/M9 de fachada: longitud de eje × altura real de cada tramo, sin huecos ni zócalo · Opción 3 de cubiertas, IFC final (21-oct): −0,71 m²: los muros se acortan o adelgazan 15 mm para dejar paso al revoco continuo · Opción 3, planta de cubiertas de Enrique e IFC 20:01 (21-oct): +0,52 m² de fachada con las dos caras al exterior (M1e) en segunda</t>
  </si>
  <si>
    <t xml:space="preserve">Muros M6/M7/M8/M14 a patio o sin casa pegada · Opción 2 de cubiertas (16-oct): −1,50 m² de muro de quiebro (M7e) que cambia con los faldones nuevos · +13,89 m² de piñones de Ytong 20 cm que cierran el faldón de C. del Peso sobre la cubierta plana (cara norte 2,97 × 2,16 m y cara este 5,81 m de 0,42 a 2,16 m) · Celosía de tramex en el frente del faldón ventilado (Enrique 16-oct): −6,42 m² del piñón norte (2,97 × 2,16 m); queda el piñón este (7,47 m²) · Opción 3 de cubiertas, IFC final (21-oct): sin el faldón ventilado de C. del Peso: −20,86 m² de muros con las dos caras al exterior (M7e) y −11,22 m² de M6/M7 de segunda; +13,73 m² de muros de quiebro (M7c) donde la cubierta alta se junta con la baja · Opción 3, planta de cubiertas de Enrique e IFC 20:01 (21-oct): +0,89 m² de muros exteriores de segunda (M6, M7, M7c, M8) con la planta de cubiertas nueva</t>
  </si>
  <si>
    <t xml:space="preserve">Medianeras M2–M5/M10–M12 e interiores de carga M13 · Opción 2 de cubiertas (16-oct): +8,09 m² de medianera M2 que sube hasta el faldón sobre la escalera y +2,54 m² de M13 (muro de la escalera hasta el alféizar del ventanal y dintel encima) · Opción 3 de cubiertas, IFC final (21-oct): +7,09 m² de la medianera M2 que sube hasta el faldón a la medianera oeste, +2,62 m² de muro de carga M13/M13b y −0,37 m² de recortes · Opción 3, planta de cubiertas de Enrique e IFC 20:01 (21-oct): −1,49 m²: el muro de 45 cm del baño de segunda y de la cocina pasa a ser de carga de 20 cm + trasdosado (M13t, Enrique 21-oct), medianeras y muros de carga remedidos</t>
  </si>
  <si>
    <t xml:space="preserve">Capa de junta de los muros de medianera · Opción 2 de cubiertas (16-oct): +8,09 m² de la medianera M2 que sube hasta el faldón sobre la escalera · Opción 3 de cubiertas, IFC final (21-oct): +6,72 m² de junta de las medianeras (la M2 que sube). Se mide con la geometría. En el IFC 1843 la junta sale en todas las medianeras como capa del muro · Opción 3, planta de cubiertas de Enrique e IFC 20:01 (21-oct): −0,23 m² de medianera de segunda (IFC 20:01) · IFC 22:38 (21-oct, mortero continuo): junta solo donde la fábrica va contra la casa vecina: −38,68 m² en los tramos de medianera que asoman por encima del vecino y llevan revoco (oeste de planta baja y primera, segunda sobre V2, V4 y V6)</t>
  </si>
  <si>
    <t xml:space="preserve">Muros M4/M5/M6 (trasdosado de 7 cm con cámara) · Opción 3 de cubiertas, IFC final (21-oct): −2,09 m² (M6 de primera y segunda) · Opción 3, planta de cubiertas de Enrique e IFC 20:01 (21-oct): +3,60 m² del trasdosado del muro de carga del baño de segunda y de la cocina (M13t)</t>
  </si>
  <si>
    <t xml:space="preserve">Tabiques T1/T2/T3 · Opción 2 de cubiertas (16-oct): −2,36 m²: el tabique T2 bajo la tira, que pasa a cubierta plana, es más bajo · Opción 3 de cubiertas, IFC final (21-oct): −0,20 m² de recortes · Opción 3, planta de cubiertas de Enrique e IFC 20:01 (21-oct): +1,80 m² de tabiques de segunda con la planta de cubiertas nueva</t>
  </si>
  <si>
    <t xml:space="preserve">Frentes de forjado revestidos en los bordes exteriores de los forjados · Opción 2 de cubiertas (16-oct): +1,87 m de frente de forjado junto a la escalera · Opción 3 de cubiertas, IFC final (21-oct): frentes de forjado remedidos: −5,76 m (la cubierta plana que pasa a faldón y el recorte de 15 mm del revoco) · Opción 3, planta de cubiertas de Enrique e IFC 20:01 (21-oct): frentes de forjado remedidos: −0,80 m</t>
  </si>
  <si>
    <t xml:space="preserve">Faldones en pendiente · Opción 2 de cubiertas (16-oct): igual que 05.02.07 · Faldón de C. del Peso ventilado (Enrique 16-oct): sin XPS en sus 17,90 m²; el aislamiento va en la cubierta plana de debajo · Opción 3 de cubiertas, IFC final (21-oct): igual que 05.02.07, sin los aleros: todos los faldones llevan XPS 10 cm (ya no hay faldón ventilado) · Opción 3, planta de cubiertas de Enrique e IFC 20:01 (21-oct): igual que 05.02.07, sin los aleros</t>
  </si>
  <si>
    <t xml:space="preserve">Faldones en pendiente (los aleros se miden aparte) · Opción 2 de cubiertas (16-oct): igual que 05.02.07 · Opción 3 de cubiertas, IFC final (21-oct): faldones 81,23 m² en pendiente + aleros 6,31 m² (3,17 C. Ancha + 3,02 C. del Peso + 0,12 medianera oeste): la teja, la lámina, el OSB y los rastreles llegan al borde del alero · Opción 3, planta de cubiertas de Enrique e IFC 20:01 (21-oct): faldones 82,06 m² en pendiente + aleros 6,31 m²</t>
  </si>
  <si>
    <t xml:space="preserve">XPS 14 cm de la cubierta plana del BIM (49.3 m²). Sustituye a la cubierta invertida: no hay ninguna (Enrique 14-oct); el resto del paquete está en 05.02.01 (forjado), 08.02 (XPS 4 en patio, porche y terraza), 08.03 (antiimpacto), 07.12 (pendientes), 08.08 (lámina), 10.09 (mortero de protección) y 10.04 (microcemento) · La propuesta medía 77,3 m² de cubierta invertida a 74 €/m² (5.720,20 €) · Opción 2 de cubiertas (16-oct): solo la cubierta plana descubierta: 46,47 − 17,15 m² bajo el faldón de C. del Peso, que lleva el aislamiento en el faldón · Faldón de C. del Peso ventilado (Enrique 16-oct): la cubierta plana bajo él (17,15 m²) lleva el XPS de 14 cm: 29,32 + 17,15 · Opción 3 de cubiertas, IFC final (21-oct): cubierta plana del IFC, 30,02 m² (ya no hay cubierta plana bajo un faldón) · Opción 3, planta de cubiertas de Enrique e IFC 20:01 (21-oct): cubierta plana de la planta de cubiertas de Enrique (21-oct): 29,31 m²</t>
  </si>
  <si>
    <t xml:space="preserve">Patio y porche 29.6 + terraza 11.1 + cubierta plana 49.3 m² · Partida nueva · Opción 2 de cubiertas (16-oct): patio y porche 29,6 + terraza 11,1 + cubierta plana descubierta 29,32 m² · Faldón de C. del Peso ventilado (Enrique 16-oct): +17,15 m² bajo el faldón, que es suelo del almacenaje y de la aerotermia · Opción 3 de cubiertas, IFC final (21-oct): patio y porche 29,65 + terraza 11,05 + cubierta plana 30,02 m² · Opción 3, planta de cubiertas de Enrique e IFC 20:01 (21-oct): patio y porche 29,65 + terraza 11,05 + cubierta plana 29,31 m²</t>
  </si>
  <si>
    <t xml:space="preserve">Cubierta plana 49.3 + patio y porche 29.6 m² (bajo el XPS) · Partida nueva · Opción 2 de cubiertas (16-oct): cubierta plana descubierta 29,32 + patio y porche 29,6 m² · Faldón de C. del Peso ventilado (Enrique 16-oct): +17,15 m² bajo el faldón · Opción 3 de cubiertas, IFC final (21-oct): cubierta plana 30,02 + patio y porche 29,65 m² · Opción 3, planta de cubiertas de Enrique e IFC 20:01 (21-oct): cubierta plana 29,31 + patio y porche 29,65 m²</t>
  </si>
  <si>
    <t xml:space="preserve">Suelo de planta baja dentro de la envolvente (sin garaje)</t>
  </si>
  <si>
    <t xml:space="preserve">XPS 4 cm en todos los forjados: interiores, patio y porche y terraza (la cubierta plana lleva 14 cm, ver 07.09)</t>
  </si>
  <si>
    <t xml:space="preserve">Lámina antiimpacto en todos los forjados: interiores de primera y segunda y también patio y porche, terraza y cubierta plana (Enrique 14-oct) · Opción 2 de cubiertas (16-oct): la cubierta plana bajo el faldón de C. del Peso (17,15 m²) ya no es suelo: 240,4 − 49,3 + 29,32 · Faldón de C. del Peso ventilado (Enrique 16-oct): +17,15 m² bajo el faldón · Opción 3 de cubiertas, IFC final (21-oct): 240,4 − 49,3 + 30,02 (la cubierta plana del IFC) · Opción 3, planta de cubiertas de Enrique e IFC 20:01 (21-oct): 240,4 − 49,3 + 29,31 (la cubierta plana)</t>
  </si>
  <si>
    <t xml:space="preserve">En planta: patio y porche 29.6 + terraza 11.1 + cubierta plana 49.3 m² (los remontes van en el precio) · Partida nueva · Opción 2 de cubiertas (16-oct): patio y porche 29,6 + terraza 11,1 + cubierta plana descubierta 29,32 m² · Faldón de C. del Peso ventilado (Enrique 16-oct): +17,15 m² bajo el faldón · Opción 3 de cubiertas, IFC final (21-oct): patio y porche 29,65 + terraza 11,05 + cubierta plana 30,02 m² · Opción 3, planta de cubiertas de Enrique e IFC 20:01 (21-oct): patio y porche 29,65 + terraza 11,05 + cubierta plana 29,31 m²</t>
  </si>
  <si>
    <t xml:space="preserve">Zonas con trama de la capa «falsos techos», cerradas hasta los muros · Opción 2 de cubiertas (16-oct): +8,52 m² de falso techo plano a +10,50 bajo el faldón de la escalera (cabeza del ventanal) · Opción 3 de cubiertas, IFC final (21-oct): falsos techos del IFC: 88,43 m². Bajo el faldón de la escalera ya no hay falso techo plano (−8,52 m²): el V12 llega hasta el faldón · Opción 3, planta de cubiertas de Enrique e IFC 20:01 (21-oct): falsos techos del IFC 20:01</t>
  </si>
  <si>
    <t xml:space="preserve">Longitud de los bordes libres del falso techo en el BIM × altura hasta la cara inferior del forjado (0,86 m en baja, 0,42 m en primera y 0,41 m en segunda) · Partida nueva · Opción 3 de cubiertas, IFC final (21-oct): tabicas del IFC: 22,30 m², sin cambios</t>
  </si>
  <si>
    <t xml:space="preserve">Forjados interiores y suelo de planta baja (sin garaje)</t>
  </si>
  <si>
    <t xml:space="preserve">Suelos interiores sin baños ni aseos</t>
  </si>
  <si>
    <t xml:space="preserve">Patio y porche, terraza de segunda y terraza en cubierta · Opción 2 de cubiertas (16-oct): patio y porche, terraza de segunda y cubierta plana descubierta 29,32 m² · Faldón de C. del Peso ventilado (Enrique 16-oct): +17,15 m² bajo el faldón (suelo del almacenaje y de la aerotermia) · Opción 3 de cubiertas, IFC final (21-oct): patio y porche, terraza de segunda y cubierta plana 30,02 m² · Opción 3, planta de cubiertas de Enrique e IFC 20:01 (21-oct): patio y porche, terraza de segunda y cubierta plana 29,31 m²</t>
  </si>
  <si>
    <t xml:space="preserve">Patio y porche 29.6 + terraza 11.1 + cubierta plana 49.3 m² · Partida nueva · Opción 2 de cubiertas (16-oct): patio y porche 29,6 + terraza 11,1 + cubierta plana descubierta 29,32 m² · Faldón de C. del Peso ventilado (Enrique 16-oct): +17,15 m² bajo el faldón · Opción 3 de cubiertas, IFC final (21-oct): patio y porche 29,65 + terraza 11,05 + cubierta plana 30,02 m² · Opción 3, planta de cubiertas de Enrique e IFC 20:01 (21-oct): patio y porche 29,65 + terraza 11,05 + cubierta plana 29,31 m²</t>
  </si>
  <si>
    <t xml:space="preserve">Caras revocadas de muros exteriores y frentes de forjado · Opción 2 de cubiertas (16-oct): −1,50 m² de muro de quiebro y +0,68 m² de frente de forjado · +13,89 m² de los piñones del faldón de C. del Peso · Celosía de tramex en el frente del faldón ventilado (Enrique 16-oct): −6,42 m² del piñón norte · Opción 3 de cubiertas, IFC final (21-oct): revoco continuo del IFC (piel vista de la casa, 34 paños de arriba abajo, regla de Enrique del 19 y 21-oct): caras 289,80 m² con los huecos descontados + mochetas y dinteles 18,68 m²; sin medianeras, bajo aleros ni zócalo. Sustituye a la medición por caras de muro (261,81) · Opción 3, planta de cubiertas de Enrique e IFC 20:01 (21-oct): revoco continuo del IFC 20:01: paños de fachada 308,86 m² + cantos de losas y faldones que quedaban vistos 13,43 m² (patinillo, bordes de la cubierta plana, terraza de segunda, faldones sobre la terraza; Enrique 21-oct: el mortero es continuo) · IFC 22:38 (21-oct, mortero continuo): revoco continuo del IFC 22:38: cada plano de fachada es un solo paño, con los cantos de losas y faldones que quedaban vistos (cara 291,79 m² + mochetas y dinteles 18,85 m²); −11,65 m² respecto al IFC 20:01, que contaba dos veces los cantos tapados por el paño · IFC 24-oct 11:33–11:50 (captura «mortero»): revoco de la cámara bajo el faldón C. del Peso (5,39 m²), esquinas cerradas y pared del patio en un solo paño: 316.10 m²</t>
  </si>
  <si>
    <t xml:space="preserve">Paredes 726.4 m² (incluye 27.6 m² de baños y aseos por encima de 2,28 m) y techos sin falso techo 214.4 m² · Opción 2 de cubiertas (16-oct): paredes: +8,09 medianera M2, +5,08 muro M13 (dos caras), −4,72 tabique T2 (dos caras), −1,50 quiebro; techos: −8,52 m² que pasan a falso techo · Opción 3 de cubiertas, IFC final (21-oct): paredes −0,80 m² (cambios de muros de segunda) y techos +8,89 m²: bajo el faldón de la escalera ya no hay falso techo (+8,52) y el faldón a la medianera oeste tiene más superficie en pendiente que la cubierta plana a la que sustituye (+0,37) · Opción 3, planta de cubiertas de Enrique e IFC 20:01 (21-oct): +2,84 m² de yeso en paredes (muros de segunda remedidos y trasdosado M13t)</t>
  </si>
  <si>
    <t xml:space="preserve">Caras de baños y aseos con baldosa hasta 2,28 m (por encima, yeso y pintura) · Opción 3 de cubiertas, IFC final (21-oct): +1,06 m² del muro M13b del baño de segunda (hasta 2,28 m). Se mide con la geometría. En el IFC 1843 la baldosa sale en los tabiques de baño (T2, M13b) · Opción 3, planta de cubiertas de Enrique e IFC 20:01 (21-oct): −0,56 m² de baldosa (pared del baño de segunda: muro de carga + trasdosado)</t>
  </si>
  <si>
    <t xml:space="preserve">P2 del BIM (7) + P5 de la Habitación 3, provisional (1)</t>
  </si>
  <si>
    <t xml:space="preserve">Corredera del vestidor</t>
  </si>
  <si>
    <t xml:space="preserve">P4 de madera EI2 45-C5 entre garaje y almacenaje (giro dibujado en planta baja)</t>
  </si>
  <si>
    <t xml:space="preserve">V2 + V3</t>
  </si>
  <si>
    <t xml:space="preserve">V4</t>
  </si>
  <si>
    <t xml:space="preserve">Una V5 por planta en primera y segunda, de dos caras (oeste y sur) en esquina como en la ficha: la cara este es muro</t>
  </si>
  <si>
    <t xml:space="preserve">V5b de planta baja, también de dos caras</t>
  </si>
  <si>
    <t xml:space="preserve">V6 de aseo en primera y segunda</t>
  </si>
  <si>
    <t xml:space="preserve">V6b de aseo en planta baja</t>
  </si>
  <si>
    <t xml:space="preserve">V8</t>
  </si>
  <si>
    <t xml:space="preserve">V9 (1,98 m, fijo + puerta)</t>
  </si>
  <si>
    <t xml:space="preserve">V11 (1,80 m en el BIM)</t>
  </si>
  <si>
    <t xml:space="preserve">Longitud del eje de la barandilla en el BIM: cubierta → patio 9.99 m (h 1.10); patio pequeño (hueco del ascensor) en cubierta 4.91 m (h 1.10); terraza de segunda → patio 4.04 m (h 1.10). Sustituye a la estimación de la propuesta (terraza en cubierta 15 + terraza de segunda 8 + patio pequeño 3 m) · Opción 2 de cubiertas (16-oct): cubierta → patio 9,99 m + terraza de segunda → patio 4,04 m + barandilla nueva de la zona pisable de la cubierta (escalera y terraza) 13,05 m; ya no lleva la del patio pequeño en cubierta (4,91 m) · Opción 3 de cubiertas, IFC final (21-oct): IFC: terraza de segunda → patio 4,04 + zona pisable de la cubierta (escalera y terraza) 13,05 + cubierta → patio 7,30 m (borde norte del patio recto hasta la pared, sin vuelta por el borde oeste, que ahora es faldón) · IFC 00:51 (22-oct): IFC 00:51: terraza de segunda → patio 4,04 + zona pisable de la cubierta 12,80 + cubierta → patio 7,24 m: la barandilla del borde norte del patio pasa recta por detrás de la arista del faldón, no al borde del muro (Enrique 22-oct)</t>
  </si>
  <si>
    <t xml:space="preserve">Mini-balcones de V1, V2 y V3</t>
  </si>
  <si>
    <t xml:space="preserve">Yeso de paredes y techos más falsos techos · Opción 2 de cubiertas (16-oct): yeso 939,20 + falsos techos 96,96 · Opción 3 de cubiertas, IFC final (21-oct): yeso 947,29 + falsos techos 88,43 · Opción 3, planta de cubiertas de Enrique e IFC 20:01 (21-oct): yeso 950,13 + falsos techos 88,49</t>
  </si>
  <si>
    <t xml:space="preserve">Igual que el revoco · Opción 2 de cubiertas (16-oct): igual que el revoco · +13,89 m² de los piñones del faldón de C. del Peso · Celosía de tramex en el frente del faldón ventilado (Enrique 16-oct): −6,42 m² del piñón norte · Opción 3 de cubiertas, IFC final (21-oct): igual que el revoco · Opción 3, planta de cubiertas de Enrique e IFC 20:01 (21-oct): igual que el revoco · IFC 22:38 (21-oct, mortero continuo): igual que el revoco · IFC 24-oct 11:33–11:50 (captura «mortero»): revoco de la cámara bajo el faldón C. del Peso (5,39 m²), esquinas cerradas y pared del patio en un solo paño: 316.10 m²</t>
  </si>
  <si>
    <t xml:space="preserve">Total de las partidas medidas con el BIM</t>
  </si>
  <si>
    <t xml:space="preserve">PEM de la propuesta de octubre</t>
  </si>
  <si>
    <t xml:space="preserve">PEM con las mediciones del BIM</t>
  </si>
</sst>
</file>

<file path=xl/styles.xml><?xml version="1.0" encoding="utf-8"?>
<styleSheet xmlns="http://schemas.openxmlformats.org/spreadsheetml/2006/main">
  <numFmts count="9">
    <numFmt numFmtId="164" formatCode="General"/>
    <numFmt numFmtId="165" formatCode="#,##0.00&quot; €&quot;;\-#,##0.00&quot; €&quot;;\-"/>
    <numFmt numFmtId="166" formatCode="0.00%;\-0.00%;\-"/>
    <numFmt numFmtId="167" formatCode="0.0%"/>
    <numFmt numFmtId="168" formatCode="#,##0.00"/>
    <numFmt numFmtId="169" formatCode="#,##0.00;\-#,##0.00"/>
    <numFmt numFmtId="170" formatCode="#,##0.00;\-#,##0.00;\-"/>
    <numFmt numFmtId="171" formatCode="@"/>
    <numFmt numFmtId="172" formatCode="0.0%;\-0.0%;\-"/>
  </numFmts>
  <fonts count="15">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9"/>
      <name val="Arial"/>
      <family val="0"/>
      <charset val="1"/>
    </font>
    <font>
      <sz val="8"/>
      <color rgb="FF808080"/>
      <name val="Arial"/>
      <family val="0"/>
      <charset val="1"/>
    </font>
    <font>
      <b val="true"/>
      <sz val="10"/>
      <name val="Arial"/>
      <family val="0"/>
      <charset val="1"/>
    </font>
    <font>
      <b val="true"/>
      <sz val="9"/>
      <color rgb="FF008000"/>
      <name val="Arial"/>
      <family val="0"/>
      <charset val="1"/>
    </font>
    <font>
      <sz val="9"/>
      <name val="Arial"/>
      <family val="0"/>
      <charset val="1"/>
    </font>
    <font>
      <sz val="9"/>
      <color rgb="FF008000"/>
      <name val="Arial"/>
      <family val="0"/>
      <charset val="1"/>
    </font>
    <font>
      <sz val="9"/>
      <color rgb="FF0000FF"/>
      <name val="Arial"/>
      <family val="0"/>
      <charset val="1"/>
    </font>
    <font>
      <sz val="7"/>
      <color rgb="FFBFBFBF"/>
      <name val="Arial"/>
      <family val="0"/>
      <charset val="1"/>
    </font>
    <font>
      <sz val="11"/>
      <color rgb="FF008000"/>
      <name val="Calibri"/>
      <family val="0"/>
      <charset val="1"/>
    </font>
    <font>
      <b val="true"/>
      <sz val="11"/>
      <name val="Arial"/>
      <family val="0"/>
      <charset val="1"/>
    </font>
  </fonts>
  <fills count="5">
    <fill>
      <patternFill patternType="none"/>
    </fill>
    <fill>
      <patternFill patternType="gray125"/>
    </fill>
    <fill>
      <patternFill patternType="solid">
        <fgColor rgb="FFE0E0E0"/>
        <bgColor rgb="FFEFEFEF"/>
      </patternFill>
    </fill>
    <fill>
      <patternFill patternType="solid">
        <fgColor rgb="FFF2F2F2"/>
        <bgColor rgb="FFEFEFEF"/>
      </patternFill>
    </fill>
    <fill>
      <patternFill patternType="solid">
        <fgColor rgb="FFEFEFEF"/>
        <bgColor rgb="FFF2F2F2"/>
      </patternFill>
    </fill>
  </fills>
  <borders count="4">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right/>
      <top style="hair">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2"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70" fontId="5" fillId="0" borderId="3" xfId="0" applyFont="true" applyBorder="true" applyAlignment="true" applyProtection="false">
      <alignment horizontal="general" vertical="bottom" textRotation="0" wrapText="false" indent="0" shrinkToFit="false"/>
      <protection locked="true" hidden="false"/>
    </xf>
    <xf numFmtId="170" fontId="11" fillId="0" borderId="3"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EFEF"/>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2"/>
    <col collapsed="false" customWidth="true" hidden="false" outlineLevel="0" max="3" min="3" style="1" width="16"/>
    <col collapsed="false" customWidth="true" hidden="false" outlineLevel="0" max="4" min="4" style="1" width="9"/>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15" hidden="false" customHeight="true" outlineLevel="0" collapsed="false">
      <c r="A5" s="5" t="s">
        <v>3</v>
      </c>
      <c r="B5" s="5" t="s">
        <v>4</v>
      </c>
      <c r="C5" s="5" t="s">
        <v>5</v>
      </c>
      <c r="D5" s="5" t="s">
        <v>6</v>
      </c>
    </row>
    <row r="6" customFormat="false" ht="15" hidden="false" customHeight="true" outlineLevel="0" collapsed="false">
      <c r="A6" s="6" t="s">
        <v>7</v>
      </c>
      <c r="B6" s="6" t="s">
        <v>8</v>
      </c>
      <c r="C6" s="7"/>
      <c r="D6" s="7"/>
    </row>
    <row r="7" customFormat="false" ht="15" hidden="false" customHeight="true" outlineLevel="0" collapsed="false">
      <c r="A7" s="3" t="s">
        <v>9</v>
      </c>
      <c r="B7" s="3" t="s">
        <v>10</v>
      </c>
      <c r="C7" s="8" t="n">
        <f aca="false">Presupuesto!K18</f>
        <v>953.2</v>
      </c>
      <c r="D7" s="9" t="n">
        <f aca="false">IF($C$50=0,0,C7/$C$50)</f>
        <v>0.00238382074948405</v>
      </c>
    </row>
    <row r="8" customFormat="false" ht="15" hidden="false" customHeight="true" outlineLevel="0" collapsed="false">
      <c r="A8" s="3" t="s">
        <v>11</v>
      </c>
      <c r="B8" s="3" t="s">
        <v>12</v>
      </c>
      <c r="C8" s="8" t="n">
        <f aca="false">Presupuesto!K61</f>
        <v>9292.58</v>
      </c>
      <c r="D8" s="9" t="n">
        <f aca="false">IF($C$50=0,0,C8/$C$50)</f>
        <v>0.0232394513430974</v>
      </c>
    </row>
    <row r="9" customFormat="false" ht="15" hidden="false" customHeight="true" outlineLevel="0" collapsed="false">
      <c r="A9" s="3" t="s">
        <v>13</v>
      </c>
      <c r="B9" s="3" t="s">
        <v>14</v>
      </c>
      <c r="C9" s="8" t="n">
        <f aca="false">Presupuesto!K88</f>
        <v>9643.5</v>
      </c>
      <c r="D9" s="9" t="n">
        <f aca="false">IF($C$50=0,0,C9/$C$50)</f>
        <v>0.0241170535015206</v>
      </c>
    </row>
    <row r="10" customFormat="false" ht="15" hidden="false" customHeight="true" outlineLevel="0" collapsed="false">
      <c r="A10" s="3" t="s">
        <v>15</v>
      </c>
      <c r="B10" s="3" t="s">
        <v>16</v>
      </c>
      <c r="C10" s="8" t="n">
        <f aca="false">Presupuesto!K112</f>
        <v>1450</v>
      </c>
      <c r="D10" s="9" t="n">
        <f aca="false">IF($C$50=0,0,C10/$C$50)</f>
        <v>0.00362624851736453</v>
      </c>
    </row>
    <row r="11" customFormat="false" ht="15" hidden="false" customHeight="true" outlineLevel="0" collapsed="false">
      <c r="B11" s="3" t="s">
        <v>17</v>
      </c>
      <c r="C11" s="10" t="n">
        <f aca="false">C7+C8+C9+C10</f>
        <v>21339.28</v>
      </c>
    </row>
    <row r="13" customFormat="false" ht="15" hidden="false" customHeight="true" outlineLevel="0" collapsed="false">
      <c r="A13" s="6" t="s">
        <v>18</v>
      </c>
      <c r="B13" s="6" t="s">
        <v>19</v>
      </c>
      <c r="C13" s="7"/>
      <c r="D13" s="7"/>
    </row>
    <row r="14" customFormat="false" ht="15" hidden="false" customHeight="true" outlineLevel="0" collapsed="false">
      <c r="A14" s="3" t="s">
        <v>20</v>
      </c>
      <c r="B14" s="3" t="s">
        <v>21</v>
      </c>
      <c r="C14" s="8" t="n">
        <f aca="false">Presupuesto!K141</f>
        <v>1530.9</v>
      </c>
      <c r="D14" s="9" t="n">
        <f aca="false">IF($C$50=0,0,C14/$C$50)</f>
        <v>0.00382856817602301</v>
      </c>
    </row>
    <row r="15" customFormat="false" ht="15" hidden="false" customHeight="true" outlineLevel="0" collapsed="false">
      <c r="A15" s="3" t="s">
        <v>22</v>
      </c>
      <c r="B15" s="3" t="s">
        <v>23</v>
      </c>
      <c r="C15" s="8" t="n">
        <f aca="false">Presupuesto!K148</f>
        <v>0</v>
      </c>
      <c r="D15" s="9" t="n">
        <f aca="false">IF($C$50=0,0,C15/$C$50)</f>
        <v>0</v>
      </c>
    </row>
    <row r="16" customFormat="false" ht="15" hidden="false" customHeight="true" outlineLevel="0" collapsed="false">
      <c r="A16" s="3" t="s">
        <v>24</v>
      </c>
      <c r="B16" s="3" t="s">
        <v>25</v>
      </c>
      <c r="C16" s="8" t="n">
        <f aca="false">Presupuesto!K172</f>
        <v>5025.93</v>
      </c>
      <c r="D16" s="9" t="n">
        <f aca="false">IF($C$50=0,0,C16/$C$50)</f>
        <v>0.0125691525592261</v>
      </c>
    </row>
    <row r="17" customFormat="false" ht="15" hidden="false" customHeight="true" outlineLevel="0" collapsed="false">
      <c r="A17" s="3" t="s">
        <v>26</v>
      </c>
      <c r="B17" s="3" t="s">
        <v>27</v>
      </c>
      <c r="C17" s="8" t="n">
        <f aca="false">Presupuesto!K212</f>
        <v>6481.94</v>
      </c>
      <c r="D17" s="9" t="n">
        <f aca="false">IF($C$50=0,0,C17/$C$50)</f>
        <v>0.0162104312514799</v>
      </c>
    </row>
    <row r="18" customFormat="false" ht="15" hidden="false" customHeight="true" outlineLevel="0" collapsed="false">
      <c r="A18" s="3" t="s">
        <v>28</v>
      </c>
      <c r="B18" s="3" t="s">
        <v>29</v>
      </c>
      <c r="C18" s="8" t="n">
        <f aca="false">Presupuesto!K286</f>
        <v>86385.23</v>
      </c>
      <c r="D18" s="9" t="n">
        <f aca="false">IF($C$50=0,0,C18/$C$50)</f>
        <v>0.216037456696341</v>
      </c>
    </row>
    <row r="19" customFormat="false" ht="15" hidden="false" customHeight="true" outlineLevel="0" collapsed="false">
      <c r="A19" s="11" t="s">
        <v>30</v>
      </c>
      <c r="B19" s="11" t="s">
        <v>31</v>
      </c>
      <c r="C19" s="12" t="n">
        <f aca="false">SUMIFS(Presupuesto!$K$5:$K$1399,Presupuesto!$M$5:$M$1399,"P",Presupuesto!$O$5:$O$1399,"05.01")</f>
        <v>23806.03</v>
      </c>
    </row>
    <row r="20" customFormat="false" ht="15" hidden="false" customHeight="true" outlineLevel="0" collapsed="false">
      <c r="A20" s="11" t="s">
        <v>32</v>
      </c>
      <c r="B20" s="11" t="s">
        <v>33</v>
      </c>
      <c r="C20" s="12" t="n">
        <f aca="false">SUMIFS(Presupuesto!$K$5:$K$1399,Presupuesto!$M$5:$M$1399,"P",Presupuesto!$O$5:$O$1399,"05.02")</f>
        <v>62579.2</v>
      </c>
    </row>
    <row r="21" customFormat="false" ht="15" hidden="false" customHeight="true" outlineLevel="0" collapsed="false">
      <c r="A21" s="3" t="s">
        <v>34</v>
      </c>
      <c r="B21" s="3" t="s">
        <v>35</v>
      </c>
      <c r="C21" s="8" t="n">
        <f aca="false">Presupuesto!K365</f>
        <v>56031.31</v>
      </c>
      <c r="D21" s="9" t="n">
        <f aca="false">IF($C$50=0,0,C21/$C$50)</f>
        <v>0.140126520561029</v>
      </c>
    </row>
    <row r="22" customFormat="false" ht="15" hidden="false" customHeight="true" outlineLevel="0" collapsed="false">
      <c r="A22" s="3" t="s">
        <v>36</v>
      </c>
      <c r="B22" s="3" t="s">
        <v>37</v>
      </c>
      <c r="C22" s="8" t="n">
        <f aca="false">Presupuesto!K422</f>
        <v>14386.83</v>
      </c>
      <c r="D22" s="9" t="n">
        <f aca="false">IF($C$50=0,0,C22/$C$50)</f>
        <v>0.0359794627290176</v>
      </c>
    </row>
    <row r="23" customFormat="false" ht="15" hidden="false" customHeight="true" outlineLevel="0" collapsed="false">
      <c r="A23" s="3" t="s">
        <v>38</v>
      </c>
      <c r="B23" s="3" t="s">
        <v>39</v>
      </c>
      <c r="C23" s="8" t="n">
        <f aca="false">Presupuesto!K458</f>
        <v>7531.54</v>
      </c>
      <c r="D23" s="9" t="n">
        <f aca="false">IF($C$50=0,0,C23/$C$50)</f>
        <v>0.0188353350058425</v>
      </c>
    </row>
    <row r="24" customFormat="false" ht="15" hidden="false" customHeight="true" outlineLevel="0" collapsed="false">
      <c r="A24" s="3" t="s">
        <v>40</v>
      </c>
      <c r="B24" s="3" t="s">
        <v>41</v>
      </c>
      <c r="C24" s="8" t="n">
        <f aca="false">Presupuesto!K473</f>
        <v>3675.43</v>
      </c>
      <c r="D24" s="9" t="n">
        <f aca="false">IF($C$50=0,0,C24/$C$50)</f>
        <v>0.00919173971598422</v>
      </c>
    </row>
    <row r="25" customFormat="false" ht="15" hidden="false" customHeight="true" outlineLevel="0" collapsed="false">
      <c r="A25" s="3" t="s">
        <v>42</v>
      </c>
      <c r="B25" s="3" t="s">
        <v>43</v>
      </c>
      <c r="C25" s="8" t="n">
        <f aca="false">Presupuesto!K514</f>
        <v>21764.7</v>
      </c>
      <c r="D25" s="9" t="n">
        <f aca="false">IF($C$50=0,0,C25/$C$50)</f>
        <v>0.0544304904178509</v>
      </c>
    </row>
    <row r="26" customFormat="false" ht="15" hidden="false" customHeight="true" outlineLevel="0" collapsed="false">
      <c r="A26" s="3" t="s">
        <v>44</v>
      </c>
      <c r="B26" s="3" t="s">
        <v>45</v>
      </c>
      <c r="C26" s="8" t="n">
        <f aca="false">Presupuesto!K545</f>
        <v>28737.74</v>
      </c>
      <c r="D26" s="9" t="n">
        <f aca="false">IF($C$50=0,0,C26/$C$50)</f>
        <v>0.0718690945292464</v>
      </c>
    </row>
    <row r="27" customFormat="false" ht="15" hidden="false" customHeight="true" outlineLevel="0" collapsed="false">
      <c r="A27" s="3" t="s">
        <v>46</v>
      </c>
      <c r="B27" s="3" t="s">
        <v>47</v>
      </c>
      <c r="C27" s="8" t="n">
        <f aca="false">Presupuesto!K564</f>
        <v>10570.72</v>
      </c>
      <c r="D27" s="9" t="n">
        <f aca="false">IF($C$50=0,0,C27/$C$50)</f>
        <v>0.0264359018810176</v>
      </c>
    </row>
    <row r="28" customFormat="false" ht="15" hidden="false" customHeight="true" outlineLevel="0" collapsed="false">
      <c r="A28" s="3" t="s">
        <v>48</v>
      </c>
      <c r="B28" s="3" t="s">
        <v>49</v>
      </c>
      <c r="C28" s="8" t="n">
        <f aca="false">Presupuesto!K632</f>
        <v>52569.01</v>
      </c>
      <c r="D28" s="9" t="n">
        <f aca="false">IF($C$50=0,0,C28/$C$50)</f>
        <v>0.131467789359877</v>
      </c>
    </row>
    <row r="29" customFormat="false" ht="15" hidden="false" customHeight="true" outlineLevel="0" collapsed="false">
      <c r="A29" s="3" t="s">
        <v>50</v>
      </c>
      <c r="B29" s="3" t="s">
        <v>51</v>
      </c>
      <c r="C29" s="8" t="n">
        <f aca="false">Presupuesto!K664</f>
        <v>20509.5</v>
      </c>
      <c r="D29" s="9" t="n">
        <f aca="false">IF($C$50=0,0,C29/$C$50)</f>
        <v>0.0512914096323364</v>
      </c>
    </row>
    <row r="30" customFormat="false" ht="15" hidden="false" customHeight="true" outlineLevel="0" collapsed="false">
      <c r="A30" s="3" t="s">
        <v>52</v>
      </c>
      <c r="B30" s="3" t="s">
        <v>53</v>
      </c>
      <c r="C30" s="8" t="n">
        <f aca="false">Presupuesto!K676</f>
        <v>9002.57</v>
      </c>
      <c r="D30" s="9" t="n">
        <f aca="false">IF($C$50=0,0,C30/$C$50)</f>
        <v>0.0225141766310141</v>
      </c>
    </row>
    <row r="31" customFormat="false" ht="15" hidden="false" customHeight="true" outlineLevel="0" collapsed="false">
      <c r="A31" s="3" t="s">
        <v>54</v>
      </c>
      <c r="B31" s="3" t="s">
        <v>55</v>
      </c>
      <c r="C31" s="8" t="n">
        <f aca="false">Presupuesto!K1073</f>
        <v>45949.51</v>
      </c>
      <c r="D31" s="9" t="n">
        <f aca="false">IF($C$50=0,0,C31/$C$50)</f>
        <v>0.114913339662846</v>
      </c>
    </row>
    <row r="32" customFormat="false" ht="15" hidden="false" customHeight="true" outlineLevel="0" collapsed="false">
      <c r="A32" s="11" t="s">
        <v>56</v>
      </c>
      <c r="B32" s="11" t="s">
        <v>57</v>
      </c>
      <c r="C32" s="12" t="n">
        <f aca="false">SUMIFS(Presupuesto!$K$5:$K$1399,Presupuesto!$M$5:$M$1399,"P",Presupuesto!$O$5:$O$1399,"16.01")</f>
        <v>8549.61</v>
      </c>
    </row>
    <row r="33" customFormat="false" ht="15" hidden="false" customHeight="true" outlineLevel="0" collapsed="false">
      <c r="A33" s="11" t="s">
        <v>58</v>
      </c>
      <c r="B33" s="11" t="s">
        <v>59</v>
      </c>
      <c r="C33" s="12" t="n">
        <f aca="false">SUMIFS(Presupuesto!$K$5:$K$1399,Presupuesto!$M$5:$M$1399,"P",Presupuesto!$O$5:$O$1399,"16.02")</f>
        <v>149.49</v>
      </c>
    </row>
    <row r="34" customFormat="false" ht="15" hidden="false" customHeight="true" outlineLevel="0" collapsed="false">
      <c r="A34" s="11" t="s">
        <v>60</v>
      </c>
      <c r="B34" s="11" t="s">
        <v>61</v>
      </c>
      <c r="C34" s="12" t="n">
        <f aca="false">SUMIFS(Presupuesto!$K$5:$K$1399,Presupuesto!$M$5:$M$1399,"P",Presupuesto!$O$5:$O$1399,"16.03")</f>
        <v>18015.07</v>
      </c>
    </row>
    <row r="35" customFormat="false" ht="15" hidden="false" customHeight="true" outlineLevel="0" collapsed="false">
      <c r="A35" s="11" t="s">
        <v>62</v>
      </c>
      <c r="B35" s="11" t="s">
        <v>63</v>
      </c>
      <c r="C35" s="12" t="n">
        <f aca="false">SUMIFS(Presupuesto!$K$5:$K$1399,Presupuesto!$M$5:$M$1399,"P",Presupuesto!$O$5:$O$1399,"16.04")</f>
        <v>4031.5</v>
      </c>
    </row>
    <row r="36" customFormat="false" ht="15" hidden="false" customHeight="true" outlineLevel="0" collapsed="false">
      <c r="A36" s="11" t="s">
        <v>64</v>
      </c>
      <c r="B36" s="11" t="s">
        <v>65</v>
      </c>
      <c r="C36" s="12" t="n">
        <f aca="false">SUMIFS(Presupuesto!$K$5:$K$1399,Presupuesto!$M$5:$M$1399,"P",Presupuesto!$O$5:$O$1399,"16.05")</f>
        <v>12525.53</v>
      </c>
    </row>
    <row r="37" customFormat="false" ht="15" hidden="false" customHeight="true" outlineLevel="0" collapsed="false">
      <c r="A37" s="11" t="s">
        <v>66</v>
      </c>
      <c r="B37" s="11" t="s">
        <v>67</v>
      </c>
      <c r="C37" s="12" t="n">
        <f aca="false">SUMIFS(Presupuesto!$K$5:$K$1399,Presupuesto!$M$5:$M$1399,"P",Presupuesto!$O$5:$O$1399,"16.06")</f>
        <v>2678.31</v>
      </c>
    </row>
    <row r="38" customFormat="false" ht="15" hidden="false" customHeight="true" outlineLevel="0" collapsed="false">
      <c r="A38" s="3" t="s">
        <v>68</v>
      </c>
      <c r="B38" s="3" t="s">
        <v>69</v>
      </c>
      <c r="C38" s="8" t="n">
        <f aca="false">Presupuesto!K1090</f>
        <v>1524.5</v>
      </c>
      <c r="D38" s="9" t="n">
        <f aca="false">IF($C$50=0,0,C38/$C$50)</f>
        <v>0.00381256266532567</v>
      </c>
    </row>
    <row r="39" customFormat="false" ht="15" hidden="false" customHeight="true" outlineLevel="0" collapsed="false">
      <c r="A39" s="11" t="s">
        <v>70</v>
      </c>
      <c r="B39" s="11" t="s">
        <v>71</v>
      </c>
      <c r="C39" s="12" t="n">
        <f aca="false">SUMIFS(Presupuesto!$K$5:$K$1399,Presupuesto!$M$5:$M$1399,"P",Presupuesto!$O$5:$O$1399,"18.01")</f>
        <v>500</v>
      </c>
    </row>
    <row r="40" customFormat="false" ht="15" hidden="false" customHeight="true" outlineLevel="0" collapsed="false">
      <c r="A40" s="11" t="s">
        <v>72</v>
      </c>
      <c r="B40" s="11" t="s">
        <v>73</v>
      </c>
      <c r="C40" s="12" t="n">
        <f aca="false">SUMIFS(Presupuesto!$K$5:$K$1399,Presupuesto!$M$5:$M$1399,"P",Presupuesto!$O$5:$O$1399,"18.02")</f>
        <v>1024.5</v>
      </c>
    </row>
    <row r="41" customFormat="false" ht="15" hidden="false" customHeight="true" outlineLevel="0" collapsed="false">
      <c r="A41" s="3" t="s">
        <v>74</v>
      </c>
      <c r="B41" s="3" t="s">
        <v>14</v>
      </c>
      <c r="C41" s="8" t="n">
        <f aca="false">Presupuesto!K1125</f>
        <v>2750.04</v>
      </c>
      <c r="D41" s="9" t="n">
        <f aca="false">IF($C$50=0,0,C41/$C$50)</f>
        <v>0.00687746791220217</v>
      </c>
    </row>
    <row r="42" customFormat="false" ht="15" hidden="false" customHeight="true" outlineLevel="0" collapsed="false">
      <c r="A42" s="3" t="s">
        <v>75</v>
      </c>
      <c r="B42" s="3" t="s">
        <v>16</v>
      </c>
      <c r="C42" s="8" t="n">
        <f aca="false">Presupuesto!K1397</f>
        <v>4095.6</v>
      </c>
      <c r="D42" s="9" t="n">
        <f aca="false">IF($C$50=0,0,C42/$C$50)</f>
        <v>0.0102425265018746</v>
      </c>
    </row>
    <row r="43" customFormat="false" ht="15" hidden="false" customHeight="true" outlineLevel="0" collapsed="false">
      <c r="A43" s="11" t="s">
        <v>76</v>
      </c>
      <c r="B43" s="11" t="s">
        <v>77</v>
      </c>
      <c r="C43" s="12" t="n">
        <f aca="false">SUMIFS(Presupuesto!$K$5:$K$1399,Presupuesto!$M$5:$M$1399,"P",Presupuesto!$O$5:$O$1399,"20.01")</f>
        <v>3346.11</v>
      </c>
    </row>
    <row r="44" customFormat="false" ht="15" hidden="false" customHeight="true" outlineLevel="0" collapsed="false">
      <c r="A44" s="11" t="s">
        <v>78</v>
      </c>
      <c r="B44" s="11" t="s">
        <v>79</v>
      </c>
      <c r="C44" s="12" t="n">
        <f aca="false">SUMIFS(Presupuesto!$K$5:$K$1399,Presupuesto!$M$5:$M$1399,"P",Presupuesto!$O$5:$O$1399,"20.02")</f>
        <v>113.7</v>
      </c>
    </row>
    <row r="45" customFormat="false" ht="15" hidden="false" customHeight="true" outlineLevel="0" collapsed="false">
      <c r="A45" s="11" t="s">
        <v>80</v>
      </c>
      <c r="B45" s="11" t="s">
        <v>81</v>
      </c>
      <c r="C45" s="12" t="n">
        <f aca="false">SUMIFS(Presupuesto!$K$5:$K$1399,Presupuesto!$M$5:$M$1399,"P",Presupuesto!$O$5:$O$1399,"20.03")</f>
        <v>333.5</v>
      </c>
    </row>
    <row r="46" customFormat="false" ht="15" hidden="false" customHeight="true" outlineLevel="0" collapsed="false">
      <c r="A46" s="11" t="s">
        <v>82</v>
      </c>
      <c r="B46" s="11" t="s">
        <v>83</v>
      </c>
      <c r="C46" s="12" t="n">
        <f aca="false">SUMIFS(Presupuesto!$K$5:$K$1399,Presupuesto!$M$5:$M$1399,"P",Presupuesto!$O$5:$O$1399,"20.04")</f>
        <v>122.3</v>
      </c>
    </row>
    <row r="47" customFormat="false" ht="15" hidden="false" customHeight="true" outlineLevel="0" collapsed="false">
      <c r="A47" s="11" t="s">
        <v>84</v>
      </c>
      <c r="B47" s="11" t="s">
        <v>85</v>
      </c>
      <c r="C47" s="12" t="n">
        <f aca="false">SUMIFS(Presupuesto!$K$5:$K$1399,Presupuesto!$M$5:$M$1399,"P",Presupuesto!$O$5:$O$1399,"20.05")</f>
        <v>179.99</v>
      </c>
    </row>
    <row r="48" customFormat="false" ht="15" hidden="false" customHeight="true" outlineLevel="0" collapsed="false">
      <c r="B48" s="3" t="s">
        <v>86</v>
      </c>
      <c r="C48" s="10" t="n">
        <f aca="false">C14+C15+C16+C17+C18+C21+C22+C23+C24+C25+C26+C27+C28+C29+C30+C31+C38+C41+C42</f>
        <v>378523</v>
      </c>
    </row>
    <row r="50" customFormat="false" ht="15" hidden="false" customHeight="true" outlineLevel="0" collapsed="false">
      <c r="B50" s="13" t="s">
        <v>87</v>
      </c>
      <c r="C50" s="14" t="n">
        <f aca="false">C11+C48</f>
        <v>399862.28</v>
      </c>
    </row>
    <row r="52" customFormat="false" ht="15" hidden="false" customHeight="true" outlineLevel="0" collapsed="false">
      <c r="B52" s="11" t="s">
        <v>88</v>
      </c>
      <c r="C52" s="15" t="n">
        <f aca="false">ROUND(C50*D52,2)</f>
        <v>19993.11</v>
      </c>
      <c r="D52" s="16" t="n">
        <v>0.05</v>
      </c>
    </row>
    <row r="53" customFormat="false" ht="15" hidden="false" customHeight="true" outlineLevel="0" collapsed="false">
      <c r="B53" s="11" t="s">
        <v>89</v>
      </c>
      <c r="C53" s="15" t="n">
        <f aca="false">ROUND(C50*D53,2)</f>
        <v>19993.11</v>
      </c>
      <c r="D53" s="16" t="n">
        <v>0.05</v>
      </c>
    </row>
    <row r="54" customFormat="false" ht="15" hidden="false" customHeight="true" outlineLevel="0" collapsed="false">
      <c r="B54" s="3" t="s">
        <v>90</v>
      </c>
      <c r="C54" s="17" t="n">
        <f aca="false">C50+C52+C53</f>
        <v>439848.5</v>
      </c>
    </row>
    <row r="55" customFormat="false" ht="15" hidden="false" customHeight="true" outlineLevel="0" collapsed="false">
      <c r="B55" s="11" t="s">
        <v>91</v>
      </c>
      <c r="C55" s="15" t="n">
        <f aca="false">ROUND(C11*(1+$D$52+$D$53)*D55,2)</f>
        <v>4929.37</v>
      </c>
      <c r="D55" s="16" t="n">
        <v>0.21</v>
      </c>
    </row>
    <row r="56" customFormat="false" ht="15" hidden="false" customHeight="true" outlineLevel="0" collapsed="false">
      <c r="B56" s="11" t="s">
        <v>92</v>
      </c>
      <c r="C56" s="15" t="n">
        <f aca="false">ROUND(C48*(1+$D$52+$D$53)*D56,2)</f>
        <v>41637.53</v>
      </c>
      <c r="D56" s="16" t="n">
        <v>0.1</v>
      </c>
    </row>
    <row r="57" customFormat="false" ht="15" hidden="false" customHeight="true" outlineLevel="0" collapsed="false">
      <c r="B57" s="13" t="s">
        <v>93</v>
      </c>
      <c r="C57" s="14" t="n">
        <f aca="false">C54+C55+C56</f>
        <v>486415.4</v>
      </c>
    </row>
    <row r="59" customFormat="false" ht="15" hidden="false" customHeight="true" outlineLevel="0" collapsed="false">
      <c r="B59" s="3" t="s">
        <v>94</v>
      </c>
    </row>
    <row r="60" customFormat="false" ht="15" hidden="false" customHeight="true" outlineLevel="0" collapsed="false">
      <c r="B60" s="11" t="s">
        <v>95</v>
      </c>
      <c r="C60" s="18" t="n">
        <v>351.18</v>
      </c>
    </row>
    <row r="61" customFormat="false" ht="15" hidden="false" customHeight="true" outlineLevel="0" collapsed="false">
      <c r="B61" s="11" t="s">
        <v>96</v>
      </c>
      <c r="C61" s="15" t="n">
        <f aca="false">C50/C60</f>
        <v>1138.62486474173</v>
      </c>
    </row>
    <row r="62" customFormat="false" ht="15" hidden="false" customHeight="true" outlineLevel="0" collapsed="false">
      <c r="B62" s="11" t="s">
        <v>97</v>
      </c>
      <c r="C62" s="19" t="n">
        <v>289190.43</v>
      </c>
    </row>
    <row r="64" customFormat="false" ht="15" hidden="false" customHeight="true" outlineLevel="0" collapsed="false">
      <c r="B64" s="4" t="s">
        <v>98</v>
      </c>
    </row>
    <row r="65" customFormat="false" ht="15" hidden="false" customHeight="true" outlineLevel="0" collapsed="false">
      <c r="B65" s="4" t="s">
        <v>99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
    <col collapsed="false" customWidth="true" hidden="false" outlineLevel="0" max="3" min="3" style="1" width="62"/>
    <col collapsed="false" customWidth="true" hidden="false" outlineLevel="0" max="4" min="4" style="1" width="6"/>
    <col collapsed="false" customWidth="true" hidden="false" outlineLevel="0" max="7" min="5" style="1" width="9"/>
    <col collapsed="false" customWidth="true" hidden="false" outlineLevel="0" max="10" min="8" style="1" width="10"/>
    <col collapsed="false" customWidth="true" hidden="false" outlineLevel="0" max="11" min="11" style="1" width="12"/>
    <col collapsed="false" customWidth="true" hidden="false" outlineLevel="0" max="12" min="12" style="1" width="44"/>
    <col collapsed="false" customWidth="true" hidden="true" outlineLevel="0" max="14" min="13" style="1" width="5"/>
    <col collapsed="false" customWidth="true" hidden="true" outlineLevel="0" max="15" min="15" style="1" width="8"/>
  </cols>
  <sheetData>
    <row r="1" customFormat="false" ht="15" hidden="false" customHeight="true" outlineLevel="0" collapsed="false">
      <c r="A1" s="2" t="s">
        <v>100</v>
      </c>
    </row>
    <row r="2" customFormat="false" ht="15" hidden="false" customHeight="true" outlineLevel="0" collapsed="false">
      <c r="A2" s="3" t="s">
        <v>101</v>
      </c>
    </row>
    <row r="4" customFormat="false" ht="15" hidden="false" customHeight="true" outlineLevel="0" collapsed="false">
      <c r="A4" s="20" t="s">
        <v>102</v>
      </c>
      <c r="B4" s="20" t="s">
        <v>103</v>
      </c>
      <c r="C4" s="20" t="s">
        <v>4</v>
      </c>
      <c r="D4" s="21" t="s">
        <v>104</v>
      </c>
      <c r="E4" s="21" t="s">
        <v>105</v>
      </c>
      <c r="F4" s="21" t="s">
        <v>106</v>
      </c>
      <c r="G4" s="21" t="s">
        <v>107</v>
      </c>
      <c r="H4" s="21" t="s">
        <v>108</v>
      </c>
      <c r="I4" s="21" t="s">
        <v>109</v>
      </c>
      <c r="J4" s="21" t="s">
        <v>110</v>
      </c>
      <c r="K4" s="21" t="s">
        <v>5</v>
      </c>
      <c r="L4" s="20" t="s">
        <v>111</v>
      </c>
      <c r="M4" s="21" t="s">
        <v>112</v>
      </c>
      <c r="N4" s="21" t="s">
        <v>113</v>
      </c>
      <c r="O4" s="21" t="s">
        <v>114</v>
      </c>
    </row>
    <row r="5" customFormat="false" ht="15" hidden="false" customHeight="true" outlineLevel="0" collapsed="false">
      <c r="A5" s="22" t="s">
        <v>7</v>
      </c>
      <c r="B5" s="7"/>
      <c r="C5" s="22" t="s">
        <v>8</v>
      </c>
      <c r="D5" s="7"/>
      <c r="E5" s="7"/>
      <c r="F5" s="7"/>
      <c r="G5" s="7"/>
      <c r="H5" s="7"/>
      <c r="I5" s="7"/>
      <c r="J5" s="7"/>
      <c r="K5" s="7"/>
      <c r="L5" s="7"/>
      <c r="M5" s="23"/>
      <c r="N5" s="23"/>
      <c r="O5" s="23"/>
    </row>
    <row r="6" customFormat="false" ht="15" hidden="false" customHeight="true" outlineLevel="0" collapsed="false">
      <c r="M6" s="23"/>
      <c r="N6" s="23"/>
      <c r="O6" s="23"/>
    </row>
    <row r="7" customFormat="false" ht="15" hidden="false" customHeight="true" outlineLevel="0" collapsed="false">
      <c r="A7" s="24" t="s">
        <v>9</v>
      </c>
      <c r="B7" s="25"/>
      <c r="C7" s="24" t="s">
        <v>10</v>
      </c>
      <c r="D7" s="25"/>
      <c r="E7" s="25"/>
      <c r="F7" s="25"/>
      <c r="G7" s="25"/>
      <c r="H7" s="25"/>
      <c r="I7" s="25"/>
      <c r="J7" s="25"/>
      <c r="K7" s="25"/>
      <c r="L7" s="25"/>
      <c r="M7" s="23" t="s">
        <v>115</v>
      </c>
      <c r="N7" s="23" t="s">
        <v>9</v>
      </c>
      <c r="O7" s="23"/>
    </row>
    <row r="8" customFormat="false" ht="15" hidden="false" customHeight="true" outlineLevel="0" collapsed="false">
      <c r="A8" s="3" t="s">
        <v>116</v>
      </c>
      <c r="B8" s="3" t="s">
        <v>117</v>
      </c>
      <c r="C8" s="3" t="s">
        <v>118</v>
      </c>
      <c r="M8" s="23"/>
      <c r="N8" s="23"/>
      <c r="O8" s="23"/>
    </row>
    <row r="9" customFormat="false" ht="24" hidden="false" customHeight="true" outlineLevel="0" collapsed="false">
      <c r="C9" s="26" t="s">
        <v>119</v>
      </c>
      <c r="M9" s="23"/>
      <c r="N9" s="23"/>
      <c r="O9" s="23"/>
    </row>
    <row r="10" customFormat="false" ht="15" hidden="false" customHeight="true" outlineLevel="0" collapsed="false">
      <c r="C10" s="27" t="s">
        <v>120</v>
      </c>
      <c r="D10" s="28" t="n">
        <v>1</v>
      </c>
      <c r="E10" s="28" t="n">
        <v>10</v>
      </c>
      <c r="H10" s="29" t="n">
        <f aca="false">IF(COUNT(D10:G10)=0,0,D10*IF(E10="",1,E10)*IF(F10="",1,F10)*IF(G10="",1,G10))</f>
        <v>10</v>
      </c>
      <c r="M10" s="23"/>
      <c r="N10" s="23"/>
      <c r="O10" s="23"/>
    </row>
    <row r="11" customFormat="false" ht="15" hidden="false" customHeight="true" outlineLevel="0" collapsed="false">
      <c r="C11" s="27" t="s">
        <v>121</v>
      </c>
      <c r="D11" s="28" t="n">
        <v>1</v>
      </c>
      <c r="E11" s="28" t="n">
        <v>10</v>
      </c>
      <c r="H11" s="29" t="n">
        <f aca="false">IF(COUNT(D11:G11)=0,0,D11*IF(E11="",1,E11)*IF(F11="",1,F11)*IF(G11="",1,G11))</f>
        <v>10</v>
      </c>
      <c r="M11" s="23"/>
      <c r="N11" s="23"/>
      <c r="O11" s="23"/>
    </row>
    <row r="12" customFormat="false" ht="15" hidden="false" customHeight="true" outlineLevel="0" collapsed="false">
      <c r="H12" s="30"/>
      <c r="I12" s="31" t="n">
        <f aca="false">ROUND(SUM(H10:H11),2)</f>
        <v>20</v>
      </c>
      <c r="J12" s="32" t="n">
        <v>2.63</v>
      </c>
      <c r="K12" s="31" t="n">
        <f aca="false">ROUND(I12*J12,2)</f>
        <v>52.6</v>
      </c>
      <c r="L12" s="33" t="s">
        <v>122</v>
      </c>
      <c r="M12" s="23" t="s">
        <v>123</v>
      </c>
      <c r="N12" s="23" t="s">
        <v>9</v>
      </c>
      <c r="O12" s="23"/>
    </row>
    <row r="13" customFormat="false" ht="15" hidden="false" customHeight="true" outlineLevel="0" collapsed="false">
      <c r="A13" s="3" t="s">
        <v>124</v>
      </c>
      <c r="B13" s="3" t="s">
        <v>117</v>
      </c>
      <c r="C13" s="3" t="s">
        <v>125</v>
      </c>
      <c r="M13" s="23"/>
      <c r="N13" s="23"/>
      <c r="O13" s="23"/>
    </row>
    <row r="14" customFormat="false" ht="108" hidden="false" customHeight="true" outlineLevel="0" collapsed="false">
      <c r="C14" s="26" t="s">
        <v>126</v>
      </c>
      <c r="M14" s="23"/>
      <c r="N14" s="23"/>
      <c r="O14" s="23"/>
    </row>
    <row r="15" customFormat="false" ht="15" hidden="false" customHeight="true" outlineLevel="0" collapsed="false">
      <c r="C15" s="27" t="s">
        <v>120</v>
      </c>
      <c r="D15" s="28" t="n">
        <v>1</v>
      </c>
      <c r="E15" s="28" t="n">
        <v>10</v>
      </c>
      <c r="H15" s="29" t="n">
        <f aca="false">IF(COUNT(D15:G15)=0,0,D15*IF(E15="",1,E15)*IF(F15="",1,F15)*IF(G15="",1,G15))</f>
        <v>10</v>
      </c>
      <c r="M15" s="23"/>
      <c r="N15" s="23"/>
      <c r="O15" s="23"/>
    </row>
    <row r="16" customFormat="false" ht="15" hidden="false" customHeight="true" outlineLevel="0" collapsed="false">
      <c r="C16" s="27" t="s">
        <v>121</v>
      </c>
      <c r="D16" s="28" t="n">
        <v>1</v>
      </c>
      <c r="E16" s="28" t="n">
        <v>10</v>
      </c>
      <c r="H16" s="29" t="n">
        <f aca="false">IF(COUNT(D16:G16)=0,0,D16*IF(E16="",1,E16)*IF(F16="",1,F16)*IF(G16="",1,G16))</f>
        <v>10</v>
      </c>
      <c r="M16" s="23"/>
      <c r="N16" s="23"/>
      <c r="O16" s="23"/>
    </row>
    <row r="17" customFormat="false" ht="15" hidden="false" customHeight="true" outlineLevel="0" collapsed="false">
      <c r="H17" s="30"/>
      <c r="I17" s="31" t="n">
        <f aca="false">ROUND(SUM(H15:H16),2)</f>
        <v>20</v>
      </c>
      <c r="J17" s="32" t="n">
        <v>45.03</v>
      </c>
      <c r="K17" s="31" t="n">
        <f aca="false">ROUND(I17*J17,2)</f>
        <v>900.6</v>
      </c>
      <c r="L17" s="33" t="s">
        <v>122</v>
      </c>
      <c r="M17" s="23" t="s">
        <v>123</v>
      </c>
      <c r="N17" s="23" t="s">
        <v>9</v>
      </c>
      <c r="O17" s="23"/>
    </row>
    <row r="18" customFormat="false" ht="15" hidden="false" customHeight="true" outlineLevel="0" collapsed="false">
      <c r="C18" s="34" t="s">
        <v>127</v>
      </c>
      <c r="K18" s="14" t="n">
        <f aca="false">SUMIFS($K$5:$K$17,$M$5:$M$17,"P",$N$5:$N$17,"D01")</f>
        <v>953.2</v>
      </c>
      <c r="M18" s="23"/>
      <c r="N18" s="23"/>
      <c r="O18" s="23"/>
    </row>
    <row r="19" customFormat="false" ht="15" hidden="false" customHeight="true" outlineLevel="0" collapsed="false">
      <c r="M19" s="23"/>
      <c r="N19" s="23"/>
      <c r="O19" s="23"/>
    </row>
    <row r="20" customFormat="false" ht="15" hidden="false" customHeight="true" outlineLevel="0" collapsed="false">
      <c r="A20" s="24" t="s">
        <v>11</v>
      </c>
      <c r="B20" s="25"/>
      <c r="C20" s="24" t="s">
        <v>12</v>
      </c>
      <c r="D20" s="25"/>
      <c r="E20" s="25"/>
      <c r="F20" s="25"/>
      <c r="G20" s="25"/>
      <c r="H20" s="25"/>
      <c r="I20" s="25"/>
      <c r="J20" s="25"/>
      <c r="K20" s="25"/>
      <c r="L20" s="25"/>
      <c r="M20" s="23" t="s">
        <v>115</v>
      </c>
      <c r="N20" s="23" t="s">
        <v>11</v>
      </c>
      <c r="O20" s="23"/>
    </row>
    <row r="21" customFormat="false" ht="15" hidden="false" customHeight="true" outlineLevel="0" collapsed="false">
      <c r="A21" s="3" t="s">
        <v>128</v>
      </c>
      <c r="B21" s="3" t="s">
        <v>129</v>
      </c>
      <c r="C21" s="3" t="s">
        <v>130</v>
      </c>
      <c r="M21" s="23"/>
      <c r="N21" s="23"/>
      <c r="O21" s="23"/>
    </row>
    <row r="22" customFormat="false" ht="468" hidden="false" customHeight="true" outlineLevel="0" collapsed="false">
      <c r="C22" s="26" t="s">
        <v>131</v>
      </c>
      <c r="M22" s="23"/>
      <c r="N22" s="23"/>
      <c r="O22" s="23"/>
    </row>
    <row r="23" customFormat="false" ht="15" hidden="false" customHeight="true" outlineLevel="0" collapsed="false">
      <c r="C23" s="27" t="s">
        <v>132</v>
      </c>
      <c r="D23" s="28" t="n">
        <v>1</v>
      </c>
      <c r="H23" s="29" t="n">
        <f aca="false">IF(COUNT(D23:G23)=0,0,D23*IF(E23="",1,E23)*IF(F23="",1,F23)*IF(G23="",1,G23))</f>
        <v>1</v>
      </c>
      <c r="M23" s="23"/>
      <c r="N23" s="23"/>
      <c r="O23" s="23"/>
    </row>
    <row r="24" customFormat="false" ht="15" hidden="false" customHeight="true" outlineLevel="0" collapsed="false">
      <c r="H24" s="30"/>
      <c r="I24" s="31" t="n">
        <f aca="false">ROUND(SUM(H23:H23),2)</f>
        <v>1</v>
      </c>
      <c r="J24" s="32" t="n">
        <v>0.86</v>
      </c>
      <c r="K24" s="31" t="n">
        <f aca="false">ROUND(I24*J24,2)</f>
        <v>0.86</v>
      </c>
      <c r="L24" s="33" t="s">
        <v>122</v>
      </c>
      <c r="M24" s="23" t="s">
        <v>123</v>
      </c>
      <c r="N24" s="23" t="s">
        <v>11</v>
      </c>
      <c r="O24" s="23"/>
    </row>
    <row r="25" customFormat="false" ht="15" hidden="false" customHeight="true" outlineLevel="0" collapsed="false">
      <c r="A25" s="3" t="s">
        <v>133</v>
      </c>
      <c r="B25" s="3" t="s">
        <v>129</v>
      </c>
      <c r="C25" s="3" t="s">
        <v>134</v>
      </c>
      <c r="M25" s="23"/>
      <c r="N25" s="23"/>
      <c r="O25" s="23"/>
    </row>
    <row r="26" customFormat="false" ht="132" hidden="false" customHeight="true" outlineLevel="0" collapsed="false">
      <c r="C26" s="26" t="s">
        <v>135</v>
      </c>
      <c r="M26" s="23"/>
      <c r="N26" s="23"/>
      <c r="O26" s="23"/>
    </row>
    <row r="27" customFormat="false" ht="15" hidden="false" customHeight="true" outlineLevel="0" collapsed="false">
      <c r="C27" s="27" t="s">
        <v>132</v>
      </c>
      <c r="D27" s="28" t="n">
        <v>1</v>
      </c>
      <c r="H27" s="29" t="n">
        <f aca="false">IF(COUNT(D27:G27)=0,0,D27*IF(E27="",1,E27)*IF(F27="",1,F27)*IF(G27="",1,G27))</f>
        <v>1</v>
      </c>
      <c r="M27" s="23"/>
      <c r="N27" s="23"/>
      <c r="O27" s="23"/>
    </row>
    <row r="28" customFormat="false" ht="15" hidden="false" customHeight="true" outlineLevel="0" collapsed="false">
      <c r="H28" s="30"/>
      <c r="I28" s="31" t="n">
        <f aca="false">ROUND(SUM(H27:H27),2)</f>
        <v>1</v>
      </c>
      <c r="J28" s="32" t="n">
        <v>0.86</v>
      </c>
      <c r="K28" s="31" t="n">
        <f aca="false">ROUND(I28*J28,2)</f>
        <v>0.86</v>
      </c>
      <c r="L28" s="33" t="s">
        <v>122</v>
      </c>
      <c r="M28" s="23" t="s">
        <v>123</v>
      </c>
      <c r="N28" s="23" t="s">
        <v>11</v>
      </c>
      <c r="O28" s="23"/>
    </row>
    <row r="29" customFormat="false" ht="15" hidden="false" customHeight="true" outlineLevel="0" collapsed="false">
      <c r="A29" s="3" t="s">
        <v>136</v>
      </c>
      <c r="B29" s="3" t="s">
        <v>129</v>
      </c>
      <c r="C29" s="3" t="s">
        <v>137</v>
      </c>
      <c r="M29" s="23"/>
      <c r="N29" s="23"/>
      <c r="O29" s="23"/>
    </row>
    <row r="30" customFormat="false" ht="48" hidden="false" customHeight="true" outlineLevel="0" collapsed="false">
      <c r="C30" s="26" t="s">
        <v>138</v>
      </c>
      <c r="M30" s="23"/>
      <c r="N30" s="23"/>
      <c r="O30" s="23"/>
    </row>
    <row r="31" customFormat="false" ht="15" hidden="false" customHeight="true" outlineLevel="0" collapsed="false">
      <c r="C31" s="27" t="s">
        <v>132</v>
      </c>
      <c r="D31" s="28" t="n">
        <v>1</v>
      </c>
      <c r="H31" s="29" t="n">
        <f aca="false">IF(COUNT(D31:G31)=0,0,D31*IF(E31="",1,E31)*IF(F31="",1,F31)*IF(G31="",1,G31))</f>
        <v>1</v>
      </c>
      <c r="M31" s="23"/>
      <c r="N31" s="23"/>
      <c r="O31" s="23"/>
    </row>
    <row r="32" customFormat="false" ht="15" hidden="false" customHeight="true" outlineLevel="0" collapsed="false">
      <c r="H32" s="30"/>
      <c r="I32" s="31" t="n">
        <f aca="false">ROUND(SUM(H31:H31),2)</f>
        <v>1</v>
      </c>
      <c r="J32" s="32" t="n">
        <v>607.9</v>
      </c>
      <c r="K32" s="31" t="n">
        <f aca="false">ROUND(I32*J32,2)</f>
        <v>607.9</v>
      </c>
      <c r="L32" s="33" t="s">
        <v>122</v>
      </c>
      <c r="M32" s="23" t="s">
        <v>123</v>
      </c>
      <c r="N32" s="23" t="s">
        <v>11</v>
      </c>
      <c r="O32" s="23"/>
    </row>
    <row r="33" customFormat="false" ht="15" hidden="false" customHeight="true" outlineLevel="0" collapsed="false">
      <c r="A33" s="3" t="s">
        <v>139</v>
      </c>
      <c r="B33" s="3" t="s">
        <v>140</v>
      </c>
      <c r="C33" s="3" t="s">
        <v>141</v>
      </c>
      <c r="M33" s="23"/>
      <c r="N33" s="23"/>
      <c r="O33" s="23"/>
    </row>
    <row r="34" customFormat="false" ht="96" hidden="false" customHeight="true" outlineLevel="0" collapsed="false">
      <c r="C34" s="26" t="s">
        <v>142</v>
      </c>
      <c r="M34" s="23"/>
      <c r="N34" s="23"/>
      <c r="O34" s="23"/>
    </row>
    <row r="35" customFormat="false" ht="15" hidden="false" customHeight="true" outlineLevel="0" collapsed="false">
      <c r="C35" s="27" t="s">
        <v>143</v>
      </c>
      <c r="D35" s="28" t="n">
        <v>1</v>
      </c>
      <c r="E35" s="28" t="n">
        <v>58.51</v>
      </c>
      <c r="H35" s="29" t="n">
        <f aca="false">IF(COUNT(D35:G35)=0,0,D35*IF(E35="",1,E35)*IF(F35="",1,F35)*IF(G35="",1,G35))</f>
        <v>58.51</v>
      </c>
      <c r="M35" s="23"/>
      <c r="N35" s="23"/>
      <c r="O35" s="23"/>
    </row>
    <row r="36" customFormat="false" ht="15" hidden="false" customHeight="true" outlineLevel="0" collapsed="false">
      <c r="H36" s="30"/>
      <c r="I36" s="31" t="n">
        <f aca="false">ROUND(SUM(H35:H35),2)</f>
        <v>58.51</v>
      </c>
      <c r="J36" s="32" t="n">
        <v>10.73</v>
      </c>
      <c r="K36" s="31" t="n">
        <f aca="false">ROUND(I36*J36,2)</f>
        <v>627.81</v>
      </c>
      <c r="L36" s="33" t="s">
        <v>122</v>
      </c>
      <c r="M36" s="23" t="s">
        <v>123</v>
      </c>
      <c r="N36" s="23" t="s">
        <v>11</v>
      </c>
      <c r="O36" s="23"/>
    </row>
    <row r="37" customFormat="false" ht="15" hidden="false" customHeight="true" outlineLevel="0" collapsed="false">
      <c r="A37" s="3" t="s">
        <v>144</v>
      </c>
      <c r="B37" s="3" t="s">
        <v>129</v>
      </c>
      <c r="C37" s="3" t="s">
        <v>145</v>
      </c>
      <c r="M37" s="23"/>
      <c r="N37" s="23"/>
      <c r="O37" s="23"/>
    </row>
    <row r="38" customFormat="false" ht="84" hidden="false" customHeight="true" outlineLevel="0" collapsed="false">
      <c r="C38" s="26" t="s">
        <v>146</v>
      </c>
      <c r="M38" s="23"/>
      <c r="N38" s="23"/>
      <c r="O38" s="23"/>
    </row>
    <row r="39" customFormat="false" ht="15" hidden="false" customHeight="true" outlineLevel="0" collapsed="false">
      <c r="C39" s="27" t="s">
        <v>132</v>
      </c>
      <c r="D39" s="28" t="n">
        <v>1</v>
      </c>
      <c r="H39" s="29" t="n">
        <f aca="false">IF(COUNT(D39:G39)=0,0,D39*IF(E39="",1,E39)*IF(F39="",1,F39)*IF(G39="",1,G39))</f>
        <v>1</v>
      </c>
      <c r="M39" s="23"/>
      <c r="N39" s="23"/>
      <c r="O39" s="23"/>
    </row>
    <row r="40" customFormat="false" ht="15" hidden="false" customHeight="true" outlineLevel="0" collapsed="false">
      <c r="H40" s="30"/>
      <c r="I40" s="31" t="n">
        <f aca="false">ROUND(SUM(H39:H39),2)</f>
        <v>1</v>
      </c>
      <c r="J40" s="32" t="n">
        <v>231.44</v>
      </c>
      <c r="K40" s="31" t="n">
        <f aca="false">ROUND(I40*J40,2)</f>
        <v>231.44</v>
      </c>
      <c r="L40" s="33" t="s">
        <v>122</v>
      </c>
      <c r="M40" s="23" t="s">
        <v>123</v>
      </c>
      <c r="N40" s="23" t="s">
        <v>11</v>
      </c>
      <c r="O40" s="23"/>
    </row>
    <row r="41" customFormat="false" ht="15" hidden="false" customHeight="true" outlineLevel="0" collapsed="false">
      <c r="A41" s="3" t="s">
        <v>147</v>
      </c>
      <c r="B41" s="3" t="s">
        <v>129</v>
      </c>
      <c r="C41" s="3" t="s">
        <v>148</v>
      </c>
      <c r="M41" s="23"/>
      <c r="N41" s="23"/>
      <c r="O41" s="23"/>
    </row>
    <row r="42" customFormat="false" ht="156" hidden="false" customHeight="true" outlineLevel="0" collapsed="false">
      <c r="C42" s="26" t="s">
        <v>149</v>
      </c>
      <c r="M42" s="23"/>
      <c r="N42" s="23"/>
      <c r="O42" s="23"/>
    </row>
    <row r="43" customFormat="false" ht="15" hidden="false" customHeight="true" outlineLevel="0" collapsed="false">
      <c r="C43" s="27" t="s">
        <v>150</v>
      </c>
      <c r="D43" s="28" t="n">
        <v>1</v>
      </c>
      <c r="H43" s="29" t="n">
        <f aca="false">IF(COUNT(D43:G43)=0,0,D43*IF(E43="",1,E43)*IF(F43="",1,F43)*IF(G43="",1,G43))</f>
        <v>1</v>
      </c>
      <c r="M43" s="23"/>
      <c r="N43" s="23"/>
      <c r="O43" s="23"/>
    </row>
    <row r="44" customFormat="false" ht="15" hidden="false" customHeight="true" outlineLevel="0" collapsed="false">
      <c r="H44" s="30"/>
      <c r="I44" s="31" t="n">
        <f aca="false">ROUND(SUM(H43:H43),2)</f>
        <v>1</v>
      </c>
      <c r="J44" s="32" t="n">
        <v>3500</v>
      </c>
      <c r="K44" s="31" t="n">
        <f aca="false">ROUND(I44*J44,2)</f>
        <v>3500</v>
      </c>
      <c r="L44" s="33" t="s">
        <v>122</v>
      </c>
      <c r="M44" s="23" t="s">
        <v>123</v>
      </c>
      <c r="N44" s="23" t="s">
        <v>11</v>
      </c>
      <c r="O44" s="23"/>
    </row>
    <row r="45" customFormat="false" ht="15" hidden="false" customHeight="true" outlineLevel="0" collapsed="false">
      <c r="A45" s="3" t="s">
        <v>151</v>
      </c>
      <c r="B45" s="3" t="s">
        <v>152</v>
      </c>
      <c r="C45" s="3" t="s">
        <v>153</v>
      </c>
      <c r="M45" s="23"/>
      <c r="N45" s="23"/>
      <c r="O45" s="23"/>
    </row>
    <row r="46" customFormat="false" ht="48" hidden="false" customHeight="true" outlineLevel="0" collapsed="false">
      <c r="C46" s="26" t="s">
        <v>154</v>
      </c>
      <c r="M46" s="23"/>
      <c r="N46" s="23"/>
      <c r="O46" s="23"/>
    </row>
    <row r="47" customFormat="false" ht="15" hidden="false" customHeight="true" outlineLevel="0" collapsed="false">
      <c r="C47" s="27" t="s">
        <v>155</v>
      </c>
      <c r="D47" s="28" t="n">
        <v>1</v>
      </c>
      <c r="E47" s="28" t="n">
        <v>134.39</v>
      </c>
      <c r="G47" s="28" t="n">
        <v>9</v>
      </c>
      <c r="H47" s="29" t="n">
        <f aca="false">IF(COUNT(D47:G47)=0,0,D47*IF(E47="",1,E47)*IF(F47="",1,F47)*IF(G47="",1,G47))</f>
        <v>1209.51</v>
      </c>
      <c r="M47" s="23"/>
      <c r="N47" s="23"/>
      <c r="O47" s="23"/>
    </row>
    <row r="48" customFormat="false" ht="15" hidden="false" customHeight="true" outlineLevel="0" collapsed="false">
      <c r="H48" s="30"/>
      <c r="I48" s="31" t="n">
        <f aca="false">ROUND(SUM(H47:H47),2)</f>
        <v>1209.51</v>
      </c>
      <c r="J48" s="32" t="n">
        <v>3.11</v>
      </c>
      <c r="K48" s="31" t="n">
        <f aca="false">ROUND(I48*J48,2)</f>
        <v>3761.58</v>
      </c>
      <c r="L48" s="33" t="s">
        <v>122</v>
      </c>
      <c r="M48" s="23" t="s">
        <v>123</v>
      </c>
      <c r="N48" s="23" t="s">
        <v>11</v>
      </c>
      <c r="O48" s="23"/>
    </row>
    <row r="49" customFormat="false" ht="15" hidden="false" customHeight="true" outlineLevel="0" collapsed="false">
      <c r="A49" s="3" t="s">
        <v>156</v>
      </c>
      <c r="B49" s="3" t="s">
        <v>117</v>
      </c>
      <c r="C49" s="3" t="s">
        <v>157</v>
      </c>
      <c r="M49" s="23"/>
      <c r="N49" s="23"/>
      <c r="O49" s="23"/>
    </row>
    <row r="50" customFormat="false" ht="72" hidden="false" customHeight="true" outlineLevel="0" collapsed="false">
      <c r="C50" s="26" t="s">
        <v>158</v>
      </c>
      <c r="M50" s="23"/>
      <c r="N50" s="23"/>
      <c r="O50" s="23"/>
    </row>
    <row r="51" customFormat="false" ht="15" hidden="false" customHeight="true" outlineLevel="0" collapsed="false">
      <c r="C51" s="27" t="s">
        <v>159</v>
      </c>
      <c r="D51" s="28" t="n">
        <v>1</v>
      </c>
      <c r="E51" s="28" t="n">
        <v>134.39</v>
      </c>
      <c r="H51" s="29" t="n">
        <f aca="false">IF(COUNT(D51:G51)=0,0,D51*IF(E51="",1,E51)*IF(F51="",1,F51)*IF(G51="",1,G51))</f>
        <v>134.39</v>
      </c>
      <c r="M51" s="23"/>
      <c r="N51" s="23"/>
      <c r="O51" s="23"/>
    </row>
    <row r="52" customFormat="false" ht="15" hidden="false" customHeight="true" outlineLevel="0" collapsed="false">
      <c r="H52" s="30"/>
      <c r="I52" s="31" t="n">
        <f aca="false">ROUND(SUM(H51:H51),2)</f>
        <v>134.39</v>
      </c>
      <c r="J52" s="32" t="n">
        <v>4.17</v>
      </c>
      <c r="K52" s="31" t="n">
        <f aca="false">ROUND(I52*J52,2)</f>
        <v>560.41</v>
      </c>
      <c r="L52" s="33" t="s">
        <v>122</v>
      </c>
      <c r="M52" s="23" t="s">
        <v>123</v>
      </c>
      <c r="N52" s="23" t="s">
        <v>11</v>
      </c>
      <c r="O52" s="23"/>
    </row>
    <row r="53" customFormat="false" ht="15" hidden="false" customHeight="true" outlineLevel="0" collapsed="false">
      <c r="A53" s="3" t="s">
        <v>160</v>
      </c>
      <c r="B53" s="3" t="s">
        <v>129</v>
      </c>
      <c r="C53" s="3" t="s">
        <v>161</v>
      </c>
      <c r="M53" s="23"/>
      <c r="N53" s="23"/>
      <c r="O53" s="23"/>
    </row>
    <row r="54" customFormat="false" ht="24" hidden="false" customHeight="true" outlineLevel="0" collapsed="false">
      <c r="C54" s="26" t="s">
        <v>162</v>
      </c>
      <c r="M54" s="23"/>
      <c r="N54" s="23"/>
      <c r="O54" s="23"/>
    </row>
    <row r="55" customFormat="false" ht="15" hidden="false" customHeight="true" outlineLevel="0" collapsed="false">
      <c r="C55" s="27" t="s">
        <v>132</v>
      </c>
      <c r="D55" s="28" t="n">
        <v>1</v>
      </c>
      <c r="H55" s="29" t="n">
        <f aca="false">IF(COUNT(D55:G55)=0,0,D55*IF(E55="",1,E55)*IF(F55="",1,F55)*IF(G55="",1,G55))</f>
        <v>1</v>
      </c>
      <c r="M55" s="23"/>
      <c r="N55" s="23"/>
      <c r="O55" s="23"/>
    </row>
    <row r="56" customFormat="false" ht="15" hidden="false" customHeight="true" outlineLevel="0" collapsed="false">
      <c r="H56" s="30"/>
      <c r="I56" s="31" t="n">
        <f aca="false">ROUND(SUM(H55:H55),2)</f>
        <v>1</v>
      </c>
      <c r="J56" s="32" t="n">
        <v>0.86</v>
      </c>
      <c r="K56" s="31" t="n">
        <f aca="false">ROUND(I56*J56,2)</f>
        <v>0.86</v>
      </c>
      <c r="L56" s="33" t="s">
        <v>122</v>
      </c>
      <c r="M56" s="23" t="s">
        <v>123</v>
      </c>
      <c r="N56" s="23" t="s">
        <v>11</v>
      </c>
      <c r="O56" s="23"/>
    </row>
    <row r="57" customFormat="false" ht="15" hidden="false" customHeight="true" outlineLevel="0" collapsed="false">
      <c r="A57" s="3" t="s">
        <v>163</v>
      </c>
      <c r="B57" s="3" t="s">
        <v>129</v>
      </c>
      <c r="C57" s="3" t="s">
        <v>164</v>
      </c>
      <c r="M57" s="23"/>
      <c r="N57" s="23"/>
      <c r="O57" s="23"/>
    </row>
    <row r="58" customFormat="false" ht="24" hidden="false" customHeight="true" outlineLevel="0" collapsed="false">
      <c r="C58" s="26" t="s">
        <v>165</v>
      </c>
      <c r="M58" s="23"/>
      <c r="N58" s="23"/>
      <c r="O58" s="23"/>
    </row>
    <row r="59" customFormat="false" ht="15" hidden="false" customHeight="true" outlineLevel="0" collapsed="false">
      <c r="C59" s="27" t="s">
        <v>132</v>
      </c>
      <c r="D59" s="28" t="n">
        <v>1</v>
      </c>
      <c r="H59" s="29" t="n">
        <f aca="false">IF(COUNT(D59:G59)=0,0,D59*IF(E59="",1,E59)*IF(F59="",1,F59)*IF(G59="",1,G59))</f>
        <v>1</v>
      </c>
      <c r="M59" s="23"/>
      <c r="N59" s="23"/>
      <c r="O59" s="23"/>
    </row>
    <row r="60" customFormat="false" ht="15" hidden="false" customHeight="true" outlineLevel="0" collapsed="false">
      <c r="H60" s="30"/>
      <c r="I60" s="31" t="n">
        <f aca="false">ROUND(SUM(H59:H59),2)</f>
        <v>1</v>
      </c>
      <c r="J60" s="32" t="n">
        <v>0.86</v>
      </c>
      <c r="K60" s="31" t="n">
        <f aca="false">ROUND(I60*J60,2)</f>
        <v>0.86</v>
      </c>
      <c r="L60" s="33" t="s">
        <v>122</v>
      </c>
      <c r="M60" s="23" t="s">
        <v>123</v>
      </c>
      <c r="N60" s="23" t="s">
        <v>11</v>
      </c>
      <c r="O60" s="23"/>
    </row>
    <row r="61" customFormat="false" ht="15" hidden="false" customHeight="true" outlineLevel="0" collapsed="false">
      <c r="C61" s="34" t="s">
        <v>166</v>
      </c>
      <c r="K61" s="14" t="n">
        <f aca="false">SUMIFS($K$5:$K$60,$M$5:$M$60,"P",$N$5:$N$60,"D02")</f>
        <v>9292.58</v>
      </c>
      <c r="M61" s="23"/>
      <c r="N61" s="23"/>
      <c r="O61" s="23"/>
    </row>
    <row r="62" customFormat="false" ht="15" hidden="false" customHeight="true" outlineLevel="0" collapsed="false">
      <c r="M62" s="23"/>
      <c r="N62" s="23"/>
      <c r="O62" s="23"/>
    </row>
    <row r="63" customFormat="false" ht="15" hidden="false" customHeight="true" outlineLevel="0" collapsed="false">
      <c r="A63" s="24" t="s">
        <v>13</v>
      </c>
      <c r="B63" s="25"/>
      <c r="C63" s="24" t="s">
        <v>14</v>
      </c>
      <c r="D63" s="25"/>
      <c r="E63" s="25"/>
      <c r="F63" s="25"/>
      <c r="G63" s="25"/>
      <c r="H63" s="25"/>
      <c r="I63" s="25"/>
      <c r="J63" s="25"/>
      <c r="K63" s="25"/>
      <c r="L63" s="25"/>
      <c r="M63" s="23" t="s">
        <v>115</v>
      </c>
      <c r="N63" s="23" t="s">
        <v>13</v>
      </c>
      <c r="O63" s="23"/>
    </row>
    <row r="64" customFormat="false" ht="15" hidden="false" customHeight="true" outlineLevel="0" collapsed="false">
      <c r="A64" s="3" t="s">
        <v>167</v>
      </c>
      <c r="B64" s="3" t="s">
        <v>168</v>
      </c>
      <c r="C64" s="3" t="s">
        <v>169</v>
      </c>
      <c r="M64" s="23"/>
      <c r="N64" s="23"/>
      <c r="O64" s="23"/>
    </row>
    <row r="65" customFormat="false" ht="36" hidden="false" customHeight="true" outlineLevel="0" collapsed="false">
      <c r="C65" s="26" t="s">
        <v>170</v>
      </c>
      <c r="M65" s="23"/>
      <c r="N65" s="23"/>
      <c r="O65" s="23"/>
    </row>
    <row r="66" customFormat="false" ht="15" hidden="false" customHeight="true" outlineLevel="0" collapsed="false">
      <c r="C66" s="27" t="s">
        <v>171</v>
      </c>
      <c r="D66" s="28" t="n">
        <v>1</v>
      </c>
      <c r="E66" s="28" t="n">
        <v>594.5</v>
      </c>
      <c r="H66" s="29" t="n">
        <f aca="false">IF(COUNT(D66:G66)=0,0,D66*IF(E66="",1,E66)*IF(F66="",1,F66)*IF(G66="",1,G66))</f>
        <v>594.5</v>
      </c>
      <c r="M66" s="23"/>
      <c r="N66" s="23"/>
      <c r="O66" s="23"/>
    </row>
    <row r="67" customFormat="false" ht="15" hidden="false" customHeight="true" outlineLevel="0" collapsed="false">
      <c r="H67" s="30"/>
      <c r="I67" s="31" t="n">
        <f aca="false">ROUND(SUM(H66:H66),2)</f>
        <v>594.5</v>
      </c>
      <c r="J67" s="32" t="n">
        <v>11</v>
      </c>
      <c r="K67" s="31" t="n">
        <f aca="false">ROUND(I67*J67,2)</f>
        <v>6539.5</v>
      </c>
      <c r="L67" s="33" t="s">
        <v>122</v>
      </c>
      <c r="M67" s="23" t="s">
        <v>123</v>
      </c>
      <c r="N67" s="23" t="s">
        <v>13</v>
      </c>
      <c r="O67" s="23"/>
    </row>
    <row r="68" customFormat="false" ht="15" hidden="false" customHeight="true" outlineLevel="0" collapsed="false">
      <c r="A68" s="3" t="s">
        <v>172</v>
      </c>
      <c r="B68" s="3" t="s">
        <v>168</v>
      </c>
      <c r="C68" s="3" t="s">
        <v>173</v>
      </c>
      <c r="M68" s="23"/>
      <c r="N68" s="23"/>
      <c r="O68" s="23"/>
    </row>
    <row r="69" customFormat="false" ht="36" hidden="false" customHeight="true" outlineLevel="0" collapsed="false">
      <c r="C69" s="26" t="s">
        <v>174</v>
      </c>
      <c r="M69" s="23"/>
      <c r="N69" s="23"/>
      <c r="O69" s="23"/>
    </row>
    <row r="70" customFormat="false" ht="15" hidden="false" customHeight="true" outlineLevel="0" collapsed="false">
      <c r="C70" s="27" t="s">
        <v>175</v>
      </c>
      <c r="D70" s="28" t="n">
        <v>1</v>
      </c>
      <c r="E70" s="28" t="n">
        <v>12.3</v>
      </c>
      <c r="H70" s="29" t="n">
        <f aca="false">IF(COUNT(D70:G70)=0,0,D70*IF(E70="",1,E70)*IF(F70="",1,F70)*IF(G70="",1,G70))</f>
        <v>12.3</v>
      </c>
      <c r="M70" s="23"/>
      <c r="N70" s="23"/>
      <c r="O70" s="23"/>
    </row>
    <row r="71" customFormat="false" ht="15" hidden="false" customHeight="true" outlineLevel="0" collapsed="false">
      <c r="H71" s="30"/>
      <c r="I71" s="31" t="n">
        <f aca="false">ROUND(SUM(H70:H70),2)</f>
        <v>12.3</v>
      </c>
      <c r="J71" s="32" t="n">
        <v>45</v>
      </c>
      <c r="K71" s="31" t="n">
        <f aca="false">ROUND(I71*J71,2)</f>
        <v>553.5</v>
      </c>
      <c r="L71" s="33" t="s">
        <v>122</v>
      </c>
      <c r="M71" s="23" t="s">
        <v>123</v>
      </c>
      <c r="N71" s="23" t="s">
        <v>13</v>
      </c>
      <c r="O71" s="23"/>
    </row>
    <row r="72" customFormat="false" ht="15" hidden="false" customHeight="true" outlineLevel="0" collapsed="false">
      <c r="A72" s="3" t="s">
        <v>176</v>
      </c>
      <c r="B72" s="3" t="s">
        <v>168</v>
      </c>
      <c r="C72" s="3" t="s">
        <v>177</v>
      </c>
      <c r="M72" s="23"/>
      <c r="N72" s="23"/>
      <c r="O72" s="23"/>
    </row>
    <row r="73" customFormat="false" ht="24" hidden="false" customHeight="true" outlineLevel="0" collapsed="false">
      <c r="C73" s="26" t="s">
        <v>178</v>
      </c>
      <c r="M73" s="23"/>
      <c r="N73" s="23"/>
      <c r="O73" s="23"/>
    </row>
    <row r="74" customFormat="false" ht="15" hidden="false" customHeight="true" outlineLevel="0" collapsed="false">
      <c r="C74" s="27" t="s">
        <v>179</v>
      </c>
      <c r="D74" s="28" t="n">
        <v>1</v>
      </c>
      <c r="E74" s="28" t="n">
        <v>15.5</v>
      </c>
      <c r="H74" s="29" t="n">
        <f aca="false">IF(COUNT(D74:G74)=0,0,D74*IF(E74="",1,E74)*IF(F74="",1,F74)*IF(G74="",1,G74))</f>
        <v>15.5</v>
      </c>
      <c r="M74" s="23"/>
      <c r="N74" s="23"/>
      <c r="O74" s="23"/>
    </row>
    <row r="75" customFormat="false" ht="15" hidden="false" customHeight="true" outlineLevel="0" collapsed="false">
      <c r="H75" s="30"/>
      <c r="I75" s="31" t="n">
        <f aca="false">ROUND(SUM(H74:H74),2)</f>
        <v>15.5</v>
      </c>
      <c r="J75" s="32" t="n">
        <v>70</v>
      </c>
      <c r="K75" s="31" t="n">
        <f aca="false">ROUND(I75*J75,2)</f>
        <v>1085</v>
      </c>
      <c r="L75" s="33" t="s">
        <v>122</v>
      </c>
      <c r="M75" s="23" t="s">
        <v>123</v>
      </c>
      <c r="N75" s="23" t="s">
        <v>13</v>
      </c>
      <c r="O75" s="23"/>
    </row>
    <row r="76" customFormat="false" ht="15" hidden="false" customHeight="true" outlineLevel="0" collapsed="false">
      <c r="A76" s="3" t="s">
        <v>180</v>
      </c>
      <c r="B76" s="3" t="s">
        <v>129</v>
      </c>
      <c r="C76" s="3" t="s">
        <v>181</v>
      </c>
      <c r="M76" s="23"/>
      <c r="N76" s="23"/>
      <c r="O76" s="23"/>
    </row>
    <row r="77" customFormat="false" ht="36" hidden="false" customHeight="true" outlineLevel="0" collapsed="false">
      <c r="C77" s="26" t="s">
        <v>182</v>
      </c>
      <c r="M77" s="23"/>
      <c r="N77" s="23"/>
      <c r="O77" s="23"/>
    </row>
    <row r="78" customFormat="false" ht="15" hidden="false" customHeight="true" outlineLevel="0" collapsed="false">
      <c r="C78" s="27" t="s">
        <v>183</v>
      </c>
      <c r="D78" s="28" t="n">
        <v>1</v>
      </c>
      <c r="H78" s="29" t="n">
        <f aca="false">IF(COUNT(D78:G78)=0,0,D78*IF(E78="",1,E78)*IF(F78="",1,F78)*IF(G78="",1,G78))</f>
        <v>1</v>
      </c>
      <c r="M78" s="23"/>
      <c r="N78" s="23"/>
      <c r="O78" s="23"/>
    </row>
    <row r="79" customFormat="false" ht="15" hidden="false" customHeight="true" outlineLevel="0" collapsed="false">
      <c r="H79" s="30"/>
      <c r="I79" s="31" t="n">
        <f aca="false">ROUND(SUM(H78:H78),2)</f>
        <v>1</v>
      </c>
      <c r="J79" s="32" t="n">
        <v>120</v>
      </c>
      <c r="K79" s="31" t="n">
        <f aca="false">ROUND(I79*J79,2)</f>
        <v>120</v>
      </c>
      <c r="L79" s="33" t="s">
        <v>122</v>
      </c>
      <c r="M79" s="23" t="s">
        <v>123</v>
      </c>
      <c r="N79" s="23" t="s">
        <v>13</v>
      </c>
      <c r="O79" s="23"/>
    </row>
    <row r="80" customFormat="false" ht="15" hidden="false" customHeight="true" outlineLevel="0" collapsed="false">
      <c r="A80" s="3" t="s">
        <v>184</v>
      </c>
      <c r="B80" s="3" t="s">
        <v>129</v>
      </c>
      <c r="C80" s="3" t="s">
        <v>185</v>
      </c>
      <c r="M80" s="23"/>
      <c r="N80" s="23"/>
      <c r="O80" s="23"/>
    </row>
    <row r="81" customFormat="false" ht="36" hidden="false" customHeight="true" outlineLevel="0" collapsed="false">
      <c r="C81" s="26" t="s">
        <v>186</v>
      </c>
      <c r="M81" s="23"/>
      <c r="N81" s="23"/>
      <c r="O81" s="23"/>
    </row>
    <row r="82" customFormat="false" ht="15" hidden="false" customHeight="true" outlineLevel="0" collapsed="false">
      <c r="C82" s="27" t="s">
        <v>183</v>
      </c>
      <c r="D82" s="28" t="n">
        <v>1</v>
      </c>
      <c r="H82" s="29" t="n">
        <f aca="false">IF(COUNT(D82:G82)=0,0,D82*IF(E82="",1,E82)*IF(F82="",1,F82)*IF(G82="",1,G82))</f>
        <v>1</v>
      </c>
      <c r="M82" s="23"/>
      <c r="N82" s="23"/>
      <c r="O82" s="23"/>
    </row>
    <row r="83" customFormat="false" ht="15" hidden="false" customHeight="true" outlineLevel="0" collapsed="false">
      <c r="H83" s="30"/>
      <c r="I83" s="31" t="n">
        <f aca="false">ROUND(SUM(H82:H82),2)</f>
        <v>1</v>
      </c>
      <c r="J83" s="32" t="n">
        <v>300</v>
      </c>
      <c r="K83" s="31" t="n">
        <f aca="false">ROUND(I83*J83,2)</f>
        <v>300</v>
      </c>
      <c r="L83" s="33" t="s">
        <v>122</v>
      </c>
      <c r="M83" s="23" t="s">
        <v>123</v>
      </c>
      <c r="N83" s="23" t="s">
        <v>13</v>
      </c>
      <c r="O83" s="23"/>
    </row>
    <row r="84" customFormat="false" ht="15" hidden="false" customHeight="true" outlineLevel="0" collapsed="false">
      <c r="A84" s="3" t="s">
        <v>187</v>
      </c>
      <c r="B84" s="3" t="s">
        <v>129</v>
      </c>
      <c r="C84" s="3" t="s">
        <v>188</v>
      </c>
      <c r="M84" s="23"/>
      <c r="N84" s="23"/>
      <c r="O84" s="23"/>
    </row>
    <row r="85" customFormat="false" ht="36" hidden="false" customHeight="true" outlineLevel="0" collapsed="false">
      <c r="C85" s="26" t="s">
        <v>189</v>
      </c>
      <c r="M85" s="23"/>
      <c r="N85" s="23"/>
      <c r="O85" s="23"/>
    </row>
    <row r="86" customFormat="false" ht="15" hidden="false" customHeight="true" outlineLevel="0" collapsed="false">
      <c r="C86" s="27" t="s">
        <v>183</v>
      </c>
      <c r="D86" s="28" t="n">
        <v>1</v>
      </c>
      <c r="H86" s="29" t="n">
        <f aca="false">IF(COUNT(D86:G86)=0,0,D86*IF(E86="",1,E86)*IF(F86="",1,F86)*IF(G86="",1,G86))</f>
        <v>1</v>
      </c>
      <c r="M86" s="23"/>
      <c r="N86" s="23"/>
      <c r="O86" s="23"/>
    </row>
    <row r="87" customFormat="false" ht="15" hidden="false" customHeight="true" outlineLevel="0" collapsed="false">
      <c r="H87" s="30"/>
      <c r="I87" s="31" t="n">
        <f aca="false">ROUND(SUM(H86:H86),2)</f>
        <v>1</v>
      </c>
      <c r="J87" s="32" t="n">
        <v>1045.5</v>
      </c>
      <c r="K87" s="31" t="n">
        <f aca="false">ROUND(I87*J87,2)</f>
        <v>1045.5</v>
      </c>
      <c r="L87" s="33" t="s">
        <v>122</v>
      </c>
      <c r="M87" s="23" t="s">
        <v>123</v>
      </c>
      <c r="N87" s="23" t="s">
        <v>13</v>
      </c>
      <c r="O87" s="23"/>
    </row>
    <row r="88" customFormat="false" ht="15" hidden="false" customHeight="true" outlineLevel="0" collapsed="false">
      <c r="C88" s="34" t="s">
        <v>190</v>
      </c>
      <c r="K88" s="14" t="n">
        <f aca="false">SUMIFS($K$5:$K$87,$M$5:$M$87,"P",$N$5:$N$87,"D03")</f>
        <v>9643.5</v>
      </c>
      <c r="M88" s="23"/>
      <c r="N88" s="23"/>
      <c r="O88" s="23"/>
    </row>
    <row r="89" customFormat="false" ht="15" hidden="false" customHeight="true" outlineLevel="0" collapsed="false">
      <c r="M89" s="23"/>
      <c r="N89" s="23"/>
      <c r="O89" s="23"/>
    </row>
    <row r="90" customFormat="false" ht="15" hidden="false" customHeight="true" outlineLevel="0" collapsed="false">
      <c r="A90" s="24" t="s">
        <v>15</v>
      </c>
      <c r="B90" s="25"/>
      <c r="C90" s="24" t="s">
        <v>16</v>
      </c>
      <c r="D90" s="25"/>
      <c r="E90" s="25"/>
      <c r="F90" s="25"/>
      <c r="G90" s="25"/>
      <c r="H90" s="25"/>
      <c r="I90" s="25"/>
      <c r="J90" s="25"/>
      <c r="K90" s="25"/>
      <c r="L90" s="25"/>
      <c r="M90" s="23" t="s">
        <v>115</v>
      </c>
      <c r="N90" s="23" t="s">
        <v>15</v>
      </c>
      <c r="O90" s="23"/>
    </row>
    <row r="91" customFormat="false" ht="15" hidden="false" customHeight="true" outlineLevel="0" collapsed="false">
      <c r="A91" s="3" t="s">
        <v>191</v>
      </c>
      <c r="B91" s="3" t="s">
        <v>140</v>
      </c>
      <c r="C91" s="3" t="s">
        <v>192</v>
      </c>
      <c r="M91" s="23"/>
      <c r="N91" s="23"/>
      <c r="O91" s="23"/>
    </row>
    <row r="92" customFormat="false" ht="36" hidden="false" customHeight="true" outlineLevel="0" collapsed="false">
      <c r="C92" s="26" t="s">
        <v>193</v>
      </c>
      <c r="M92" s="23"/>
      <c r="N92" s="23"/>
      <c r="O92" s="23"/>
    </row>
    <row r="93" customFormat="false" ht="15" hidden="false" customHeight="true" outlineLevel="0" collapsed="false">
      <c r="C93" s="27" t="s">
        <v>194</v>
      </c>
      <c r="D93" s="28" t="n">
        <v>1</v>
      </c>
      <c r="E93" s="28" t="n">
        <v>8</v>
      </c>
      <c r="H93" s="29" t="n">
        <f aca="false">IF(COUNT(D93:G93)=0,0,D93*IF(E93="",1,E93)*IF(F93="",1,F93)*IF(G93="",1,G93))</f>
        <v>8</v>
      </c>
      <c r="M93" s="23"/>
      <c r="N93" s="23"/>
      <c r="O93" s="23"/>
    </row>
    <row r="94" customFormat="false" ht="15" hidden="false" customHeight="true" outlineLevel="0" collapsed="false">
      <c r="C94" s="27" t="s">
        <v>195</v>
      </c>
      <c r="D94" s="28" t="n">
        <v>1</v>
      </c>
      <c r="E94" s="28" t="n">
        <v>5</v>
      </c>
      <c r="H94" s="29" t="n">
        <f aca="false">IF(COUNT(D94:G94)=0,0,D94*IF(E94="",1,E94)*IF(F94="",1,F94)*IF(G94="",1,G94))</f>
        <v>5</v>
      </c>
      <c r="M94" s="23"/>
      <c r="N94" s="23"/>
      <c r="O94" s="23"/>
    </row>
    <row r="95" customFormat="false" ht="15" hidden="false" customHeight="true" outlineLevel="0" collapsed="false">
      <c r="H95" s="30"/>
      <c r="I95" s="31" t="n">
        <f aca="false">ROUND(SUM(H93:H94),2)</f>
        <v>13</v>
      </c>
      <c r="J95" s="32" t="n">
        <v>14</v>
      </c>
      <c r="K95" s="31" t="n">
        <f aca="false">ROUND(I95*J95,2)</f>
        <v>182</v>
      </c>
      <c r="L95" s="33" t="s">
        <v>122</v>
      </c>
      <c r="M95" s="23" t="s">
        <v>123</v>
      </c>
      <c r="N95" s="23" t="s">
        <v>15</v>
      </c>
      <c r="O95" s="23"/>
    </row>
    <row r="96" customFormat="false" ht="15" hidden="false" customHeight="true" outlineLevel="0" collapsed="false">
      <c r="A96" s="3" t="s">
        <v>196</v>
      </c>
      <c r="B96" s="3" t="s">
        <v>129</v>
      </c>
      <c r="C96" s="3" t="s">
        <v>197</v>
      </c>
      <c r="M96" s="23"/>
      <c r="N96" s="23"/>
      <c r="O96" s="23"/>
    </row>
    <row r="97" customFormat="false" ht="36" hidden="false" customHeight="true" outlineLevel="0" collapsed="false">
      <c r="C97" s="26" t="s">
        <v>198</v>
      </c>
      <c r="M97" s="23"/>
      <c r="N97" s="23"/>
      <c r="O97" s="23"/>
    </row>
    <row r="98" customFormat="false" ht="15" hidden="false" customHeight="true" outlineLevel="0" collapsed="false">
      <c r="C98" s="27" t="s">
        <v>194</v>
      </c>
      <c r="D98" s="28" t="n">
        <v>1</v>
      </c>
      <c r="H98" s="29" t="n">
        <f aca="false">IF(COUNT(D98:G98)=0,0,D98*IF(E98="",1,E98)*IF(F98="",1,F98)*IF(G98="",1,G98))</f>
        <v>1</v>
      </c>
      <c r="M98" s="23"/>
      <c r="N98" s="23"/>
      <c r="O98" s="23"/>
    </row>
    <row r="99" customFormat="false" ht="15" hidden="false" customHeight="true" outlineLevel="0" collapsed="false">
      <c r="H99" s="30"/>
      <c r="I99" s="31" t="n">
        <f aca="false">ROUND(SUM(H98:H98),2)</f>
        <v>1</v>
      </c>
      <c r="J99" s="32" t="n">
        <v>640</v>
      </c>
      <c r="K99" s="31" t="n">
        <f aca="false">ROUND(I99*J99,2)</f>
        <v>640</v>
      </c>
      <c r="L99" s="33" t="s">
        <v>122</v>
      </c>
      <c r="M99" s="23" t="s">
        <v>123</v>
      </c>
      <c r="N99" s="23" t="s">
        <v>15</v>
      </c>
      <c r="O99" s="23"/>
    </row>
    <row r="100" customFormat="false" ht="15" hidden="false" customHeight="true" outlineLevel="0" collapsed="false">
      <c r="A100" s="3" t="s">
        <v>199</v>
      </c>
      <c r="B100" s="3" t="s">
        <v>129</v>
      </c>
      <c r="C100" s="3" t="s">
        <v>200</v>
      </c>
      <c r="M100" s="23"/>
      <c r="N100" s="23"/>
      <c r="O100" s="23"/>
    </row>
    <row r="101" customFormat="false" ht="24" hidden="false" customHeight="true" outlineLevel="0" collapsed="false">
      <c r="C101" s="26" t="s">
        <v>201</v>
      </c>
      <c r="M101" s="23"/>
      <c r="N101" s="23"/>
      <c r="O101" s="23"/>
    </row>
    <row r="102" customFormat="false" ht="15" hidden="false" customHeight="true" outlineLevel="0" collapsed="false">
      <c r="C102" s="27" t="s">
        <v>183</v>
      </c>
      <c r="D102" s="28" t="n">
        <v>1</v>
      </c>
      <c r="H102" s="29" t="n">
        <f aca="false">IF(COUNT(D102:G102)=0,0,D102*IF(E102="",1,E102)*IF(F102="",1,F102)*IF(G102="",1,G102))</f>
        <v>1</v>
      </c>
      <c r="M102" s="23"/>
      <c r="N102" s="23"/>
      <c r="O102" s="23"/>
    </row>
    <row r="103" customFormat="false" ht="15" hidden="false" customHeight="true" outlineLevel="0" collapsed="false">
      <c r="H103" s="30"/>
      <c r="I103" s="31" t="n">
        <f aca="false">ROUND(SUM(H102:H102),2)</f>
        <v>1</v>
      </c>
      <c r="J103" s="32" t="n">
        <v>260</v>
      </c>
      <c r="K103" s="31" t="n">
        <f aca="false">ROUND(I103*J103,2)</f>
        <v>260</v>
      </c>
      <c r="L103" s="33" t="s">
        <v>122</v>
      </c>
      <c r="M103" s="23" t="s">
        <v>123</v>
      </c>
      <c r="N103" s="23" t="s">
        <v>15</v>
      </c>
      <c r="O103" s="23"/>
    </row>
    <row r="104" customFormat="false" ht="15" hidden="false" customHeight="true" outlineLevel="0" collapsed="false">
      <c r="A104" s="3" t="s">
        <v>202</v>
      </c>
      <c r="B104" s="3" t="s">
        <v>129</v>
      </c>
      <c r="C104" s="3" t="s">
        <v>203</v>
      </c>
      <c r="M104" s="23"/>
      <c r="N104" s="23"/>
      <c r="O104" s="23"/>
    </row>
    <row r="105" customFormat="false" ht="36" hidden="false" customHeight="true" outlineLevel="0" collapsed="false">
      <c r="C105" s="26" t="s">
        <v>204</v>
      </c>
      <c r="M105" s="23"/>
      <c r="N105" s="23"/>
      <c r="O105" s="23"/>
    </row>
    <row r="106" customFormat="false" ht="15" hidden="false" customHeight="true" outlineLevel="0" collapsed="false">
      <c r="C106" s="27" t="s">
        <v>183</v>
      </c>
      <c r="D106" s="28" t="n">
        <v>1</v>
      </c>
      <c r="H106" s="29" t="n">
        <f aca="false">IF(COUNT(D106:G106)=0,0,D106*IF(E106="",1,E106)*IF(F106="",1,F106)*IF(G106="",1,G106))</f>
        <v>1</v>
      </c>
      <c r="M106" s="23"/>
      <c r="N106" s="23"/>
      <c r="O106" s="23"/>
    </row>
    <row r="107" customFormat="false" ht="15" hidden="false" customHeight="true" outlineLevel="0" collapsed="false">
      <c r="H107" s="30"/>
      <c r="I107" s="31" t="n">
        <f aca="false">ROUND(SUM(H106:H106),2)</f>
        <v>1</v>
      </c>
      <c r="J107" s="32" t="n">
        <v>190</v>
      </c>
      <c r="K107" s="31" t="n">
        <f aca="false">ROUND(I107*J107,2)</f>
        <v>190</v>
      </c>
      <c r="L107" s="33" t="s">
        <v>122</v>
      </c>
      <c r="M107" s="23" t="s">
        <v>123</v>
      </c>
      <c r="N107" s="23" t="s">
        <v>15</v>
      </c>
      <c r="O107" s="23"/>
    </row>
    <row r="108" customFormat="false" ht="15" hidden="false" customHeight="true" outlineLevel="0" collapsed="false">
      <c r="A108" s="3" t="s">
        <v>205</v>
      </c>
      <c r="B108" s="3" t="s">
        <v>129</v>
      </c>
      <c r="C108" s="3" t="s">
        <v>206</v>
      </c>
      <c r="M108" s="23"/>
      <c r="N108" s="23"/>
      <c r="O108" s="23"/>
    </row>
    <row r="109" customFormat="false" ht="36" hidden="false" customHeight="true" outlineLevel="0" collapsed="false">
      <c r="C109" s="26" t="s">
        <v>207</v>
      </c>
      <c r="M109" s="23"/>
      <c r="N109" s="23"/>
      <c r="O109" s="23"/>
    </row>
    <row r="110" customFormat="false" ht="15" hidden="false" customHeight="true" outlineLevel="0" collapsed="false">
      <c r="C110" s="27" t="s">
        <v>183</v>
      </c>
      <c r="D110" s="28" t="n">
        <v>1</v>
      </c>
      <c r="H110" s="29" t="n">
        <f aca="false">IF(COUNT(D110:G110)=0,0,D110*IF(E110="",1,E110)*IF(F110="",1,F110)*IF(G110="",1,G110))</f>
        <v>1</v>
      </c>
      <c r="M110" s="23"/>
      <c r="N110" s="23"/>
      <c r="O110" s="23"/>
    </row>
    <row r="111" customFormat="false" ht="15" hidden="false" customHeight="true" outlineLevel="0" collapsed="false">
      <c r="H111" s="30"/>
      <c r="I111" s="31" t="n">
        <f aca="false">ROUND(SUM(H110:H110),2)</f>
        <v>1</v>
      </c>
      <c r="J111" s="32" t="n">
        <v>178</v>
      </c>
      <c r="K111" s="31" t="n">
        <f aca="false">ROUND(I111*J111,2)</f>
        <v>178</v>
      </c>
      <c r="L111" s="33" t="s">
        <v>122</v>
      </c>
      <c r="M111" s="23" t="s">
        <v>123</v>
      </c>
      <c r="N111" s="23" t="s">
        <v>15</v>
      </c>
      <c r="O111" s="23"/>
    </row>
    <row r="112" customFormat="false" ht="15" hidden="false" customHeight="true" outlineLevel="0" collapsed="false">
      <c r="C112" s="34" t="s">
        <v>208</v>
      </c>
      <c r="K112" s="14" t="n">
        <f aca="false">SUMIFS($K$5:$K$111,$M$5:$M$111,"P",$N$5:$N$111,"D04")</f>
        <v>1450</v>
      </c>
      <c r="M112" s="23"/>
      <c r="N112" s="23"/>
      <c r="O112" s="23"/>
    </row>
    <row r="113" customFormat="false" ht="15" hidden="false" customHeight="true" outlineLevel="0" collapsed="false">
      <c r="M113" s="23"/>
      <c r="N113" s="23"/>
      <c r="O113" s="23"/>
    </row>
    <row r="114" customFormat="false" ht="15" hidden="false" customHeight="true" outlineLevel="0" collapsed="false">
      <c r="A114" s="22" t="s">
        <v>18</v>
      </c>
      <c r="B114" s="7"/>
      <c r="C114" s="22" t="s">
        <v>19</v>
      </c>
      <c r="D114" s="7"/>
      <c r="E114" s="7"/>
      <c r="F114" s="7"/>
      <c r="G114" s="7"/>
      <c r="H114" s="7"/>
      <c r="I114" s="7"/>
      <c r="J114" s="7"/>
      <c r="K114" s="7"/>
      <c r="L114" s="7"/>
      <c r="M114" s="23"/>
      <c r="N114" s="23"/>
      <c r="O114" s="23"/>
    </row>
    <row r="115" customFormat="false" ht="15" hidden="false" customHeight="true" outlineLevel="0" collapsed="false">
      <c r="M115" s="23"/>
      <c r="N115" s="23"/>
      <c r="O115" s="23"/>
    </row>
    <row r="116" customFormat="false" ht="15" hidden="false" customHeight="true" outlineLevel="0" collapsed="false">
      <c r="A116" s="24" t="s">
        <v>20</v>
      </c>
      <c r="B116" s="25"/>
      <c r="C116" s="24" t="s">
        <v>21</v>
      </c>
      <c r="D116" s="25"/>
      <c r="E116" s="25"/>
      <c r="F116" s="25"/>
      <c r="G116" s="25"/>
      <c r="H116" s="25"/>
      <c r="I116" s="25"/>
      <c r="J116" s="25"/>
      <c r="K116" s="25"/>
      <c r="L116" s="25"/>
      <c r="M116" s="23" t="s">
        <v>115</v>
      </c>
      <c r="N116" s="23" t="s">
        <v>20</v>
      </c>
      <c r="O116" s="23"/>
    </row>
    <row r="117" customFormat="false" ht="15" hidden="false" customHeight="true" outlineLevel="0" collapsed="false">
      <c r="A117" s="3" t="s">
        <v>209</v>
      </c>
      <c r="B117" s="3" t="s">
        <v>129</v>
      </c>
      <c r="C117" s="3" t="s">
        <v>210</v>
      </c>
      <c r="M117" s="23"/>
      <c r="N117" s="23"/>
      <c r="O117" s="23"/>
    </row>
    <row r="118" customFormat="false" ht="60" hidden="false" customHeight="true" outlineLevel="0" collapsed="false">
      <c r="C118" s="26" t="s">
        <v>211</v>
      </c>
      <c r="M118" s="23"/>
      <c r="N118" s="23"/>
      <c r="O118" s="23"/>
    </row>
    <row r="119" customFormat="false" ht="15" hidden="false" customHeight="true" outlineLevel="0" collapsed="false">
      <c r="C119" s="27" t="s">
        <v>132</v>
      </c>
      <c r="D119" s="28" t="n">
        <v>1</v>
      </c>
      <c r="H119" s="29" t="n">
        <f aca="false">IF(COUNT(D119:G119)=0,0,D119*IF(E119="",1,E119)*IF(F119="",1,F119)*IF(G119="",1,G119))</f>
        <v>1</v>
      </c>
      <c r="M119" s="23"/>
      <c r="N119" s="23"/>
      <c r="O119" s="23"/>
    </row>
    <row r="120" customFormat="false" ht="15" hidden="false" customHeight="true" outlineLevel="0" collapsed="false">
      <c r="H120" s="30"/>
      <c r="I120" s="31" t="n">
        <f aca="false">ROUND(SUM(H119:H119),2)</f>
        <v>1</v>
      </c>
      <c r="J120" s="32" t="n">
        <v>138.13</v>
      </c>
      <c r="K120" s="31" t="n">
        <f aca="false">ROUND(I120*J120,2)</f>
        <v>138.13</v>
      </c>
      <c r="L120" s="33" t="s">
        <v>212</v>
      </c>
      <c r="M120" s="23" t="s">
        <v>123</v>
      </c>
      <c r="N120" s="23" t="s">
        <v>20</v>
      </c>
      <c r="O120" s="23"/>
    </row>
    <row r="121" customFormat="false" ht="15" hidden="false" customHeight="true" outlineLevel="0" collapsed="false">
      <c r="A121" s="3" t="s">
        <v>213</v>
      </c>
      <c r="B121" s="3" t="s">
        <v>129</v>
      </c>
      <c r="C121" s="3" t="s">
        <v>214</v>
      </c>
      <c r="M121" s="23"/>
      <c r="N121" s="23"/>
      <c r="O121" s="23"/>
    </row>
    <row r="122" customFormat="false" ht="72" hidden="false" customHeight="true" outlineLevel="0" collapsed="false">
      <c r="C122" s="26" t="s">
        <v>215</v>
      </c>
      <c r="M122" s="23"/>
      <c r="N122" s="23"/>
      <c r="O122" s="23"/>
    </row>
    <row r="123" customFormat="false" ht="15" hidden="false" customHeight="true" outlineLevel="0" collapsed="false">
      <c r="C123" s="27" t="s">
        <v>132</v>
      </c>
      <c r="D123" s="28" t="n">
        <v>1</v>
      </c>
      <c r="H123" s="29" t="n">
        <f aca="false">IF(COUNT(D123:G123)=0,0,D123*IF(E123="",1,E123)*IF(F123="",1,F123)*IF(G123="",1,G123))</f>
        <v>1</v>
      </c>
      <c r="M123" s="23"/>
      <c r="N123" s="23"/>
      <c r="O123" s="23"/>
    </row>
    <row r="124" customFormat="false" ht="15" hidden="false" customHeight="true" outlineLevel="0" collapsed="false">
      <c r="H124" s="30"/>
      <c r="I124" s="31" t="n">
        <f aca="false">ROUND(SUM(H123:H123),2)</f>
        <v>1</v>
      </c>
      <c r="J124" s="32" t="n">
        <v>136.54</v>
      </c>
      <c r="K124" s="31" t="n">
        <f aca="false">ROUND(I124*J124,2)</f>
        <v>136.54</v>
      </c>
      <c r="L124" s="33" t="s">
        <v>212</v>
      </c>
      <c r="M124" s="23" t="s">
        <v>123</v>
      </c>
      <c r="N124" s="23" t="s">
        <v>20</v>
      </c>
      <c r="O124" s="23"/>
    </row>
    <row r="125" customFormat="false" ht="15" hidden="false" customHeight="true" outlineLevel="0" collapsed="false">
      <c r="A125" s="3" t="s">
        <v>216</v>
      </c>
      <c r="B125" s="3" t="s">
        <v>129</v>
      </c>
      <c r="C125" s="3" t="s">
        <v>217</v>
      </c>
      <c r="M125" s="23"/>
      <c r="N125" s="23"/>
      <c r="O125" s="23"/>
    </row>
    <row r="126" customFormat="false" ht="72" hidden="false" customHeight="true" outlineLevel="0" collapsed="false">
      <c r="C126" s="26" t="s">
        <v>218</v>
      </c>
      <c r="M126" s="23"/>
      <c r="N126" s="23"/>
      <c r="O126" s="23"/>
    </row>
    <row r="127" customFormat="false" ht="15" hidden="false" customHeight="true" outlineLevel="0" collapsed="false">
      <c r="C127" s="27" t="s">
        <v>132</v>
      </c>
      <c r="D127" s="28" t="n">
        <v>1</v>
      </c>
      <c r="H127" s="29" t="n">
        <f aca="false">IF(COUNT(D127:G127)=0,0,D127*IF(E127="",1,E127)*IF(F127="",1,F127)*IF(G127="",1,G127))</f>
        <v>1</v>
      </c>
      <c r="M127" s="23"/>
      <c r="N127" s="23"/>
      <c r="O127" s="23"/>
    </row>
    <row r="128" customFormat="false" ht="15" hidden="false" customHeight="true" outlineLevel="0" collapsed="false">
      <c r="H128" s="30"/>
      <c r="I128" s="31" t="n">
        <f aca="false">ROUND(SUM(H127:H127),2)</f>
        <v>1</v>
      </c>
      <c r="J128" s="32" t="n">
        <v>136.54</v>
      </c>
      <c r="K128" s="31" t="n">
        <f aca="false">ROUND(I128*J128,2)</f>
        <v>136.54</v>
      </c>
      <c r="L128" s="33" t="s">
        <v>212</v>
      </c>
      <c r="M128" s="23" t="s">
        <v>123</v>
      </c>
      <c r="N128" s="23" t="s">
        <v>20</v>
      </c>
      <c r="O128" s="23"/>
    </row>
    <row r="129" customFormat="false" ht="15" hidden="false" customHeight="true" outlineLevel="0" collapsed="false">
      <c r="A129" s="3" t="s">
        <v>219</v>
      </c>
      <c r="B129" s="3" t="s">
        <v>129</v>
      </c>
      <c r="C129" s="3" t="s">
        <v>220</v>
      </c>
      <c r="M129" s="23"/>
      <c r="N129" s="23"/>
      <c r="O129" s="23"/>
    </row>
    <row r="130" customFormat="false" ht="60" hidden="false" customHeight="true" outlineLevel="0" collapsed="false">
      <c r="C130" s="26" t="s">
        <v>221</v>
      </c>
      <c r="M130" s="23"/>
      <c r="N130" s="23"/>
      <c r="O130" s="23"/>
    </row>
    <row r="131" customFormat="false" ht="15" hidden="false" customHeight="true" outlineLevel="0" collapsed="false">
      <c r="C131" s="27" t="s">
        <v>132</v>
      </c>
      <c r="D131" s="28" t="n">
        <v>1</v>
      </c>
      <c r="H131" s="29" t="n">
        <f aca="false">IF(COUNT(D131:G131)=0,0,D131*IF(E131="",1,E131)*IF(F131="",1,F131)*IF(G131="",1,G131))</f>
        <v>1</v>
      </c>
      <c r="M131" s="23"/>
      <c r="N131" s="23"/>
      <c r="O131" s="23"/>
    </row>
    <row r="132" customFormat="false" ht="15" hidden="false" customHeight="true" outlineLevel="0" collapsed="false">
      <c r="H132" s="30"/>
      <c r="I132" s="31" t="n">
        <f aca="false">ROUND(SUM(H131:H131),2)</f>
        <v>1</v>
      </c>
      <c r="J132" s="32" t="n">
        <v>136.54</v>
      </c>
      <c r="K132" s="31" t="n">
        <f aca="false">ROUND(I132*J132,2)</f>
        <v>136.54</v>
      </c>
      <c r="L132" s="33" t="s">
        <v>212</v>
      </c>
      <c r="M132" s="23" t="s">
        <v>123</v>
      </c>
      <c r="N132" s="23" t="s">
        <v>20</v>
      </c>
      <c r="O132" s="23"/>
    </row>
    <row r="133" customFormat="false" ht="15" hidden="false" customHeight="true" outlineLevel="0" collapsed="false">
      <c r="A133" s="3" t="s">
        <v>222</v>
      </c>
      <c r="B133" s="3" t="s">
        <v>129</v>
      </c>
      <c r="C133" s="3" t="s">
        <v>223</v>
      </c>
      <c r="M133" s="23"/>
      <c r="N133" s="23"/>
      <c r="O133" s="23"/>
    </row>
    <row r="134" customFormat="false" ht="108" hidden="false" customHeight="true" outlineLevel="0" collapsed="false">
      <c r="C134" s="26" t="s">
        <v>224</v>
      </c>
      <c r="M134" s="23"/>
      <c r="N134" s="23"/>
      <c r="O134" s="23"/>
    </row>
    <row r="135" customFormat="false" ht="15" hidden="false" customHeight="true" outlineLevel="0" collapsed="false">
      <c r="C135" s="27" t="s">
        <v>132</v>
      </c>
      <c r="D135" s="28" t="n">
        <v>1</v>
      </c>
      <c r="H135" s="29" t="n">
        <f aca="false">IF(COUNT(D135:G135)=0,0,D135*IF(E135="",1,E135)*IF(F135="",1,F135)*IF(G135="",1,G135))</f>
        <v>1</v>
      </c>
      <c r="M135" s="23"/>
      <c r="N135" s="23"/>
      <c r="O135" s="23"/>
    </row>
    <row r="136" customFormat="false" ht="15" hidden="false" customHeight="true" outlineLevel="0" collapsed="false">
      <c r="H136" s="30"/>
      <c r="I136" s="31" t="n">
        <f aca="false">ROUND(SUM(H135:H135),2)</f>
        <v>1</v>
      </c>
      <c r="J136" s="32" t="n">
        <v>391.44</v>
      </c>
      <c r="K136" s="31" t="n">
        <f aca="false">ROUND(I136*J136,2)</f>
        <v>391.44</v>
      </c>
      <c r="L136" s="33" t="s">
        <v>212</v>
      </c>
      <c r="M136" s="23" t="s">
        <v>123</v>
      </c>
      <c r="N136" s="23" t="s">
        <v>20</v>
      </c>
      <c r="O136" s="23"/>
    </row>
    <row r="137" customFormat="false" ht="15" hidden="false" customHeight="true" outlineLevel="0" collapsed="false">
      <c r="A137" s="3" t="s">
        <v>225</v>
      </c>
      <c r="B137" s="3" t="s">
        <v>129</v>
      </c>
      <c r="C137" s="3" t="s">
        <v>226</v>
      </c>
      <c r="M137" s="23"/>
      <c r="N137" s="23"/>
      <c r="O137" s="23"/>
    </row>
    <row r="138" customFormat="false" ht="72" hidden="false" customHeight="true" outlineLevel="0" collapsed="false">
      <c r="C138" s="26" t="s">
        <v>227</v>
      </c>
      <c r="M138" s="23"/>
      <c r="N138" s="23"/>
      <c r="O138" s="23"/>
    </row>
    <row r="139" customFormat="false" ht="15" hidden="false" customHeight="true" outlineLevel="0" collapsed="false">
      <c r="C139" s="27" t="s">
        <v>132</v>
      </c>
      <c r="D139" s="28" t="n">
        <v>1</v>
      </c>
      <c r="H139" s="29" t="n">
        <f aca="false">IF(COUNT(D139:G139)=0,0,D139*IF(E139="",1,E139)*IF(F139="",1,F139)*IF(G139="",1,G139))</f>
        <v>1</v>
      </c>
      <c r="M139" s="23"/>
      <c r="N139" s="23"/>
      <c r="O139" s="23"/>
    </row>
    <row r="140" customFormat="false" ht="15" hidden="false" customHeight="true" outlineLevel="0" collapsed="false">
      <c r="H140" s="30"/>
      <c r="I140" s="31" t="n">
        <f aca="false">ROUND(SUM(H139:H139),2)</f>
        <v>1</v>
      </c>
      <c r="J140" s="32" t="n">
        <v>591.71</v>
      </c>
      <c r="K140" s="31" t="n">
        <f aca="false">ROUND(I140*J140,2)</f>
        <v>591.71</v>
      </c>
      <c r="L140" s="33" t="s">
        <v>212</v>
      </c>
      <c r="M140" s="23" t="s">
        <v>123</v>
      </c>
      <c r="N140" s="23" t="s">
        <v>20</v>
      </c>
      <c r="O140" s="23"/>
    </row>
    <row r="141" customFormat="false" ht="15" hidden="false" customHeight="true" outlineLevel="0" collapsed="false">
      <c r="C141" s="34" t="s">
        <v>228</v>
      </c>
      <c r="K141" s="14" t="n">
        <f aca="false">SUMIFS($K$5:$K$140,$M$5:$M$140,"P",$N$5:$N$140,"01")</f>
        <v>1530.9</v>
      </c>
      <c r="M141" s="23"/>
      <c r="N141" s="23"/>
      <c r="O141" s="23"/>
    </row>
    <row r="142" customFormat="false" ht="15" hidden="false" customHeight="true" outlineLevel="0" collapsed="false">
      <c r="M142" s="23"/>
      <c r="N142" s="23"/>
      <c r="O142" s="23"/>
    </row>
    <row r="143" customFormat="false" ht="15" hidden="false" customHeight="true" outlineLevel="0" collapsed="false">
      <c r="A143" s="24" t="s">
        <v>22</v>
      </c>
      <c r="B143" s="25"/>
      <c r="C143" s="24" t="s">
        <v>23</v>
      </c>
      <c r="D143" s="25"/>
      <c r="E143" s="25"/>
      <c r="F143" s="25"/>
      <c r="G143" s="25"/>
      <c r="H143" s="25"/>
      <c r="I143" s="25"/>
      <c r="J143" s="25"/>
      <c r="K143" s="25"/>
      <c r="L143" s="25"/>
      <c r="M143" s="23" t="s">
        <v>115</v>
      </c>
      <c r="N143" s="23" t="s">
        <v>22</v>
      </c>
      <c r="O143" s="23"/>
    </row>
    <row r="144" customFormat="false" ht="15" hidden="false" customHeight="true" outlineLevel="0" collapsed="false">
      <c r="A144" s="3" t="s">
        <v>229</v>
      </c>
      <c r="B144" s="3" t="s">
        <v>129</v>
      </c>
      <c r="C144" s="3" t="s">
        <v>230</v>
      </c>
      <c r="M144" s="23"/>
      <c r="N144" s="23"/>
      <c r="O144" s="23"/>
    </row>
    <row r="145" customFormat="false" ht="36" hidden="false" customHeight="true" outlineLevel="0" collapsed="false">
      <c r="C145" s="26" t="s">
        <v>231</v>
      </c>
      <c r="M145" s="23"/>
      <c r="N145" s="23"/>
      <c r="O145" s="23"/>
    </row>
    <row r="146" customFormat="false" ht="15" hidden="false" customHeight="true" outlineLevel="0" collapsed="false">
      <c r="C146" s="27" t="s">
        <v>232</v>
      </c>
      <c r="D146" s="28" t="n">
        <v>1</v>
      </c>
      <c r="H146" s="29" t="n">
        <f aca="false">IF(COUNT(D146:G146)=0,0,D146*IF(E146="",1,E146)*IF(F146="",1,F146)*IF(G146="",1,G146))</f>
        <v>1</v>
      </c>
      <c r="M146" s="23"/>
      <c r="N146" s="23"/>
      <c r="O146" s="23"/>
    </row>
    <row r="147" customFormat="false" ht="15" hidden="false" customHeight="true" outlineLevel="0" collapsed="false">
      <c r="H147" s="30"/>
      <c r="I147" s="31" t="n">
        <f aca="false">ROUND(SUM(H146:H146),2)</f>
        <v>1</v>
      </c>
      <c r="J147" s="32" t="n">
        <v>0</v>
      </c>
      <c r="K147" s="31" t="n">
        <f aca="false">ROUND(I147*J147,2)</f>
        <v>0</v>
      </c>
      <c r="L147" s="33" t="s">
        <v>122</v>
      </c>
      <c r="M147" s="23" t="s">
        <v>123</v>
      </c>
      <c r="N147" s="23" t="s">
        <v>22</v>
      </c>
      <c r="O147" s="23"/>
    </row>
    <row r="148" customFormat="false" ht="15" hidden="false" customHeight="true" outlineLevel="0" collapsed="false">
      <c r="C148" s="34" t="s">
        <v>233</v>
      </c>
      <c r="K148" s="14" t="n">
        <f aca="false">SUMIFS($K$5:$K$147,$M$5:$M$147,"P",$N$5:$N$147,"02")</f>
        <v>0</v>
      </c>
      <c r="M148" s="23"/>
      <c r="N148" s="23"/>
      <c r="O148" s="23"/>
    </row>
    <row r="149" customFormat="false" ht="15" hidden="false" customHeight="true" outlineLevel="0" collapsed="false">
      <c r="M149" s="23"/>
      <c r="N149" s="23"/>
      <c r="O149" s="23"/>
    </row>
    <row r="150" customFormat="false" ht="15" hidden="false" customHeight="true" outlineLevel="0" collapsed="false">
      <c r="A150" s="24" t="s">
        <v>24</v>
      </c>
      <c r="B150" s="25"/>
      <c r="C150" s="24" t="s">
        <v>25</v>
      </c>
      <c r="D150" s="25"/>
      <c r="E150" s="25"/>
      <c r="F150" s="25"/>
      <c r="G150" s="25"/>
      <c r="H150" s="25"/>
      <c r="I150" s="25"/>
      <c r="J150" s="25"/>
      <c r="K150" s="25"/>
      <c r="L150" s="25"/>
      <c r="M150" s="23" t="s">
        <v>115</v>
      </c>
      <c r="N150" s="23" t="s">
        <v>24</v>
      </c>
      <c r="O150" s="23"/>
    </row>
    <row r="151" customFormat="false" ht="15" hidden="false" customHeight="true" outlineLevel="0" collapsed="false">
      <c r="A151" s="3" t="s">
        <v>234</v>
      </c>
      <c r="B151" s="3" t="s">
        <v>152</v>
      </c>
      <c r="C151" s="3" t="s">
        <v>235</v>
      </c>
      <c r="M151" s="23"/>
      <c r="N151" s="23"/>
      <c r="O151" s="23"/>
    </row>
    <row r="152" customFormat="false" ht="48" hidden="false" customHeight="true" outlineLevel="0" collapsed="false">
      <c r="C152" s="26" t="s">
        <v>236</v>
      </c>
      <c r="M152" s="23"/>
      <c r="N152" s="23"/>
      <c r="O152" s="23"/>
    </row>
    <row r="153" customFormat="false" ht="15" hidden="false" customHeight="true" outlineLevel="0" collapsed="false">
      <c r="C153" s="27" t="s">
        <v>237</v>
      </c>
      <c r="D153" s="28" t="n">
        <v>1</v>
      </c>
      <c r="E153" s="28" t="n">
        <v>111</v>
      </c>
      <c r="G153" s="28" t="n">
        <v>0.6</v>
      </c>
      <c r="H153" s="29" t="n">
        <f aca="false">IF(COUNT(D153:G153)=0,0,D153*IF(E153="",1,E153)*IF(F153="",1,F153)*IF(G153="",1,G153))</f>
        <v>66.6</v>
      </c>
      <c r="M153" s="23"/>
      <c r="N153" s="23"/>
      <c r="O153" s="23"/>
    </row>
    <row r="154" customFormat="false" ht="18.75" hidden="false" customHeight="true" outlineLevel="0" collapsed="false">
      <c r="H154" s="30"/>
      <c r="I154" s="31" t="n">
        <f aca="false">ROUND(SUM(H153:H153),2)</f>
        <v>66.6</v>
      </c>
      <c r="J154" s="32" t="n">
        <v>16.5</v>
      </c>
      <c r="K154" s="31" t="n">
        <f aca="false">ROUND(I154*J154,2)</f>
        <v>1098.9</v>
      </c>
      <c r="L154" s="33" t="s">
        <v>238</v>
      </c>
      <c r="M154" s="23" t="s">
        <v>123</v>
      </c>
      <c r="N154" s="23" t="s">
        <v>24</v>
      </c>
      <c r="O154" s="23"/>
    </row>
    <row r="155" customFormat="false" ht="15" hidden="false" customHeight="true" outlineLevel="0" collapsed="false">
      <c r="A155" s="3" t="s">
        <v>239</v>
      </c>
      <c r="B155" s="3" t="s">
        <v>152</v>
      </c>
      <c r="C155" s="3" t="s">
        <v>240</v>
      </c>
      <c r="M155" s="23"/>
      <c r="N155" s="23"/>
      <c r="O155" s="23"/>
    </row>
    <row r="156" customFormat="false" ht="24" hidden="false" customHeight="true" outlineLevel="0" collapsed="false">
      <c r="C156" s="26" t="s">
        <v>241</v>
      </c>
      <c r="M156" s="23"/>
      <c r="N156" s="23"/>
      <c r="O156" s="23"/>
    </row>
    <row r="157" customFormat="false" ht="15" hidden="false" customHeight="true" outlineLevel="0" collapsed="false">
      <c r="C157" s="27" t="s">
        <v>242</v>
      </c>
      <c r="D157" s="28" t="n">
        <v>1</v>
      </c>
      <c r="E157" s="28" t="n">
        <v>69.7</v>
      </c>
      <c r="F157" s="28" t="n">
        <v>1.21</v>
      </c>
      <c r="G157" s="28" t="n">
        <v>0.6</v>
      </c>
      <c r="H157" s="29" t="n">
        <f aca="false">IF(COUNT(D157:G157)=0,0,D157*IF(E157="",1,E157)*IF(F157="",1,F157)*IF(G157="",1,G157))</f>
        <v>50.6022</v>
      </c>
      <c r="M157" s="23"/>
      <c r="N157" s="23"/>
      <c r="O157" s="23"/>
    </row>
    <row r="158" customFormat="false" ht="18.75" hidden="false" customHeight="true" outlineLevel="0" collapsed="false">
      <c r="H158" s="30"/>
      <c r="I158" s="31" t="n">
        <f aca="false">ROUND(SUM(H157:H157),2)</f>
        <v>50.6</v>
      </c>
      <c r="J158" s="32" t="n">
        <v>24</v>
      </c>
      <c r="K158" s="31" t="n">
        <f aca="false">ROUND(I158*J158,2)</f>
        <v>1214.4</v>
      </c>
      <c r="L158" s="33" t="s">
        <v>238</v>
      </c>
      <c r="M158" s="23" t="s">
        <v>123</v>
      </c>
      <c r="N158" s="23" t="s">
        <v>24</v>
      </c>
      <c r="O158" s="23"/>
    </row>
    <row r="159" customFormat="false" ht="15" hidden="false" customHeight="true" outlineLevel="0" collapsed="false">
      <c r="A159" s="3" t="s">
        <v>243</v>
      </c>
      <c r="B159" s="3" t="s">
        <v>152</v>
      </c>
      <c r="C159" s="3" t="s">
        <v>244</v>
      </c>
      <c r="M159" s="23"/>
      <c r="N159" s="23"/>
      <c r="O159" s="23"/>
    </row>
    <row r="160" customFormat="false" ht="24" hidden="false" customHeight="true" outlineLevel="0" collapsed="false">
      <c r="C160" s="26" t="s">
        <v>245</v>
      </c>
      <c r="M160" s="23"/>
      <c r="N160" s="23"/>
      <c r="O160" s="23"/>
    </row>
    <row r="161" customFormat="false" ht="15" hidden="false" customHeight="true" outlineLevel="0" collapsed="false">
      <c r="C161" s="27" t="s">
        <v>246</v>
      </c>
      <c r="D161" s="28" t="n">
        <v>1.25</v>
      </c>
      <c r="E161" s="28" t="n">
        <v>111</v>
      </c>
      <c r="G161" s="28" t="n">
        <v>0.6</v>
      </c>
      <c r="H161" s="29" t="n">
        <f aca="false">IF(COUNT(D161:G161)=0,0,D161*IF(E161="",1,E161)*IF(F161="",1,F161)*IF(G161="",1,G161))</f>
        <v>83.25</v>
      </c>
      <c r="M161" s="23"/>
      <c r="N161" s="23"/>
      <c r="O161" s="23"/>
    </row>
    <row r="162" customFormat="false" ht="15" hidden="false" customHeight="true" outlineLevel="0" collapsed="false">
      <c r="C162" s="27" t="s">
        <v>247</v>
      </c>
      <c r="D162" s="28" t="n">
        <v>1.25</v>
      </c>
      <c r="E162" s="28" t="n">
        <v>69.7</v>
      </c>
      <c r="F162" s="28" t="n">
        <v>1.21</v>
      </c>
      <c r="G162" s="28" t="n">
        <v>0.6</v>
      </c>
      <c r="H162" s="29" t="n">
        <f aca="false">IF(COUNT(D162:G162)=0,0,D162*IF(E162="",1,E162)*IF(F162="",1,F162)*IF(G162="",1,G162))</f>
        <v>63.25275</v>
      </c>
      <c r="M162" s="23"/>
      <c r="N162" s="23"/>
      <c r="O162" s="23"/>
    </row>
    <row r="163" customFormat="false" ht="18.75" hidden="false" customHeight="true" outlineLevel="0" collapsed="false">
      <c r="H163" s="30"/>
      <c r="I163" s="31" t="n">
        <f aca="false">ROUND(SUM(H161:H162),2)</f>
        <v>146.5</v>
      </c>
      <c r="J163" s="32" t="n">
        <v>10.5</v>
      </c>
      <c r="K163" s="31" t="n">
        <f aca="false">ROUND(I163*J163,2)</f>
        <v>1538.25</v>
      </c>
      <c r="L163" s="33" t="s">
        <v>238</v>
      </c>
      <c r="M163" s="23" t="s">
        <v>123</v>
      </c>
      <c r="N163" s="23" t="s">
        <v>24</v>
      </c>
      <c r="O163" s="23"/>
    </row>
    <row r="164" customFormat="false" ht="15" hidden="false" customHeight="true" outlineLevel="0" collapsed="false">
      <c r="A164" s="3" t="s">
        <v>248</v>
      </c>
      <c r="B164" s="3" t="s">
        <v>152</v>
      </c>
      <c r="C164" s="3" t="s">
        <v>249</v>
      </c>
      <c r="M164" s="23"/>
      <c r="N164" s="23"/>
      <c r="O164" s="23"/>
    </row>
    <row r="165" customFormat="false" ht="24" hidden="false" customHeight="true" outlineLevel="0" collapsed="false">
      <c r="C165" s="26" t="s">
        <v>250</v>
      </c>
      <c r="M165" s="23"/>
      <c r="N165" s="23"/>
      <c r="O165" s="23"/>
    </row>
    <row r="166" customFormat="false" ht="15" hidden="false" customHeight="true" outlineLevel="0" collapsed="false">
      <c r="C166" s="27" t="s">
        <v>159</v>
      </c>
      <c r="D166" s="28" t="n">
        <v>1</v>
      </c>
      <c r="E166" s="28" t="n">
        <v>111</v>
      </c>
      <c r="G166" s="28" t="n">
        <v>0.2</v>
      </c>
      <c r="H166" s="29" t="n">
        <f aca="false">IF(COUNT(D166:G166)=0,0,D166*IF(E166="",1,E166)*IF(F166="",1,F166)*IF(G166="",1,G166))</f>
        <v>22.2</v>
      </c>
      <c r="M166" s="23"/>
      <c r="N166" s="23"/>
      <c r="O166" s="23"/>
    </row>
    <row r="167" customFormat="false" ht="18.75" hidden="false" customHeight="true" outlineLevel="0" collapsed="false">
      <c r="H167" s="30"/>
      <c r="I167" s="31" t="n">
        <f aca="false">ROUND(SUM(H166:H166),2)</f>
        <v>22.2</v>
      </c>
      <c r="J167" s="32" t="n">
        <v>34</v>
      </c>
      <c r="K167" s="31" t="n">
        <f aca="false">ROUND(I167*J167,2)</f>
        <v>754.8</v>
      </c>
      <c r="L167" s="33" t="s">
        <v>238</v>
      </c>
      <c r="M167" s="23" t="s">
        <v>123</v>
      </c>
      <c r="N167" s="23" t="s">
        <v>24</v>
      </c>
      <c r="O167" s="23"/>
    </row>
    <row r="168" customFormat="false" ht="15" hidden="false" customHeight="true" outlineLevel="0" collapsed="false">
      <c r="A168" s="3" t="s">
        <v>251</v>
      </c>
      <c r="B168" s="3" t="s">
        <v>117</v>
      </c>
      <c r="C168" s="3" t="s">
        <v>252</v>
      </c>
      <c r="M168" s="23"/>
      <c r="N168" s="23"/>
      <c r="O168" s="23"/>
    </row>
    <row r="169" customFormat="false" ht="12" hidden="false" customHeight="true" outlineLevel="0" collapsed="false">
      <c r="C169" s="26" t="s">
        <v>253</v>
      </c>
      <c r="M169" s="23"/>
      <c r="N169" s="23"/>
      <c r="O169" s="23"/>
    </row>
    <row r="170" customFormat="false" ht="15" hidden="false" customHeight="true" outlineLevel="0" collapsed="false">
      <c r="C170" s="27" t="s">
        <v>159</v>
      </c>
      <c r="D170" s="28" t="n">
        <v>1</v>
      </c>
      <c r="E170" s="28" t="n">
        <v>111</v>
      </c>
      <c r="H170" s="29" t="n">
        <f aca="false">IF(COUNT(D170:G170)=0,0,D170*IF(E170="",1,E170)*IF(F170="",1,F170)*IF(G170="",1,G170))</f>
        <v>111</v>
      </c>
      <c r="M170" s="23"/>
      <c r="N170" s="23"/>
      <c r="O170" s="23"/>
    </row>
    <row r="171" customFormat="false" ht="15" hidden="false" customHeight="true" outlineLevel="0" collapsed="false">
      <c r="H171" s="30"/>
      <c r="I171" s="31" t="n">
        <f aca="false">ROUND(SUM(H170:H170),2)</f>
        <v>111</v>
      </c>
      <c r="J171" s="32" t="n">
        <v>3.78</v>
      </c>
      <c r="K171" s="31" t="n">
        <f aca="false">ROUND(I171*J171,2)</f>
        <v>419.58</v>
      </c>
      <c r="L171" s="33" t="s">
        <v>212</v>
      </c>
      <c r="M171" s="23" t="s">
        <v>123</v>
      </c>
      <c r="N171" s="23" t="s">
        <v>24</v>
      </c>
      <c r="O171" s="23"/>
    </row>
    <row r="172" customFormat="false" ht="15" hidden="false" customHeight="true" outlineLevel="0" collapsed="false">
      <c r="C172" s="34" t="s">
        <v>254</v>
      </c>
      <c r="K172" s="14" t="n">
        <f aca="false">SUMIFS($K$5:$K$171,$M$5:$M$171,"P",$N$5:$N$171,"03")</f>
        <v>5025.93</v>
      </c>
      <c r="M172" s="23"/>
      <c r="N172" s="23"/>
      <c r="O172" s="23"/>
    </row>
    <row r="173" customFormat="false" ht="15" hidden="false" customHeight="true" outlineLevel="0" collapsed="false">
      <c r="M173" s="23"/>
      <c r="N173" s="23"/>
      <c r="O173" s="23"/>
    </row>
    <row r="174" customFormat="false" ht="15" hidden="false" customHeight="true" outlineLevel="0" collapsed="false">
      <c r="A174" s="24" t="s">
        <v>26</v>
      </c>
      <c r="B174" s="25"/>
      <c r="C174" s="24" t="s">
        <v>27</v>
      </c>
      <c r="D174" s="25"/>
      <c r="E174" s="25"/>
      <c r="F174" s="25"/>
      <c r="G174" s="25"/>
      <c r="H174" s="25"/>
      <c r="I174" s="25"/>
      <c r="J174" s="25"/>
      <c r="K174" s="25"/>
      <c r="L174" s="25"/>
      <c r="M174" s="23" t="s">
        <v>115</v>
      </c>
      <c r="N174" s="23" t="s">
        <v>26</v>
      </c>
      <c r="O174" s="23"/>
    </row>
    <row r="175" customFormat="false" ht="15" hidden="false" customHeight="true" outlineLevel="0" collapsed="false">
      <c r="A175" s="3" t="s">
        <v>255</v>
      </c>
      <c r="B175" s="3" t="s">
        <v>140</v>
      </c>
      <c r="C175" s="3" t="s">
        <v>256</v>
      </c>
      <c r="M175" s="23"/>
      <c r="N175" s="23"/>
      <c r="O175" s="23"/>
    </row>
    <row r="176" customFormat="false" ht="36" hidden="false" customHeight="true" outlineLevel="0" collapsed="false">
      <c r="C176" s="26" t="s">
        <v>257</v>
      </c>
      <c r="M176" s="23"/>
      <c r="N176" s="23"/>
      <c r="O176" s="23"/>
    </row>
    <row r="177" customFormat="false" ht="15" hidden="false" customHeight="true" outlineLevel="0" collapsed="false">
      <c r="C177" s="27" t="s">
        <v>258</v>
      </c>
      <c r="D177" s="28" t="n">
        <v>1</v>
      </c>
      <c r="E177" s="28" t="n">
        <v>24</v>
      </c>
      <c r="H177" s="29" t="n">
        <f aca="false">IF(COUNT(D177:G177)=0,0,D177*IF(E177="",1,E177)*IF(F177="",1,F177)*IF(G177="",1,G177))</f>
        <v>24</v>
      </c>
      <c r="M177" s="23"/>
      <c r="N177" s="23"/>
      <c r="O177" s="23"/>
    </row>
    <row r="178" customFormat="false" ht="15" hidden="false" customHeight="true" outlineLevel="0" collapsed="false">
      <c r="C178" s="27" t="s">
        <v>259</v>
      </c>
      <c r="D178" s="28" t="n">
        <v>1</v>
      </c>
      <c r="E178" s="28" t="n">
        <v>18</v>
      </c>
      <c r="H178" s="29" t="n">
        <f aca="false">IF(COUNT(D178:G178)=0,0,D178*IF(E178="",1,E178)*IF(F178="",1,F178)*IF(G178="",1,G178))</f>
        <v>18</v>
      </c>
      <c r="M178" s="23"/>
      <c r="N178" s="23"/>
      <c r="O178" s="23"/>
    </row>
    <row r="179" customFormat="false" ht="18.75" hidden="false" customHeight="true" outlineLevel="0" collapsed="false">
      <c r="H179" s="30"/>
      <c r="I179" s="31" t="n">
        <f aca="false">ROUND(SUM(H177:H178),2)</f>
        <v>42</v>
      </c>
      <c r="J179" s="32" t="n">
        <v>38</v>
      </c>
      <c r="K179" s="31" t="n">
        <f aca="false">ROUND(I179*J179,2)</f>
        <v>1596</v>
      </c>
      <c r="L179" s="33" t="s">
        <v>238</v>
      </c>
      <c r="M179" s="23" t="s">
        <v>123</v>
      </c>
      <c r="N179" s="23" t="s">
        <v>26</v>
      </c>
      <c r="O179" s="23"/>
    </row>
    <row r="180" customFormat="false" ht="15" hidden="false" customHeight="true" outlineLevel="0" collapsed="false">
      <c r="A180" s="3" t="s">
        <v>260</v>
      </c>
      <c r="B180" s="3" t="s">
        <v>129</v>
      </c>
      <c r="C180" s="3" t="s">
        <v>261</v>
      </c>
      <c r="M180" s="23"/>
      <c r="N180" s="23"/>
      <c r="O180" s="23"/>
    </row>
    <row r="181" customFormat="false" ht="36" hidden="false" customHeight="true" outlineLevel="0" collapsed="false">
      <c r="C181" s="26" t="s">
        <v>262</v>
      </c>
      <c r="M181" s="23"/>
      <c r="N181" s="23"/>
      <c r="O181" s="23"/>
    </row>
    <row r="182" customFormat="false" ht="15" hidden="false" customHeight="true" outlineLevel="0" collapsed="false">
      <c r="C182" s="27" t="s">
        <v>258</v>
      </c>
      <c r="D182" s="28" t="n">
        <v>3</v>
      </c>
      <c r="H182" s="29" t="n">
        <f aca="false">IF(COUNT(D182:G182)=0,0,D182*IF(E182="",1,E182)*IF(F182="",1,F182)*IF(G182="",1,G182))</f>
        <v>3</v>
      </c>
      <c r="M182" s="23"/>
      <c r="N182" s="23"/>
      <c r="O182" s="23"/>
    </row>
    <row r="183" customFormat="false" ht="15" hidden="false" customHeight="true" outlineLevel="0" collapsed="false">
      <c r="C183" s="27" t="s">
        <v>259</v>
      </c>
      <c r="D183" s="28" t="n">
        <v>2</v>
      </c>
      <c r="H183" s="29" t="n">
        <f aca="false">IF(COUNT(D183:G183)=0,0,D183*IF(E183="",1,E183)*IF(F183="",1,F183)*IF(G183="",1,G183))</f>
        <v>2</v>
      </c>
      <c r="M183" s="23"/>
      <c r="N183" s="23"/>
      <c r="O183" s="23"/>
    </row>
    <row r="184" customFormat="false" ht="15" hidden="false" customHeight="true" outlineLevel="0" collapsed="false">
      <c r="C184" s="27" t="s">
        <v>263</v>
      </c>
      <c r="D184" s="28" t="n">
        <v>1</v>
      </c>
      <c r="H184" s="29" t="n">
        <f aca="false">IF(COUNT(D184:G184)=0,0,D184*IF(E184="",1,E184)*IF(F184="",1,F184)*IF(G184="",1,G184))</f>
        <v>1</v>
      </c>
      <c r="M184" s="23"/>
      <c r="N184" s="23"/>
      <c r="O184" s="23"/>
    </row>
    <row r="185" customFormat="false" ht="18.75" hidden="false" customHeight="true" outlineLevel="0" collapsed="false">
      <c r="H185" s="30"/>
      <c r="I185" s="31" t="n">
        <f aca="false">ROUND(SUM(H182:H184),2)</f>
        <v>6</v>
      </c>
      <c r="J185" s="32" t="n">
        <v>185</v>
      </c>
      <c r="K185" s="31" t="n">
        <f aca="false">ROUND(I185*J185,2)</f>
        <v>1110</v>
      </c>
      <c r="L185" s="33" t="s">
        <v>238</v>
      </c>
      <c r="M185" s="23" t="s">
        <v>123</v>
      </c>
      <c r="N185" s="23" t="s">
        <v>26</v>
      </c>
      <c r="O185" s="23"/>
    </row>
    <row r="186" customFormat="false" ht="15" hidden="false" customHeight="true" outlineLevel="0" collapsed="false">
      <c r="A186" s="3" t="s">
        <v>264</v>
      </c>
      <c r="B186" s="3" t="s">
        <v>129</v>
      </c>
      <c r="C186" s="3" t="s">
        <v>265</v>
      </c>
      <c r="M186" s="23"/>
      <c r="N186" s="23"/>
      <c r="O186" s="23"/>
    </row>
    <row r="187" customFormat="false" ht="24" hidden="false" customHeight="true" outlineLevel="0" collapsed="false">
      <c r="C187" s="26" t="s">
        <v>266</v>
      </c>
      <c r="M187" s="23"/>
      <c r="N187" s="23"/>
      <c r="O187" s="23"/>
    </row>
    <row r="188" customFormat="false" ht="15" hidden="false" customHeight="true" outlineLevel="0" collapsed="false">
      <c r="C188" s="27" t="s">
        <v>258</v>
      </c>
      <c r="D188" s="28" t="n">
        <v>1</v>
      </c>
      <c r="H188" s="29" t="n">
        <f aca="false">IF(COUNT(D188:G188)=0,0,D188*IF(E188="",1,E188)*IF(F188="",1,F188)*IF(G188="",1,G188))</f>
        <v>1</v>
      </c>
      <c r="M188" s="23"/>
      <c r="N188" s="23"/>
      <c r="O188" s="23"/>
    </row>
    <row r="189" customFormat="false" ht="15" hidden="false" customHeight="true" outlineLevel="0" collapsed="false">
      <c r="C189" s="27" t="s">
        <v>259</v>
      </c>
      <c r="D189" s="28" t="n">
        <v>1</v>
      </c>
      <c r="H189" s="29" t="n">
        <f aca="false">IF(COUNT(D189:G189)=0,0,D189*IF(E189="",1,E189)*IF(F189="",1,F189)*IF(G189="",1,G189))</f>
        <v>1</v>
      </c>
      <c r="M189" s="23"/>
      <c r="N189" s="23"/>
      <c r="O189" s="23"/>
    </row>
    <row r="190" customFormat="false" ht="18.75" hidden="false" customHeight="true" outlineLevel="0" collapsed="false">
      <c r="H190" s="30"/>
      <c r="I190" s="31" t="n">
        <f aca="false">ROUND(SUM(H188:H189),2)</f>
        <v>2</v>
      </c>
      <c r="J190" s="32" t="n">
        <v>680</v>
      </c>
      <c r="K190" s="31" t="n">
        <f aca="false">ROUND(I190*J190,2)</f>
        <v>1360</v>
      </c>
      <c r="L190" s="33" t="s">
        <v>238</v>
      </c>
      <c r="M190" s="23" t="s">
        <v>123</v>
      </c>
      <c r="N190" s="23" t="s">
        <v>26</v>
      </c>
      <c r="O190" s="23"/>
    </row>
    <row r="191" customFormat="false" ht="15" hidden="false" customHeight="true" outlineLevel="0" collapsed="false">
      <c r="A191" s="3" t="s">
        <v>267</v>
      </c>
      <c r="B191" s="3" t="s">
        <v>140</v>
      </c>
      <c r="C191" s="3" t="s">
        <v>268</v>
      </c>
      <c r="M191" s="23"/>
      <c r="N191" s="23"/>
      <c r="O191" s="23"/>
    </row>
    <row r="192" customFormat="false" ht="24" hidden="false" customHeight="true" outlineLevel="0" collapsed="false">
      <c r="C192" s="26" t="s">
        <v>269</v>
      </c>
      <c r="M192" s="23"/>
      <c r="N192" s="23"/>
      <c r="O192" s="23"/>
    </row>
    <row r="193" customFormat="false" ht="15" hidden="false" customHeight="true" outlineLevel="0" collapsed="false">
      <c r="C193" s="27" t="s">
        <v>270</v>
      </c>
      <c r="D193" s="28" t="n">
        <v>2</v>
      </c>
      <c r="E193" s="28" t="n">
        <v>10.5</v>
      </c>
      <c r="H193" s="29" t="n">
        <f aca="false">IF(COUNT(D193:G193)=0,0,D193*IF(E193="",1,E193)*IF(F193="",1,F193)*IF(G193="",1,G193))</f>
        <v>21</v>
      </c>
      <c r="M193" s="23"/>
      <c r="N193" s="23"/>
      <c r="O193" s="23"/>
    </row>
    <row r="194" customFormat="false" ht="18.75" hidden="false" customHeight="true" outlineLevel="0" collapsed="false">
      <c r="H194" s="30"/>
      <c r="I194" s="31" t="n">
        <f aca="false">ROUND(SUM(H193:H193),2)</f>
        <v>21</v>
      </c>
      <c r="J194" s="32" t="n">
        <v>32</v>
      </c>
      <c r="K194" s="31" t="n">
        <f aca="false">ROUND(I194*J194,2)</f>
        <v>672</v>
      </c>
      <c r="L194" s="33" t="s">
        <v>238</v>
      </c>
      <c r="M194" s="23" t="s">
        <v>123</v>
      </c>
      <c r="N194" s="23" t="s">
        <v>26</v>
      </c>
      <c r="O194" s="23"/>
    </row>
    <row r="195" customFormat="false" ht="15" hidden="false" customHeight="true" outlineLevel="0" collapsed="false">
      <c r="A195" s="3" t="s">
        <v>271</v>
      </c>
      <c r="B195" s="3" t="s">
        <v>129</v>
      </c>
      <c r="C195" s="3" t="s">
        <v>272</v>
      </c>
      <c r="M195" s="23"/>
      <c r="N195" s="23"/>
      <c r="O195" s="23"/>
    </row>
    <row r="196" customFormat="false" ht="24" hidden="false" customHeight="true" outlineLevel="0" collapsed="false">
      <c r="C196" s="26" t="s">
        <v>273</v>
      </c>
      <c r="M196" s="23"/>
      <c r="N196" s="23"/>
      <c r="O196" s="23"/>
    </row>
    <row r="197" customFormat="false" ht="15" hidden="false" customHeight="true" outlineLevel="0" collapsed="false">
      <c r="C197" s="27" t="s">
        <v>274</v>
      </c>
      <c r="D197" s="28" t="n">
        <v>5</v>
      </c>
      <c r="H197" s="29" t="n">
        <f aca="false">IF(COUNT(D197:G197)=0,0,D197*IF(E197="",1,E197)*IF(F197="",1,F197)*IF(G197="",1,G197))</f>
        <v>5</v>
      </c>
      <c r="M197" s="23"/>
      <c r="N197" s="23"/>
      <c r="O197" s="23"/>
    </row>
    <row r="198" customFormat="false" ht="15" hidden="false" customHeight="true" outlineLevel="0" collapsed="false">
      <c r="C198" s="27" t="s">
        <v>275</v>
      </c>
      <c r="D198" s="28" t="n">
        <v>4</v>
      </c>
      <c r="H198" s="29" t="n">
        <f aca="false">IF(COUNT(D198:G198)=0,0,D198*IF(E198="",1,E198)*IF(F198="",1,F198)*IF(G198="",1,G198))</f>
        <v>4</v>
      </c>
      <c r="M198" s="23"/>
      <c r="N198" s="23"/>
      <c r="O198" s="23"/>
    </row>
    <row r="199" customFormat="false" ht="15" hidden="false" customHeight="true" outlineLevel="0" collapsed="false">
      <c r="C199" s="27" t="s">
        <v>276</v>
      </c>
      <c r="D199" s="28" t="n">
        <v>2</v>
      </c>
      <c r="H199" s="29" t="n">
        <f aca="false">IF(COUNT(D199:G199)=0,0,D199*IF(E199="",1,E199)*IF(F199="",1,F199)*IF(G199="",1,G199))</f>
        <v>2</v>
      </c>
      <c r="M199" s="23"/>
      <c r="N199" s="23"/>
      <c r="O199" s="23"/>
    </row>
    <row r="200" customFormat="false" ht="15" hidden="false" customHeight="true" outlineLevel="0" collapsed="false">
      <c r="C200" s="27" t="s">
        <v>277</v>
      </c>
      <c r="D200" s="28" t="n">
        <v>2</v>
      </c>
      <c r="H200" s="29" t="n">
        <f aca="false">IF(COUNT(D200:G200)=0,0,D200*IF(E200="",1,E200)*IF(F200="",1,F200)*IF(G200="",1,G200))</f>
        <v>2</v>
      </c>
      <c r="M200" s="23"/>
      <c r="N200" s="23"/>
      <c r="O200" s="23"/>
    </row>
    <row r="201" customFormat="false" ht="15" hidden="false" customHeight="true" outlineLevel="0" collapsed="false">
      <c r="C201" s="27" t="s">
        <v>278</v>
      </c>
      <c r="D201" s="28" t="n">
        <v>3</v>
      </c>
      <c r="H201" s="29" t="n">
        <f aca="false">IF(COUNT(D201:G201)=0,0,D201*IF(E201="",1,E201)*IF(F201="",1,F201)*IF(G201="",1,G201))</f>
        <v>3</v>
      </c>
      <c r="M201" s="23"/>
      <c r="N201" s="23"/>
      <c r="O201" s="23"/>
    </row>
    <row r="202" customFormat="false" ht="15" hidden="false" customHeight="true" outlineLevel="0" collapsed="false">
      <c r="C202" s="27" t="s">
        <v>279</v>
      </c>
      <c r="D202" s="28" t="n">
        <v>2</v>
      </c>
      <c r="H202" s="29" t="n">
        <f aca="false">IF(COUNT(D202:G202)=0,0,D202*IF(E202="",1,E202)*IF(F202="",1,F202)*IF(G202="",1,G202))</f>
        <v>2</v>
      </c>
      <c r="M202" s="23"/>
      <c r="N202" s="23"/>
      <c r="O202" s="23"/>
    </row>
    <row r="203" customFormat="false" ht="18.75" hidden="false" customHeight="true" outlineLevel="0" collapsed="false">
      <c r="H203" s="30"/>
      <c r="I203" s="31" t="n">
        <f aca="false">ROUND(SUM(H197:H202),2)</f>
        <v>18</v>
      </c>
      <c r="J203" s="32" t="n">
        <v>68</v>
      </c>
      <c r="K203" s="31" t="n">
        <f aca="false">ROUND(I203*J203,2)</f>
        <v>1224</v>
      </c>
      <c r="L203" s="33" t="s">
        <v>238</v>
      </c>
      <c r="M203" s="23" t="s">
        <v>123</v>
      </c>
      <c r="N203" s="23" t="s">
        <v>26</v>
      </c>
      <c r="O203" s="23"/>
    </row>
    <row r="204" customFormat="false" ht="15" hidden="false" customHeight="true" outlineLevel="0" collapsed="false">
      <c r="A204" s="3" t="s">
        <v>280</v>
      </c>
      <c r="B204" s="3" t="s">
        <v>129</v>
      </c>
      <c r="C204" s="3" t="s">
        <v>281</v>
      </c>
      <c r="M204" s="23"/>
      <c r="N204" s="23"/>
      <c r="O204" s="23"/>
    </row>
    <row r="205" customFormat="false" ht="96" hidden="false" customHeight="true" outlineLevel="0" collapsed="false">
      <c r="C205" s="26" t="s">
        <v>282</v>
      </c>
      <c r="M205" s="23"/>
      <c r="N205" s="23"/>
      <c r="O205" s="23"/>
    </row>
    <row r="206" customFormat="false" ht="15" hidden="false" customHeight="true" outlineLevel="0" collapsed="false">
      <c r="C206" s="27" t="s">
        <v>283</v>
      </c>
      <c r="D206" s="28" t="n">
        <v>1</v>
      </c>
      <c r="H206" s="29" t="n">
        <f aca="false">IF(COUNT(D206:G206)=0,0,D206*IF(E206="",1,E206)*IF(F206="",1,F206)*IF(G206="",1,G206))</f>
        <v>1</v>
      </c>
      <c r="M206" s="23"/>
      <c r="N206" s="23"/>
      <c r="O206" s="23"/>
    </row>
    <row r="207" customFormat="false" ht="15" hidden="false" customHeight="true" outlineLevel="0" collapsed="false">
      <c r="H207" s="30"/>
      <c r="I207" s="31" t="n">
        <f aca="false">ROUND(SUM(H206:H206),2)</f>
        <v>1</v>
      </c>
      <c r="J207" s="32" t="n">
        <v>207.94</v>
      </c>
      <c r="K207" s="31" t="n">
        <f aca="false">ROUND(I207*J207,2)</f>
        <v>207.94</v>
      </c>
      <c r="L207" s="33" t="s">
        <v>212</v>
      </c>
      <c r="M207" s="23" t="s">
        <v>123</v>
      </c>
      <c r="N207" s="23" t="s">
        <v>26</v>
      </c>
      <c r="O207" s="23"/>
    </row>
    <row r="208" customFormat="false" ht="15" hidden="false" customHeight="true" outlineLevel="0" collapsed="false">
      <c r="A208" s="3" t="s">
        <v>284</v>
      </c>
      <c r="B208" s="3" t="s">
        <v>140</v>
      </c>
      <c r="C208" s="3" t="s">
        <v>285</v>
      </c>
      <c r="M208" s="23"/>
      <c r="N208" s="23"/>
      <c r="O208" s="23"/>
    </row>
    <row r="209" customFormat="false" ht="24" hidden="false" customHeight="true" outlineLevel="0" collapsed="false">
      <c r="C209" s="26" t="s">
        <v>286</v>
      </c>
      <c r="M209" s="23"/>
      <c r="N209" s="23"/>
      <c r="O209" s="23"/>
    </row>
    <row r="210" customFormat="false" ht="15" hidden="false" customHeight="true" outlineLevel="0" collapsed="false">
      <c r="C210" s="27" t="s">
        <v>287</v>
      </c>
      <c r="D210" s="28" t="n">
        <v>1</v>
      </c>
      <c r="E210" s="28" t="n">
        <v>12</v>
      </c>
      <c r="H210" s="29" t="n">
        <f aca="false">IF(COUNT(D210:G210)=0,0,D210*IF(E210="",1,E210)*IF(F210="",1,F210)*IF(G210="",1,G210))</f>
        <v>12</v>
      </c>
      <c r="M210" s="23"/>
      <c r="N210" s="23"/>
      <c r="O210" s="23"/>
    </row>
    <row r="211" customFormat="false" ht="18.75" hidden="false" customHeight="true" outlineLevel="0" collapsed="false">
      <c r="H211" s="30"/>
      <c r="I211" s="31" t="n">
        <f aca="false">ROUND(SUM(H210:H210),2)</f>
        <v>12</v>
      </c>
      <c r="J211" s="32" t="n">
        <v>26</v>
      </c>
      <c r="K211" s="31" t="n">
        <f aca="false">ROUND(I211*J211,2)</f>
        <v>312</v>
      </c>
      <c r="L211" s="33" t="s">
        <v>238</v>
      </c>
      <c r="M211" s="23" t="s">
        <v>123</v>
      </c>
      <c r="N211" s="23" t="s">
        <v>26</v>
      </c>
      <c r="O211" s="23"/>
    </row>
    <row r="212" customFormat="false" ht="15" hidden="false" customHeight="true" outlineLevel="0" collapsed="false">
      <c r="C212" s="34" t="s">
        <v>288</v>
      </c>
      <c r="K212" s="14" t="n">
        <f aca="false">SUMIFS($K$5:$K$211,$M$5:$M$211,"P",$N$5:$N$211,"04")</f>
        <v>6481.94</v>
      </c>
      <c r="M212" s="23"/>
      <c r="N212" s="23"/>
      <c r="O212" s="23"/>
    </row>
    <row r="213" customFormat="false" ht="15" hidden="false" customHeight="true" outlineLevel="0" collapsed="false">
      <c r="M213" s="23"/>
      <c r="N213" s="23"/>
      <c r="O213" s="23"/>
    </row>
    <row r="214" customFormat="false" ht="15" hidden="false" customHeight="true" outlineLevel="0" collapsed="false">
      <c r="A214" s="24" t="s">
        <v>28</v>
      </c>
      <c r="B214" s="25"/>
      <c r="C214" s="24" t="s">
        <v>29</v>
      </c>
      <c r="D214" s="25"/>
      <c r="E214" s="25"/>
      <c r="F214" s="25"/>
      <c r="G214" s="25"/>
      <c r="H214" s="25"/>
      <c r="I214" s="25"/>
      <c r="J214" s="25"/>
      <c r="K214" s="25"/>
      <c r="L214" s="25"/>
      <c r="M214" s="23" t="s">
        <v>115</v>
      </c>
      <c r="N214" s="23" t="s">
        <v>28</v>
      </c>
      <c r="O214" s="23"/>
    </row>
    <row r="215" customFormat="false" ht="15" hidden="false" customHeight="true" outlineLevel="0" collapsed="false">
      <c r="A215" s="3" t="s">
        <v>289</v>
      </c>
      <c r="C215" s="3" t="s">
        <v>290</v>
      </c>
      <c r="M215" s="23" t="s">
        <v>291</v>
      </c>
      <c r="N215" s="23" t="s">
        <v>28</v>
      </c>
      <c r="O215" s="23" t="s">
        <v>289</v>
      </c>
    </row>
    <row r="216" customFormat="false" ht="15" hidden="false" customHeight="true" outlineLevel="0" collapsed="false">
      <c r="A216" s="3" t="s">
        <v>292</v>
      </c>
      <c r="B216" s="3" t="s">
        <v>152</v>
      </c>
      <c r="C216" s="3" t="s">
        <v>293</v>
      </c>
      <c r="M216" s="23"/>
      <c r="N216" s="23"/>
      <c r="O216" s="23"/>
    </row>
    <row r="217" customFormat="false" ht="24" hidden="false" customHeight="true" outlineLevel="0" collapsed="false">
      <c r="C217" s="26" t="s">
        <v>294</v>
      </c>
      <c r="M217" s="23"/>
      <c r="N217" s="23"/>
      <c r="O217" s="23"/>
    </row>
    <row r="218" customFormat="false" ht="15" hidden="false" customHeight="true" outlineLevel="0" collapsed="false">
      <c r="C218" s="27" t="s">
        <v>295</v>
      </c>
      <c r="D218" s="28" t="n">
        <v>1</v>
      </c>
      <c r="E218" s="28" t="n">
        <v>56.51</v>
      </c>
      <c r="F218" s="28"/>
      <c r="G218" s="28" t="n">
        <v>0.1</v>
      </c>
      <c r="H218" s="29" t="n">
        <f aca="false">IF(COUNT(D218:G218)=0,0,D218*IF(E218="",1,E218)*IF(F218="",1,F218)*IF(G218="",1,G218))</f>
        <v>5.651</v>
      </c>
      <c r="M218" s="23"/>
      <c r="N218" s="23"/>
      <c r="O218" s="23"/>
    </row>
    <row r="219" customFormat="false" ht="18.75" hidden="false" customHeight="true" outlineLevel="0" collapsed="false">
      <c r="H219" s="30"/>
      <c r="I219" s="31" t="n">
        <f aca="false">ROUND(SUM(H218:H218),2)</f>
        <v>5.65</v>
      </c>
      <c r="J219" s="32" t="n">
        <v>98</v>
      </c>
      <c r="K219" s="31" t="n">
        <f aca="false">ROUND(I219*J219,2)</f>
        <v>553.7</v>
      </c>
      <c r="L219" s="33" t="s">
        <v>238</v>
      </c>
      <c r="M219" s="23" t="s">
        <v>123</v>
      </c>
      <c r="N219" s="23" t="s">
        <v>28</v>
      </c>
      <c r="O219" s="23" t="s">
        <v>289</v>
      </c>
    </row>
    <row r="220" customFormat="false" ht="15" hidden="false" customHeight="true" outlineLevel="0" collapsed="false">
      <c r="A220" s="3" t="s">
        <v>296</v>
      </c>
      <c r="B220" s="3" t="s">
        <v>152</v>
      </c>
      <c r="C220" s="3" t="s">
        <v>297</v>
      </c>
      <c r="M220" s="23"/>
      <c r="N220" s="23"/>
      <c r="O220" s="23"/>
    </row>
    <row r="221" customFormat="false" ht="24" hidden="false" customHeight="true" outlineLevel="0" collapsed="false">
      <c r="C221" s="26" t="s">
        <v>298</v>
      </c>
      <c r="M221" s="23"/>
      <c r="N221" s="23"/>
      <c r="O221" s="23"/>
    </row>
    <row r="222" customFormat="false" ht="15" hidden="false" customHeight="true" outlineLevel="0" collapsed="false">
      <c r="C222" s="27" t="s">
        <v>299</v>
      </c>
      <c r="D222" s="28" t="n">
        <v>1</v>
      </c>
      <c r="E222" s="28" t="n">
        <v>26.57</v>
      </c>
      <c r="F222" s="28"/>
      <c r="G222" s="28"/>
      <c r="H222" s="29" t="n">
        <f aca="false">IF(COUNT(D222:G222)=0,0,D222*IF(E222="",1,E222)*IF(F222="",1,F222)*IF(G222="",1,G222))</f>
        <v>26.57</v>
      </c>
      <c r="M222" s="23"/>
      <c r="N222" s="23"/>
      <c r="O222" s="23"/>
    </row>
    <row r="223" customFormat="false" ht="27.75" hidden="false" customHeight="true" outlineLevel="0" collapsed="false">
      <c r="H223" s="30"/>
      <c r="I223" s="31" t="n">
        <f aca="false">ROUND(SUM(H222:H222),2)</f>
        <v>26.57</v>
      </c>
      <c r="J223" s="32" t="n">
        <v>185</v>
      </c>
      <c r="K223" s="31" t="n">
        <f aca="false">ROUND(I223*J223,2)</f>
        <v>4915.45</v>
      </c>
      <c r="L223" s="33" t="s">
        <v>300</v>
      </c>
      <c r="M223" s="23" t="s">
        <v>123</v>
      </c>
      <c r="N223" s="23" t="s">
        <v>28</v>
      </c>
      <c r="O223" s="23" t="s">
        <v>289</v>
      </c>
    </row>
    <row r="224" customFormat="false" ht="15" hidden="false" customHeight="true" outlineLevel="0" collapsed="false">
      <c r="A224" s="3" t="s">
        <v>301</v>
      </c>
      <c r="B224" s="3" t="s">
        <v>152</v>
      </c>
      <c r="C224" s="3" t="s">
        <v>302</v>
      </c>
      <c r="M224" s="23"/>
      <c r="N224" s="23"/>
      <c r="O224" s="23"/>
    </row>
    <row r="225" customFormat="false" ht="36" hidden="false" customHeight="true" outlineLevel="0" collapsed="false">
      <c r="C225" s="26" t="s">
        <v>303</v>
      </c>
      <c r="M225" s="23"/>
      <c r="N225" s="23"/>
      <c r="O225" s="23"/>
    </row>
    <row r="226" customFormat="false" ht="15" hidden="false" customHeight="true" outlineLevel="0" collapsed="false">
      <c r="C226" s="27" t="s">
        <v>304</v>
      </c>
      <c r="D226" s="28" t="n">
        <v>1</v>
      </c>
      <c r="E226" s="35" t="n">
        <f aca="false">'Mediciones BIM'!E6</f>
        <v>27.71</v>
      </c>
      <c r="F226" s="28"/>
      <c r="G226" s="28"/>
      <c r="H226" s="29" t="n">
        <f aca="false">IF(COUNT(D226:G226)=0,0,D226*IF(E226="",1,E226)*IF(F226="",1,F226)*IF(G226="",1,G226))</f>
        <v>27.71</v>
      </c>
      <c r="M226" s="23"/>
      <c r="N226" s="23"/>
      <c r="O226" s="23"/>
    </row>
    <row r="227" customFormat="false" ht="15" hidden="false" customHeight="true" outlineLevel="0" collapsed="false">
      <c r="H227" s="30"/>
      <c r="I227" s="31" t="n">
        <f aca="false">ROUND(SUM(H226:H226),2)</f>
        <v>27.71</v>
      </c>
      <c r="J227" s="32" t="n">
        <v>365.9</v>
      </c>
      <c r="K227" s="31" t="n">
        <f aca="false">ROUND(I227*J227,2)</f>
        <v>10139.09</v>
      </c>
      <c r="L227" s="33" t="s">
        <v>212</v>
      </c>
      <c r="M227" s="23" t="s">
        <v>123</v>
      </c>
      <c r="N227" s="23" t="s">
        <v>28</v>
      </c>
      <c r="O227" s="23" t="s">
        <v>289</v>
      </c>
    </row>
    <row r="228" customFormat="false" ht="15" hidden="false" customHeight="true" outlineLevel="0" collapsed="false">
      <c r="A228" s="3" t="s">
        <v>305</v>
      </c>
      <c r="B228" s="3" t="s">
        <v>117</v>
      </c>
      <c r="C228" s="3" t="s">
        <v>306</v>
      </c>
      <c r="M228" s="23"/>
      <c r="N228" s="23"/>
      <c r="O228" s="23"/>
    </row>
    <row r="229" customFormat="false" ht="24" hidden="false" customHeight="true" outlineLevel="0" collapsed="false">
      <c r="C229" s="26" t="s">
        <v>307</v>
      </c>
      <c r="M229" s="23"/>
      <c r="N229" s="23"/>
      <c r="O229" s="23"/>
    </row>
    <row r="230" customFormat="false" ht="15" hidden="false" customHeight="true" outlineLevel="0" collapsed="false">
      <c r="C230" s="27" t="s">
        <v>159</v>
      </c>
      <c r="D230" s="28" t="n">
        <v>1</v>
      </c>
      <c r="E230" s="28" t="n">
        <v>111</v>
      </c>
      <c r="H230" s="29" t="n">
        <f aca="false">IF(COUNT(D230:G230)=0,0,D230*IF(E230="",1,E230)*IF(F230="",1,F230)*IF(G230="",1,G230))</f>
        <v>111</v>
      </c>
      <c r="M230" s="23"/>
      <c r="N230" s="23"/>
      <c r="O230" s="23"/>
    </row>
    <row r="231" customFormat="false" ht="18.75" hidden="false" customHeight="true" outlineLevel="0" collapsed="false">
      <c r="H231" s="30"/>
      <c r="I231" s="31" t="n">
        <f aca="false">ROUND(SUM(H230:H230),2)</f>
        <v>111</v>
      </c>
      <c r="J231" s="32" t="n">
        <v>14.5</v>
      </c>
      <c r="K231" s="31" t="n">
        <f aca="false">ROUND(I231*J231,2)</f>
        <v>1609.5</v>
      </c>
      <c r="L231" s="33" t="s">
        <v>238</v>
      </c>
      <c r="M231" s="23" t="s">
        <v>123</v>
      </c>
      <c r="N231" s="23" t="s">
        <v>28</v>
      </c>
      <c r="O231" s="23" t="s">
        <v>289</v>
      </c>
    </row>
    <row r="232" customFormat="false" ht="15" hidden="false" customHeight="true" outlineLevel="0" collapsed="false">
      <c r="A232" s="3" t="s">
        <v>308</v>
      </c>
      <c r="B232" s="3" t="s">
        <v>117</v>
      </c>
      <c r="C232" s="3" t="s">
        <v>309</v>
      </c>
      <c r="M232" s="23"/>
      <c r="N232" s="23"/>
      <c r="O232" s="23"/>
    </row>
    <row r="233" customFormat="false" ht="36" hidden="false" customHeight="true" outlineLevel="0" collapsed="false">
      <c r="C233" s="26" t="s">
        <v>310</v>
      </c>
      <c r="M233" s="23"/>
      <c r="N233" s="23"/>
      <c r="O233" s="23"/>
    </row>
    <row r="234" customFormat="false" ht="15" hidden="false" customHeight="true" outlineLevel="0" collapsed="false">
      <c r="C234" s="27" t="s">
        <v>304</v>
      </c>
      <c r="D234" s="28" t="n">
        <v>1</v>
      </c>
      <c r="E234" s="35" t="n">
        <f aca="false">'Mediciones BIM'!E7</f>
        <v>109.44</v>
      </c>
      <c r="H234" s="29" t="n">
        <f aca="false">IF(COUNT(D234:G234)=0,0,D234*IF(E234="",1,E234)*IF(F234="",1,F234)*IF(G234="",1,G234))</f>
        <v>109.44</v>
      </c>
      <c r="M234" s="23"/>
      <c r="N234" s="23"/>
      <c r="O234" s="23"/>
    </row>
    <row r="235" customFormat="false" ht="15" hidden="false" customHeight="true" outlineLevel="0" collapsed="false">
      <c r="H235" s="30"/>
      <c r="I235" s="31" t="n">
        <f aca="false">ROUND(SUM(H234:H234),2)</f>
        <v>109.44</v>
      </c>
      <c r="J235" s="32" t="n">
        <v>60.2</v>
      </c>
      <c r="K235" s="31" t="n">
        <f aca="false">ROUND(I235*J235,2)</f>
        <v>6588.29</v>
      </c>
      <c r="L235" s="33" t="s">
        <v>212</v>
      </c>
      <c r="M235" s="23" t="s">
        <v>123</v>
      </c>
      <c r="N235" s="23" t="s">
        <v>28</v>
      </c>
      <c r="O235" s="23" t="s">
        <v>289</v>
      </c>
    </row>
    <row r="236" customFormat="false" ht="15" hidden="false" customHeight="true" outlineLevel="0" collapsed="false">
      <c r="A236" s="3" t="s">
        <v>311</v>
      </c>
      <c r="C236" s="3" t="s">
        <v>312</v>
      </c>
      <c r="M236" s="23" t="s">
        <v>291</v>
      </c>
      <c r="N236" s="23" t="s">
        <v>28</v>
      </c>
      <c r="O236" s="23" t="s">
        <v>311</v>
      </c>
    </row>
    <row r="237" customFormat="false" ht="15" hidden="false" customHeight="true" outlineLevel="0" collapsed="false">
      <c r="A237" s="3" t="s">
        <v>313</v>
      </c>
      <c r="B237" s="3" t="s">
        <v>117</v>
      </c>
      <c r="C237" s="3" t="s">
        <v>314</v>
      </c>
      <c r="M237" s="23"/>
      <c r="N237" s="23"/>
      <c r="O237" s="23"/>
    </row>
    <row r="238" customFormat="false" ht="36" hidden="false" customHeight="true" outlineLevel="0" collapsed="false">
      <c r="C238" s="26" t="s">
        <v>315</v>
      </c>
      <c r="M238" s="23"/>
      <c r="N238" s="23"/>
      <c r="O238" s="23"/>
    </row>
    <row r="239" customFormat="false" ht="15" hidden="false" customHeight="true" outlineLevel="0" collapsed="false">
      <c r="C239" s="27" t="s">
        <v>316</v>
      </c>
      <c r="D239" s="28" t="n">
        <v>1</v>
      </c>
      <c r="E239" s="35" t="n">
        <f aca="false">'Mediciones BIM'!E8</f>
        <v>244.03</v>
      </c>
      <c r="H239" s="29" t="n">
        <f aca="false">IF(COUNT(D239:G239)=0,0,D239*IF(E239="",1,E239)*IF(F239="",1,F239)*IF(G239="",1,G239))</f>
        <v>244.03</v>
      </c>
      <c r="M239" s="23"/>
      <c r="N239" s="23"/>
      <c r="O239" s="23"/>
    </row>
    <row r="240" customFormat="false" ht="15" hidden="false" customHeight="true" outlineLevel="0" collapsed="false">
      <c r="C240" s="27"/>
      <c r="D240" s="28"/>
      <c r="E240" s="28"/>
      <c r="H240" s="29" t="n">
        <f aca="false">IF(COUNT(D240:G240)=0,0,D240*IF(E240="",1,E240)*IF(F240="",1,F240)*IF(G240="",1,G240))</f>
        <v>0</v>
      </c>
      <c r="M240" s="23"/>
      <c r="N240" s="23"/>
      <c r="O240" s="23"/>
    </row>
    <row r="241" customFormat="false" ht="15" hidden="false" customHeight="true" outlineLevel="0" collapsed="false">
      <c r="C241" s="27"/>
      <c r="D241" s="28"/>
      <c r="E241" s="28"/>
      <c r="H241" s="29" t="n">
        <f aca="false">IF(COUNT(D241:G241)=0,0,D241*IF(E241="",1,E241)*IF(F241="",1,F241)*IF(G241="",1,G241))</f>
        <v>0</v>
      </c>
      <c r="M241" s="23"/>
      <c r="N241" s="23"/>
      <c r="O241" s="23"/>
    </row>
    <row r="242" customFormat="false" ht="18.75" hidden="false" customHeight="true" outlineLevel="0" collapsed="false">
      <c r="H242" s="30"/>
      <c r="I242" s="31" t="n">
        <f aca="false">ROUND(SUM(H239:H241),2)</f>
        <v>244.03</v>
      </c>
      <c r="J242" s="32" t="n">
        <v>74</v>
      </c>
      <c r="K242" s="31" t="n">
        <f aca="false">ROUND(I242*J242,2)</f>
        <v>18058.22</v>
      </c>
      <c r="L242" s="33" t="s">
        <v>238</v>
      </c>
      <c r="M242" s="23" t="s">
        <v>123</v>
      </c>
      <c r="N242" s="23" t="s">
        <v>28</v>
      </c>
      <c r="O242" s="23" t="s">
        <v>311</v>
      </c>
    </row>
    <row r="243" customFormat="false" ht="15" hidden="false" customHeight="true" outlineLevel="0" collapsed="false">
      <c r="A243" s="3" t="s">
        <v>317</v>
      </c>
      <c r="B243" s="3" t="s">
        <v>152</v>
      </c>
      <c r="C243" s="3" t="s">
        <v>318</v>
      </c>
      <c r="M243" s="23"/>
      <c r="N243" s="23"/>
      <c r="O243" s="23"/>
    </row>
    <row r="244" customFormat="false" ht="36" hidden="false" customHeight="true" outlineLevel="0" collapsed="false">
      <c r="C244" s="26" t="s">
        <v>319</v>
      </c>
      <c r="M244" s="23"/>
      <c r="N244" s="23"/>
      <c r="O244" s="23"/>
    </row>
    <row r="245" customFormat="false" ht="15" hidden="false" customHeight="true" outlineLevel="0" collapsed="false">
      <c r="C245" s="27" t="s">
        <v>320</v>
      </c>
      <c r="D245" s="28" t="n">
        <v>1</v>
      </c>
      <c r="E245" s="35" t="n">
        <v>19.17</v>
      </c>
      <c r="H245" s="29" t="n">
        <f aca="false">IF(COUNT(D245:G245)=0,0,D245*IF(E245="",1,E245)*IF(F245="",1,F245)*IF(G245="",1,G245))</f>
        <v>19.17</v>
      </c>
      <c r="M245" s="23"/>
      <c r="N245" s="23"/>
      <c r="O245" s="23"/>
    </row>
    <row r="246" customFormat="false" ht="18.75" hidden="false" customHeight="true" outlineLevel="0" collapsed="false">
      <c r="H246" s="30"/>
      <c r="I246" s="31" t="n">
        <f aca="false">ROUND(SUM(H245:H245),2)</f>
        <v>19.17</v>
      </c>
      <c r="J246" s="32" t="n">
        <v>420</v>
      </c>
      <c r="K246" s="31" t="n">
        <f aca="false">ROUND(I246*J246,2)</f>
        <v>8051.4</v>
      </c>
      <c r="L246" s="33" t="s">
        <v>321</v>
      </c>
      <c r="M246" s="23" t="s">
        <v>123</v>
      </c>
      <c r="N246" s="23" t="s">
        <v>28</v>
      </c>
      <c r="O246" s="23" t="s">
        <v>311</v>
      </c>
    </row>
    <row r="247" customFormat="false" ht="15" hidden="false" customHeight="true" outlineLevel="0" collapsed="false">
      <c r="A247" s="3" t="s">
        <v>322</v>
      </c>
      <c r="B247" s="3" t="s">
        <v>323</v>
      </c>
      <c r="C247" s="3" t="s">
        <v>324</v>
      </c>
      <c r="M247" s="23"/>
      <c r="N247" s="23"/>
      <c r="O247" s="23"/>
    </row>
    <row r="248" customFormat="false" ht="24" hidden="false" customHeight="true" outlineLevel="0" collapsed="false">
      <c r="C248" s="26" t="s">
        <v>325</v>
      </c>
      <c r="M248" s="23"/>
      <c r="N248" s="23"/>
      <c r="O248" s="23"/>
    </row>
    <row r="249" customFormat="false" ht="15" hidden="false" customHeight="true" outlineLevel="0" collapsed="false">
      <c r="C249" s="27" t="s">
        <v>326</v>
      </c>
      <c r="D249" s="28" t="n">
        <v>1</v>
      </c>
      <c r="E249" s="28" t="n">
        <v>1842</v>
      </c>
      <c r="F249" s="28"/>
      <c r="G249" s="28"/>
      <c r="H249" s="29" t="n">
        <f aca="false">IF(COUNT(D249:G249)=0,0,D249*IF(E249="",1,E249)*IF(F249="",1,F249)*IF(G249="",1,G249))</f>
        <v>1842</v>
      </c>
      <c r="M249" s="23"/>
      <c r="N249" s="23"/>
      <c r="O249" s="23"/>
    </row>
    <row r="250" customFormat="false" ht="18.75" hidden="false" customHeight="true" outlineLevel="0" collapsed="false">
      <c r="H250" s="30"/>
      <c r="I250" s="31" t="n">
        <f aca="false">ROUND(SUM(H249:H249),2)</f>
        <v>1842</v>
      </c>
      <c r="J250" s="32" t="n">
        <v>2.7</v>
      </c>
      <c r="K250" s="31" t="n">
        <f aca="false">ROUND(I250*J250,2)</f>
        <v>4973.4</v>
      </c>
      <c r="L250" s="33" t="s">
        <v>321</v>
      </c>
      <c r="M250" s="23" t="s">
        <v>123</v>
      </c>
      <c r="N250" s="23" t="s">
        <v>28</v>
      </c>
      <c r="O250" s="23" t="s">
        <v>311</v>
      </c>
    </row>
    <row r="251" customFormat="false" ht="15" hidden="false" customHeight="true" outlineLevel="0" collapsed="false">
      <c r="A251" s="3" t="s">
        <v>327</v>
      </c>
      <c r="B251" s="3" t="s">
        <v>140</v>
      </c>
      <c r="C251" s="3" t="s">
        <v>328</v>
      </c>
      <c r="M251" s="23"/>
      <c r="N251" s="23"/>
      <c r="O251" s="23"/>
    </row>
    <row r="252" customFormat="false" ht="24" hidden="false" customHeight="true" outlineLevel="0" collapsed="false">
      <c r="C252" s="26" t="s">
        <v>329</v>
      </c>
      <c r="M252" s="23"/>
      <c r="N252" s="23"/>
      <c r="O252" s="23"/>
    </row>
    <row r="253" customFormat="false" ht="15" hidden="false" customHeight="true" outlineLevel="0" collapsed="false">
      <c r="C253" s="27" t="s">
        <v>316</v>
      </c>
      <c r="D253" s="28" t="n">
        <v>1</v>
      </c>
      <c r="E253" s="35" t="n">
        <f aca="false">'Mediciones BIM'!E10</f>
        <v>217.99</v>
      </c>
      <c r="H253" s="29" t="n">
        <f aca="false">IF(COUNT(D253:G253)=0,0,D253*IF(E253="",1,E253)*IF(F253="",1,F253)*IF(G253="",1,G253))</f>
        <v>217.99</v>
      </c>
      <c r="M253" s="23"/>
      <c r="N253" s="23"/>
      <c r="O253" s="23"/>
    </row>
    <row r="254" customFormat="false" ht="15" hidden="false" customHeight="true" outlineLevel="0" collapsed="false">
      <c r="C254" s="27"/>
      <c r="D254" s="28"/>
      <c r="E254" s="28"/>
      <c r="H254" s="29" t="n">
        <f aca="false">IF(COUNT(D254:G254)=0,0,D254*IF(E254="",1,E254)*IF(F254="",1,F254)*IF(G254="",1,G254))</f>
        <v>0</v>
      </c>
      <c r="M254" s="23"/>
      <c r="N254" s="23"/>
      <c r="O254" s="23"/>
    </row>
    <row r="255" customFormat="false" ht="15" hidden="false" customHeight="true" outlineLevel="0" collapsed="false">
      <c r="C255" s="27"/>
      <c r="D255" s="28"/>
      <c r="E255" s="28"/>
      <c r="H255" s="29" t="n">
        <f aca="false">IF(COUNT(D255:G255)=0,0,D255*IF(E255="",1,E255)*IF(F255="",1,F255)*IF(G255="",1,G255))</f>
        <v>0</v>
      </c>
      <c r="M255" s="23"/>
      <c r="N255" s="23"/>
      <c r="O255" s="23"/>
    </row>
    <row r="256" customFormat="false" ht="18.75" hidden="false" customHeight="true" outlineLevel="0" collapsed="false">
      <c r="H256" s="30"/>
      <c r="I256" s="31" t="n">
        <f aca="false">ROUND(SUM(H253:H255),2)</f>
        <v>217.99</v>
      </c>
      <c r="J256" s="32" t="n">
        <v>46</v>
      </c>
      <c r="K256" s="31" t="n">
        <f aca="false">ROUND(I256*J256,2)</f>
        <v>10027.54</v>
      </c>
      <c r="L256" s="33" t="s">
        <v>238</v>
      </c>
      <c r="M256" s="23" t="s">
        <v>123</v>
      </c>
      <c r="N256" s="23" t="s">
        <v>28</v>
      </c>
      <c r="O256" s="23" t="s">
        <v>311</v>
      </c>
    </row>
    <row r="257" customFormat="false" ht="15" hidden="false" customHeight="true" outlineLevel="0" collapsed="false">
      <c r="A257" s="3" t="s">
        <v>330</v>
      </c>
      <c r="B257" s="3" t="s">
        <v>140</v>
      </c>
      <c r="C257" s="3" t="s">
        <v>331</v>
      </c>
      <c r="M257" s="23"/>
      <c r="N257" s="23"/>
      <c r="O257" s="23"/>
    </row>
    <row r="258" customFormat="false" ht="24" hidden="false" customHeight="true" outlineLevel="0" collapsed="false">
      <c r="C258" s="26" t="s">
        <v>332</v>
      </c>
      <c r="M258" s="23"/>
      <c r="N258" s="23"/>
      <c r="O258" s="23"/>
    </row>
    <row r="259" customFormat="false" ht="15" hidden="false" customHeight="true" outlineLevel="0" collapsed="false">
      <c r="C259" s="27" t="s">
        <v>333</v>
      </c>
      <c r="D259" s="28" t="n">
        <v>1</v>
      </c>
      <c r="E259" s="28" t="n">
        <v>30</v>
      </c>
      <c r="H259" s="29" t="n">
        <f aca="false">IF(COUNT(D259:G259)=0,0,D259*IF(E259="",1,E259)*IF(F259="",1,F259)*IF(G259="",1,G259))</f>
        <v>30</v>
      </c>
      <c r="M259" s="23"/>
      <c r="N259" s="23"/>
      <c r="O259" s="23"/>
    </row>
    <row r="260" customFormat="false" ht="18.75" hidden="false" customHeight="true" outlineLevel="0" collapsed="false">
      <c r="H260" s="30"/>
      <c r="I260" s="31" t="n">
        <f aca="false">ROUND(SUM(H259:H259),2)</f>
        <v>30</v>
      </c>
      <c r="J260" s="32" t="n">
        <v>98</v>
      </c>
      <c r="K260" s="31" t="n">
        <f aca="false">ROUND(I260*J260,2)</f>
        <v>2940</v>
      </c>
      <c r="L260" s="33" t="s">
        <v>238</v>
      </c>
      <c r="M260" s="23" t="s">
        <v>123</v>
      </c>
      <c r="N260" s="23" t="s">
        <v>28</v>
      </c>
      <c r="O260" s="23" t="s">
        <v>311</v>
      </c>
    </row>
    <row r="261" customFormat="false" ht="15" hidden="false" customHeight="true" outlineLevel="0" collapsed="false">
      <c r="A261" s="3" t="s">
        <v>334</v>
      </c>
      <c r="B261" s="3" t="s">
        <v>152</v>
      </c>
      <c r="C261" s="3" t="s">
        <v>335</v>
      </c>
      <c r="M261" s="23"/>
      <c r="N261" s="23"/>
      <c r="O261" s="23"/>
    </row>
    <row r="262" customFormat="false" ht="24" hidden="false" customHeight="true" outlineLevel="0" collapsed="false">
      <c r="C262" s="26" t="s">
        <v>336</v>
      </c>
      <c r="M262" s="23"/>
      <c r="N262" s="23"/>
      <c r="O262" s="23"/>
    </row>
    <row r="263" customFormat="false" ht="15" hidden="false" customHeight="true" outlineLevel="0" collapsed="false">
      <c r="C263" s="27" t="s">
        <v>337</v>
      </c>
      <c r="D263" s="28" t="n">
        <v>1</v>
      </c>
      <c r="E263" s="28" t="n">
        <v>20</v>
      </c>
      <c r="F263" s="28" t="n">
        <v>0.2</v>
      </c>
      <c r="G263" s="28" t="n">
        <v>1.1</v>
      </c>
      <c r="H263" s="29" t="n">
        <f aca="false">IF(COUNT(D263:G263)=0,0,D263*IF(E263="",1,E263)*IF(F263="",1,F263)*IF(G263="",1,G263))</f>
        <v>4.4</v>
      </c>
      <c r="M263" s="23"/>
      <c r="N263" s="23"/>
      <c r="O263" s="23"/>
    </row>
    <row r="264" customFormat="false" ht="18.75" hidden="false" customHeight="true" outlineLevel="0" collapsed="false">
      <c r="H264" s="30"/>
      <c r="I264" s="31" t="n">
        <f aca="false">ROUND(SUM(H263:H263),2)</f>
        <v>4.4</v>
      </c>
      <c r="J264" s="32" t="n">
        <v>430</v>
      </c>
      <c r="K264" s="31" t="n">
        <f aca="false">ROUND(I264*J264,2)</f>
        <v>1892</v>
      </c>
      <c r="L264" s="33" t="s">
        <v>238</v>
      </c>
      <c r="M264" s="23" t="s">
        <v>123</v>
      </c>
      <c r="N264" s="23" t="s">
        <v>28</v>
      </c>
      <c r="O264" s="23" t="s">
        <v>311</v>
      </c>
    </row>
    <row r="265" customFormat="false" ht="15" hidden="false" customHeight="true" outlineLevel="0" collapsed="false">
      <c r="A265" s="3" t="s">
        <v>338</v>
      </c>
      <c r="B265" s="3" t="s">
        <v>117</v>
      </c>
      <c r="C265" s="3" t="s">
        <v>339</v>
      </c>
      <c r="M265" s="23"/>
      <c r="N265" s="23"/>
      <c r="O265" s="23"/>
    </row>
    <row r="266" customFormat="false" ht="24" hidden="false" customHeight="true" outlineLevel="0" collapsed="false">
      <c r="C266" s="26" t="s">
        <v>340</v>
      </c>
      <c r="M266" s="23"/>
      <c r="N266" s="23"/>
      <c r="O266" s="23"/>
    </row>
    <row r="267" customFormat="false" ht="15" hidden="false" customHeight="true" outlineLevel="0" collapsed="false">
      <c r="C267" s="27" t="s">
        <v>316</v>
      </c>
      <c r="D267" s="28" t="n">
        <v>1</v>
      </c>
      <c r="E267" s="35" t="n">
        <f aca="false">'Mediciones BIM'!E11</f>
        <v>82.06</v>
      </c>
      <c r="H267" s="29" t="n">
        <f aca="false">IF(COUNT(D267:G267)=0,0,D267*IF(E267="",1,E267)*IF(F267="",1,F267)*IF(G267="",1,G267))</f>
        <v>82.06</v>
      </c>
      <c r="M267" s="23"/>
      <c r="N267" s="23"/>
      <c r="O267" s="23"/>
    </row>
    <row r="268" customFormat="false" ht="18.75" hidden="false" customHeight="true" outlineLevel="0" collapsed="false">
      <c r="H268" s="30"/>
      <c r="I268" s="31" t="n">
        <f aca="false">ROUND(SUM(H267:H267),2)</f>
        <v>82.06</v>
      </c>
      <c r="J268" s="32" t="n">
        <v>108</v>
      </c>
      <c r="K268" s="31" t="n">
        <f aca="false">ROUND(I268*J268,2)</f>
        <v>8862.48</v>
      </c>
      <c r="L268" s="33" t="s">
        <v>238</v>
      </c>
      <c r="M268" s="23" t="s">
        <v>123</v>
      </c>
      <c r="N268" s="23" t="s">
        <v>28</v>
      </c>
      <c r="O268" s="23" t="s">
        <v>311</v>
      </c>
    </row>
    <row r="269" customFormat="false" ht="15" hidden="false" customHeight="true" outlineLevel="0" collapsed="false">
      <c r="A269" s="3" t="s">
        <v>341</v>
      </c>
      <c r="B269" s="3" t="s">
        <v>129</v>
      </c>
      <c r="C269" s="3" t="s">
        <v>342</v>
      </c>
      <c r="M269" s="23"/>
      <c r="N269" s="23"/>
      <c r="O269" s="23"/>
    </row>
    <row r="270" customFormat="false" ht="24" hidden="false" customHeight="true" outlineLevel="0" collapsed="false">
      <c r="C270" s="26" t="s">
        <v>343</v>
      </c>
      <c r="M270" s="23"/>
      <c r="N270" s="23"/>
      <c r="O270" s="23"/>
    </row>
    <row r="271" customFormat="false" ht="15" hidden="false" customHeight="true" outlineLevel="0" collapsed="false">
      <c r="C271" s="27" t="s">
        <v>344</v>
      </c>
      <c r="D271" s="28" t="n">
        <v>19</v>
      </c>
      <c r="H271" s="29" t="n">
        <f aca="false">IF(COUNT(D271:G271)=0,0,D271*IF(E271="",1,E271)*IF(F271="",1,F271)*IF(G271="",1,G271))</f>
        <v>19</v>
      </c>
      <c r="M271" s="23"/>
      <c r="N271" s="23"/>
      <c r="O271" s="23"/>
    </row>
    <row r="272" customFormat="false" ht="15" hidden="false" customHeight="true" outlineLevel="0" collapsed="false">
      <c r="C272" s="27" t="s">
        <v>345</v>
      </c>
      <c r="D272" s="28" t="n">
        <v>17</v>
      </c>
      <c r="H272" s="29" t="n">
        <f aca="false">IF(COUNT(D272:G272)=0,0,D272*IF(E272="",1,E272)*IF(F272="",1,F272)*IF(G272="",1,G272))</f>
        <v>17</v>
      </c>
      <c r="M272" s="23"/>
      <c r="N272" s="23"/>
      <c r="O272" s="23"/>
    </row>
    <row r="273" customFormat="false" ht="18.75" hidden="false" customHeight="true" outlineLevel="0" collapsed="false">
      <c r="H273" s="30"/>
      <c r="I273" s="31" t="n">
        <f aca="false">ROUND(SUM(H271:H272),2)</f>
        <v>36</v>
      </c>
      <c r="J273" s="32" t="n">
        <v>120</v>
      </c>
      <c r="K273" s="31" t="n">
        <f aca="false">ROUND(I273*J273,2)</f>
        <v>4320</v>
      </c>
      <c r="L273" s="33" t="s">
        <v>346</v>
      </c>
      <c r="M273" s="23" t="s">
        <v>123</v>
      </c>
      <c r="N273" s="23" t="s">
        <v>28</v>
      </c>
      <c r="O273" s="23" t="s">
        <v>311</v>
      </c>
    </row>
    <row r="274" customFormat="false" ht="15" hidden="false" customHeight="true" outlineLevel="0" collapsed="false">
      <c r="A274" s="3" t="s">
        <v>347</v>
      </c>
      <c r="B274" s="3" t="s">
        <v>117</v>
      </c>
      <c r="C274" s="3" t="s">
        <v>348</v>
      </c>
      <c r="M274" s="23"/>
      <c r="N274" s="23"/>
      <c r="O274" s="23"/>
    </row>
    <row r="275" customFormat="false" ht="36" hidden="false" customHeight="true" outlineLevel="0" collapsed="false">
      <c r="C275" s="26" t="s">
        <v>349</v>
      </c>
      <c r="M275" s="23"/>
      <c r="N275" s="23"/>
      <c r="O275" s="23"/>
    </row>
    <row r="276" customFormat="false" ht="15" hidden="false" customHeight="true" outlineLevel="0" collapsed="false">
      <c r="C276" s="27" t="s">
        <v>350</v>
      </c>
      <c r="D276" s="28" t="n">
        <v>1</v>
      </c>
      <c r="E276" s="28" t="n">
        <v>49.52</v>
      </c>
      <c r="H276" s="29" t="n">
        <f aca="false">IF(COUNT(D276:G276)=0,0,D276*IF(E276="",1,E276)*IF(F276="",1,F276)*IF(G276="",1,G276))</f>
        <v>49.52</v>
      </c>
      <c r="M276" s="23"/>
      <c r="N276" s="23"/>
      <c r="O276" s="23"/>
    </row>
    <row r="277" customFormat="false" ht="27.75" hidden="false" customHeight="true" outlineLevel="0" collapsed="false">
      <c r="H277" s="30"/>
      <c r="I277" s="31" t="n">
        <f aca="false">ROUND(SUM(H276:H276),2)</f>
        <v>49.52</v>
      </c>
      <c r="J277" s="32" t="n">
        <v>24</v>
      </c>
      <c r="K277" s="31" t="n">
        <f aca="false">ROUND(I277*J277,2)</f>
        <v>1188.48</v>
      </c>
      <c r="L277" s="33" t="s">
        <v>321</v>
      </c>
      <c r="M277" s="23" t="s">
        <v>123</v>
      </c>
      <c r="N277" s="23" t="s">
        <v>28</v>
      </c>
      <c r="O277" s="23" t="s">
        <v>311</v>
      </c>
    </row>
    <row r="278" customFormat="false" ht="15" hidden="false" customHeight="true" outlineLevel="0" collapsed="false">
      <c r="A278" s="3" t="s">
        <v>351</v>
      </c>
      <c r="B278" s="3" t="s">
        <v>323</v>
      </c>
      <c r="C278" s="3" t="s">
        <v>352</v>
      </c>
      <c r="M278" s="23"/>
      <c r="N278" s="23"/>
      <c r="O278" s="23"/>
    </row>
    <row r="279" customFormat="false" ht="24" hidden="false" customHeight="true" outlineLevel="0" collapsed="false">
      <c r="C279" s="26" t="s">
        <v>353</v>
      </c>
      <c r="M279" s="23"/>
      <c r="N279" s="23"/>
      <c r="O279" s="23"/>
    </row>
    <row r="280" customFormat="false" ht="15" hidden="false" customHeight="true" outlineLevel="0" collapsed="false">
      <c r="C280" s="27" t="s">
        <v>354</v>
      </c>
      <c r="D280" s="28" t="n">
        <v>1</v>
      </c>
      <c r="E280" s="35" t="n">
        <v>473</v>
      </c>
      <c r="F280" s="28"/>
      <c r="G280" s="28"/>
      <c r="H280" s="29" t="n">
        <f aca="false">IF(COUNT(D280:G280)=0,0,D280*IF(E280="",1,E280)*IF(F280="",1,F280)*IF(G280="",1,G280))</f>
        <v>473</v>
      </c>
      <c r="M280" s="23"/>
      <c r="N280" s="23"/>
      <c r="O280" s="23"/>
    </row>
    <row r="281" customFormat="false" ht="15" hidden="false" customHeight="true" outlineLevel="0" collapsed="false">
      <c r="H281" s="30"/>
      <c r="I281" s="31" t="n">
        <f aca="false">ROUND(SUM(H280:H280),2)</f>
        <v>473</v>
      </c>
      <c r="J281" s="32" t="n">
        <v>3.2</v>
      </c>
      <c r="K281" s="31" t="n">
        <f aca="false">ROUND(I281*J281,2)</f>
        <v>1513.6</v>
      </c>
      <c r="L281" s="33" t="s">
        <v>355</v>
      </c>
      <c r="M281" s="23" t="s">
        <v>123</v>
      </c>
      <c r="N281" s="23" t="s">
        <v>28</v>
      </c>
      <c r="O281" s="23" t="s">
        <v>311</v>
      </c>
    </row>
    <row r="282" customFormat="false" ht="15" hidden="false" customHeight="true" outlineLevel="0" collapsed="false">
      <c r="A282" s="3" t="s">
        <v>356</v>
      </c>
      <c r="B282" s="3" t="s">
        <v>117</v>
      </c>
      <c r="C282" s="3" t="s">
        <v>357</v>
      </c>
      <c r="M282" s="23"/>
      <c r="N282" s="23"/>
      <c r="O282" s="23"/>
    </row>
    <row r="283" customFormat="false" ht="36" hidden="false" customHeight="true" outlineLevel="0" collapsed="false">
      <c r="C283" s="26" t="s">
        <v>358</v>
      </c>
      <c r="M283" s="23"/>
      <c r="N283" s="23"/>
      <c r="O283" s="23"/>
    </row>
    <row r="284" customFormat="false" ht="15" hidden="false" customHeight="true" outlineLevel="0" collapsed="false">
      <c r="C284" s="27" t="s">
        <v>304</v>
      </c>
      <c r="D284" s="28" t="n">
        <v>1</v>
      </c>
      <c r="E284" s="35" t="n">
        <f aca="false">'Mediciones BIM'!E13</f>
        <v>11.06</v>
      </c>
      <c r="H284" s="29" t="n">
        <f aca="false">IF(COUNT(D284:G284)=0,0,D284*IF(E284="",1,E284)*IF(F284="",1,F284)*IF(G284="",1,G284))</f>
        <v>11.06</v>
      </c>
      <c r="M284" s="23"/>
      <c r="N284" s="23"/>
      <c r="O284" s="23"/>
    </row>
    <row r="285" customFormat="false" ht="15" hidden="false" customHeight="true" outlineLevel="0" collapsed="false">
      <c r="C285" s="27"/>
      <c r="D285" s="28"/>
      <c r="E285" s="28"/>
      <c r="H285" s="29"/>
      <c r="I285" s="1" t="n">
        <f aca="false">ROUND(SUM(H284:H284),2)</f>
        <v>11.06</v>
      </c>
      <c r="J285" s="1" t="n">
        <v>68</v>
      </c>
      <c r="K285" s="1" t="n">
        <f aca="false">ROUND(I285*J285,2)</f>
        <v>752.08</v>
      </c>
      <c r="L285" s="1" t="s">
        <v>359</v>
      </c>
      <c r="M285" s="23" t="s">
        <v>123</v>
      </c>
      <c r="N285" s="23" t="s">
        <v>28</v>
      </c>
      <c r="O285" s="23" t="s">
        <v>311</v>
      </c>
    </row>
    <row r="286" customFormat="false" ht="15" hidden="false" customHeight="true" outlineLevel="0" collapsed="false">
      <c r="C286" s="34" t="s">
        <v>360</v>
      </c>
      <c r="K286" s="14" t="n">
        <f aca="false">SUMIFS($K$5:$K$285,$M$5:$M$285,"P",$N$5:$N$285,"05")</f>
        <v>86385.23</v>
      </c>
      <c r="M286" s="23"/>
      <c r="N286" s="23"/>
      <c r="O286" s="23"/>
    </row>
    <row r="287" customFormat="false" ht="15" hidden="false" customHeight="true" outlineLevel="0" collapsed="false">
      <c r="M287" s="23"/>
      <c r="N287" s="23"/>
      <c r="O287" s="23"/>
    </row>
    <row r="288" customFormat="false" ht="15" hidden="false" customHeight="true" outlineLevel="0" collapsed="false">
      <c r="A288" s="24" t="s">
        <v>34</v>
      </c>
      <c r="B288" s="25"/>
      <c r="C288" s="24" t="s">
        <v>35</v>
      </c>
      <c r="D288" s="25"/>
      <c r="E288" s="25"/>
      <c r="F288" s="25"/>
      <c r="G288" s="25"/>
      <c r="H288" s="25"/>
      <c r="I288" s="25"/>
      <c r="J288" s="25"/>
      <c r="K288" s="25"/>
      <c r="L288" s="25"/>
      <c r="M288" s="23" t="s">
        <v>115</v>
      </c>
      <c r="N288" s="23" t="s">
        <v>34</v>
      </c>
      <c r="O288" s="23"/>
    </row>
    <row r="289" customFormat="false" ht="15" hidden="false" customHeight="true" outlineLevel="0" collapsed="false">
      <c r="A289" s="3" t="s">
        <v>361</v>
      </c>
      <c r="B289" s="3" t="s">
        <v>117</v>
      </c>
      <c r="C289" s="3" t="s">
        <v>362</v>
      </c>
      <c r="M289" s="23"/>
      <c r="N289" s="23"/>
      <c r="O289" s="23"/>
    </row>
    <row r="290" customFormat="false" ht="36" hidden="false" customHeight="true" outlineLevel="0" collapsed="false">
      <c r="C290" s="26" t="s">
        <v>363</v>
      </c>
      <c r="M290" s="23"/>
      <c r="N290" s="23"/>
      <c r="O290" s="23"/>
    </row>
    <row r="291" customFormat="false" ht="15" hidden="false" customHeight="true" outlineLevel="0" collapsed="false">
      <c r="C291" s="27" t="s">
        <v>316</v>
      </c>
      <c r="D291" s="28" t="n">
        <v>1</v>
      </c>
      <c r="E291" s="35" t="n">
        <f aca="false">'Mediciones BIM'!E14</f>
        <v>81.61</v>
      </c>
      <c r="G291" s="28"/>
      <c r="H291" s="29" t="n">
        <f aca="false">IF(COUNT(D291:G291)=0,0,D291*IF(E291="",1,E291)*IF(F291="",1,F291)*IF(G291="",1,G291))</f>
        <v>81.61</v>
      </c>
      <c r="M291" s="23"/>
      <c r="N291" s="23"/>
      <c r="O291" s="23"/>
    </row>
    <row r="292" customFormat="false" ht="15" hidden="false" customHeight="true" outlineLevel="0" collapsed="false">
      <c r="C292" s="27"/>
      <c r="D292" s="28"/>
      <c r="E292" s="28"/>
      <c r="G292" s="28"/>
      <c r="H292" s="29" t="n">
        <f aca="false">IF(COUNT(D292:G292)=0,0,D292*IF(E292="",1,E292)*IF(F292="",1,F292)*IF(G292="",1,G292))</f>
        <v>0</v>
      </c>
      <c r="M292" s="23"/>
      <c r="N292" s="23"/>
      <c r="O292" s="23"/>
    </row>
    <row r="293" customFormat="false" ht="15" hidden="false" customHeight="true" outlineLevel="0" collapsed="false">
      <c r="C293" s="27"/>
      <c r="D293" s="28"/>
      <c r="E293" s="28"/>
      <c r="G293" s="28"/>
      <c r="H293" s="29" t="n">
        <f aca="false">IF(COUNT(D293:G293)=0,0,D293*IF(E293="",1,E293)*IF(F293="",1,F293)*IF(G293="",1,G293))</f>
        <v>0</v>
      </c>
      <c r="M293" s="23"/>
      <c r="N293" s="23"/>
      <c r="O293" s="23"/>
    </row>
    <row r="294" customFormat="false" ht="15" hidden="false" customHeight="true" outlineLevel="0" collapsed="false">
      <c r="C294" s="27"/>
      <c r="D294" s="28"/>
      <c r="E294" s="28"/>
      <c r="H294" s="29" t="n">
        <f aca="false">IF(COUNT(D294:G294)=0,0,D294*IF(E294="",1,E294)*IF(F294="",1,F294)*IF(G294="",1,G294))</f>
        <v>0</v>
      </c>
      <c r="M294" s="23"/>
      <c r="N294" s="23"/>
      <c r="O294" s="23"/>
    </row>
    <row r="295" customFormat="false" ht="15" hidden="false" customHeight="true" outlineLevel="0" collapsed="false">
      <c r="C295" s="27"/>
      <c r="D295" s="28"/>
      <c r="E295" s="28"/>
      <c r="H295" s="29" t="n">
        <f aca="false">IF(COUNT(D295:G295)=0,0,D295*IF(E295="",1,E295)*IF(F295="",1,F295)*IF(G295="",1,G295))</f>
        <v>0</v>
      </c>
      <c r="M295" s="23"/>
      <c r="N295" s="23"/>
      <c r="O295" s="23"/>
    </row>
    <row r="296" customFormat="false" ht="15" hidden="false" customHeight="true" outlineLevel="0" collapsed="false">
      <c r="C296" s="27"/>
      <c r="D296" s="28"/>
      <c r="E296" s="28"/>
      <c r="G296" s="28"/>
      <c r="H296" s="29" t="n">
        <f aca="false">IF(COUNT(D296:G296)=0,0,D296*IF(E296="",1,E296)*IF(F296="",1,F296)*IF(G296="",1,G296))</f>
        <v>0</v>
      </c>
      <c r="M296" s="23"/>
      <c r="N296" s="23"/>
      <c r="O296" s="23"/>
    </row>
    <row r="297" customFormat="false" ht="15" hidden="false" customHeight="true" outlineLevel="0" collapsed="false">
      <c r="C297" s="27"/>
      <c r="D297" s="28"/>
      <c r="E297" s="28"/>
      <c r="G297" s="28"/>
      <c r="H297" s="29" t="n">
        <f aca="false">IF(COUNT(D297:G297)=0,0,D297*IF(E297="",1,E297)*IF(F297="",1,F297)*IF(G297="",1,G297))</f>
        <v>0</v>
      </c>
      <c r="M297" s="23"/>
      <c r="N297" s="23"/>
      <c r="O297" s="23"/>
    </row>
    <row r="298" customFormat="false" ht="15" hidden="false" customHeight="true" outlineLevel="0" collapsed="false">
      <c r="C298" s="27"/>
      <c r="D298" s="28"/>
      <c r="E298" s="28"/>
      <c r="H298" s="29" t="n">
        <f aca="false">IF(COUNT(D298:G298)=0,0,D298*IF(E298="",1,E298)*IF(F298="",1,F298)*IF(G298="",1,G298))</f>
        <v>0</v>
      </c>
      <c r="M298" s="23"/>
      <c r="N298" s="23"/>
      <c r="O298" s="23"/>
    </row>
    <row r="299" customFormat="false" ht="18.75" hidden="false" customHeight="true" outlineLevel="0" collapsed="false">
      <c r="H299" s="30"/>
      <c r="I299" s="31" t="n">
        <f aca="false">ROUND(SUM(H291:H298),2)</f>
        <v>81.61</v>
      </c>
      <c r="J299" s="32" t="n">
        <v>82</v>
      </c>
      <c r="K299" s="31" t="n">
        <f aca="false">ROUND(I299*J299,2)</f>
        <v>6692.02</v>
      </c>
      <c r="L299" s="33" t="s">
        <v>238</v>
      </c>
      <c r="M299" s="23" t="s">
        <v>123</v>
      </c>
      <c r="N299" s="23" t="s">
        <v>34</v>
      </c>
      <c r="O299" s="23"/>
    </row>
    <row r="300" customFormat="false" ht="15" hidden="false" customHeight="true" outlineLevel="0" collapsed="false">
      <c r="A300" s="3" t="s">
        <v>364</v>
      </c>
      <c r="B300" s="3" t="s">
        <v>117</v>
      </c>
      <c r="C300" s="3" t="s">
        <v>365</v>
      </c>
      <c r="M300" s="23"/>
      <c r="N300" s="23"/>
      <c r="O300" s="23"/>
    </row>
    <row r="301" customFormat="false" ht="36" hidden="false" customHeight="true" outlineLevel="0" collapsed="false">
      <c r="C301" s="26" t="s">
        <v>366</v>
      </c>
      <c r="M301" s="23"/>
      <c r="N301" s="23"/>
      <c r="O301" s="23"/>
    </row>
    <row r="302" customFormat="false" ht="15" hidden="false" customHeight="true" outlineLevel="0" collapsed="false">
      <c r="C302" s="27" t="s">
        <v>316</v>
      </c>
      <c r="D302" s="28" t="n">
        <v>1</v>
      </c>
      <c r="E302" s="35" t="n">
        <f aca="false">'Mediciones BIM'!E15</f>
        <v>83.8</v>
      </c>
      <c r="G302" s="28"/>
      <c r="H302" s="29" t="n">
        <f aca="false">IF(COUNT(D302:G302)=0,0,D302*IF(E302="",1,E302)*IF(F302="",1,F302)*IF(G302="",1,G302))</f>
        <v>83.8</v>
      </c>
      <c r="M302" s="23"/>
      <c r="N302" s="23"/>
      <c r="O302" s="23"/>
    </row>
    <row r="303" customFormat="false" ht="15" hidden="false" customHeight="true" outlineLevel="0" collapsed="false">
      <c r="C303" s="27"/>
      <c r="D303" s="28"/>
      <c r="E303" s="28"/>
      <c r="G303" s="28"/>
      <c r="H303" s="29" t="n">
        <f aca="false">IF(COUNT(D303:G303)=0,0,D303*IF(E303="",1,E303)*IF(F303="",1,F303)*IF(G303="",1,G303))</f>
        <v>0</v>
      </c>
      <c r="M303" s="23"/>
      <c r="N303" s="23"/>
      <c r="O303" s="23"/>
    </row>
    <row r="304" customFormat="false" ht="15" hidden="false" customHeight="true" outlineLevel="0" collapsed="false">
      <c r="C304" s="27"/>
      <c r="D304" s="28"/>
      <c r="E304" s="28"/>
      <c r="G304" s="28"/>
      <c r="H304" s="29" t="n">
        <f aca="false">IF(COUNT(D304:G304)=0,0,D304*IF(E304="",1,E304)*IF(F304="",1,F304)*IF(G304="",1,G304))</f>
        <v>0</v>
      </c>
      <c r="M304" s="23"/>
      <c r="N304" s="23"/>
      <c r="O304" s="23"/>
    </row>
    <row r="305" customFormat="false" ht="15" hidden="false" customHeight="true" outlineLevel="0" collapsed="false">
      <c r="C305" s="27"/>
      <c r="D305" s="28"/>
      <c r="E305" s="28"/>
      <c r="H305" s="29" t="n">
        <f aca="false">IF(COUNT(D305:G305)=0,0,D305*IF(E305="",1,E305)*IF(F305="",1,F305)*IF(G305="",1,G305))</f>
        <v>0</v>
      </c>
      <c r="M305" s="23"/>
      <c r="N305" s="23"/>
      <c r="O305" s="23"/>
    </row>
    <row r="306" customFormat="false" ht="18.75" hidden="false" customHeight="true" outlineLevel="0" collapsed="false">
      <c r="H306" s="30"/>
      <c r="I306" s="31" t="n">
        <f aca="false">ROUND(SUM(H302:H305),2)</f>
        <v>83.8</v>
      </c>
      <c r="J306" s="32" t="n">
        <v>58</v>
      </c>
      <c r="K306" s="31" t="n">
        <f aca="false">ROUND(I306*J306,2)</f>
        <v>4860.4</v>
      </c>
      <c r="L306" s="33" t="s">
        <v>238</v>
      </c>
      <c r="M306" s="23" t="s">
        <v>123</v>
      </c>
      <c r="N306" s="23" t="s">
        <v>34</v>
      </c>
      <c r="O306" s="23"/>
    </row>
    <row r="307" customFormat="false" ht="15" hidden="false" customHeight="true" outlineLevel="0" collapsed="false">
      <c r="A307" s="3" t="s">
        <v>367</v>
      </c>
      <c r="B307" s="3" t="s">
        <v>117</v>
      </c>
      <c r="C307" s="3" t="s">
        <v>368</v>
      </c>
      <c r="M307" s="23"/>
      <c r="N307" s="23"/>
      <c r="O307" s="23"/>
    </row>
    <row r="308" customFormat="false" ht="36" hidden="false" customHeight="true" outlineLevel="0" collapsed="false">
      <c r="C308" s="26" t="s">
        <v>369</v>
      </c>
      <c r="M308" s="23"/>
      <c r="N308" s="23"/>
      <c r="O308" s="23"/>
    </row>
    <row r="309" customFormat="false" ht="15" hidden="false" customHeight="true" outlineLevel="0" collapsed="false">
      <c r="C309" s="27" t="s">
        <v>316</v>
      </c>
      <c r="D309" s="28" t="n">
        <v>1</v>
      </c>
      <c r="E309" s="35" t="n">
        <f aca="false">'Mediciones BIM'!E16</f>
        <v>374.64</v>
      </c>
      <c r="G309" s="28"/>
      <c r="H309" s="29" t="n">
        <f aca="false">IF(COUNT(D309:G309)=0,0,D309*IF(E309="",1,E309)*IF(F309="",1,F309)*IF(G309="",1,G309))</f>
        <v>374.64</v>
      </c>
      <c r="M309" s="23"/>
      <c r="N309" s="23"/>
      <c r="O309" s="23"/>
    </row>
    <row r="310" customFormat="false" ht="15" hidden="false" customHeight="true" outlineLevel="0" collapsed="false">
      <c r="C310" s="27"/>
      <c r="D310" s="28"/>
      <c r="E310" s="28"/>
      <c r="G310" s="28"/>
      <c r="H310" s="29" t="n">
        <f aca="false">IF(COUNT(D310:G310)=0,0,D310*IF(E310="",1,E310)*IF(F310="",1,F310)*IF(G310="",1,G310))</f>
        <v>0</v>
      </c>
      <c r="M310" s="23"/>
      <c r="N310" s="23"/>
      <c r="O310" s="23"/>
    </row>
    <row r="311" customFormat="false" ht="15" hidden="false" customHeight="true" outlineLevel="0" collapsed="false">
      <c r="C311" s="27"/>
      <c r="D311" s="28"/>
      <c r="E311" s="28"/>
      <c r="G311" s="28"/>
      <c r="H311" s="29" t="n">
        <f aca="false">IF(COUNT(D311:G311)=0,0,D311*IF(E311="",1,E311)*IF(F311="",1,F311)*IF(G311="",1,G311))</f>
        <v>0</v>
      </c>
      <c r="M311" s="23"/>
      <c r="N311" s="23"/>
      <c r="O311" s="23"/>
    </row>
    <row r="312" customFormat="false" ht="15" hidden="false" customHeight="true" outlineLevel="0" collapsed="false">
      <c r="C312" s="27"/>
      <c r="D312" s="28"/>
      <c r="E312" s="28"/>
      <c r="G312" s="28"/>
      <c r="H312" s="29" t="n">
        <f aca="false">IF(COUNT(D312:G312)=0,0,D312*IF(E312="",1,E312)*IF(F312="",1,F312)*IF(G312="",1,G312))</f>
        <v>0</v>
      </c>
      <c r="M312" s="23"/>
      <c r="N312" s="23"/>
      <c r="O312" s="23"/>
    </row>
    <row r="313" customFormat="false" ht="15" hidden="false" customHeight="true" outlineLevel="0" collapsed="false">
      <c r="C313" s="27"/>
      <c r="D313" s="28"/>
      <c r="E313" s="28"/>
      <c r="G313" s="28"/>
      <c r="H313" s="29" t="n">
        <f aca="false">IF(COUNT(D313:G313)=0,0,D313*IF(E313="",1,E313)*IF(F313="",1,F313)*IF(G313="",1,G313))</f>
        <v>0</v>
      </c>
      <c r="M313" s="23"/>
      <c r="N313" s="23"/>
      <c r="O313" s="23"/>
    </row>
    <row r="314" customFormat="false" ht="18.75" hidden="false" customHeight="true" outlineLevel="0" collapsed="false">
      <c r="H314" s="30"/>
      <c r="I314" s="31" t="n">
        <f aca="false">ROUND(SUM(H309:H313),2)</f>
        <v>374.64</v>
      </c>
      <c r="J314" s="32" t="n">
        <v>54</v>
      </c>
      <c r="K314" s="31" t="n">
        <f aca="false">ROUND(I314*J314,2)</f>
        <v>20230.56</v>
      </c>
      <c r="L314" s="33" t="s">
        <v>238</v>
      </c>
      <c r="M314" s="23" t="s">
        <v>123</v>
      </c>
      <c r="N314" s="23" t="s">
        <v>34</v>
      </c>
      <c r="O314" s="23"/>
    </row>
    <row r="315" customFormat="false" ht="15" hidden="false" customHeight="true" outlineLevel="0" collapsed="false">
      <c r="A315" s="3" t="s">
        <v>370</v>
      </c>
      <c r="B315" s="3" t="s">
        <v>117</v>
      </c>
      <c r="C315" s="3" t="s">
        <v>371</v>
      </c>
      <c r="M315" s="23"/>
      <c r="N315" s="23"/>
      <c r="O315" s="23"/>
    </row>
    <row r="316" customFormat="false" ht="24" hidden="false" customHeight="true" outlineLevel="0" collapsed="false">
      <c r="C316" s="26" t="s">
        <v>372</v>
      </c>
      <c r="M316" s="23"/>
      <c r="N316" s="23"/>
      <c r="O316" s="23"/>
    </row>
    <row r="317" customFormat="false" ht="15" hidden="false" customHeight="true" outlineLevel="0" collapsed="false">
      <c r="C317" s="27" t="s">
        <v>316</v>
      </c>
      <c r="D317" s="28" t="n">
        <v>1</v>
      </c>
      <c r="E317" s="35" t="n">
        <f aca="false">'Mediciones BIM'!E17</f>
        <v>328.06</v>
      </c>
      <c r="G317" s="28"/>
      <c r="H317" s="29" t="n">
        <f aca="false">IF(COUNT(D317:G317)=0,0,D317*IF(E317="",1,E317)*IF(F317="",1,F317)*IF(G317="",1,G317))</f>
        <v>328.06</v>
      </c>
      <c r="M317" s="23"/>
      <c r="N317" s="23"/>
      <c r="O317" s="23"/>
    </row>
    <row r="318" customFormat="false" ht="15" hidden="false" customHeight="true" outlineLevel="0" collapsed="false">
      <c r="C318" s="27"/>
      <c r="D318" s="28"/>
      <c r="E318" s="28"/>
      <c r="G318" s="28"/>
      <c r="H318" s="29" t="n">
        <f aca="false">IF(COUNT(D318:G318)=0,0,D318*IF(E318="",1,E318)*IF(F318="",1,F318)*IF(G318="",1,G318))</f>
        <v>0</v>
      </c>
      <c r="M318" s="23"/>
      <c r="N318" s="23"/>
      <c r="O318" s="23"/>
    </row>
    <row r="319" customFormat="false" ht="15" hidden="false" customHeight="true" outlineLevel="0" collapsed="false">
      <c r="C319" s="27"/>
      <c r="D319" s="28"/>
      <c r="E319" s="28"/>
      <c r="G319" s="28"/>
      <c r="H319" s="29" t="n">
        <f aca="false">IF(COUNT(D319:G319)=0,0,D319*IF(E319="",1,E319)*IF(F319="",1,F319)*IF(G319="",1,G319))</f>
        <v>0</v>
      </c>
      <c r="M319" s="23"/>
      <c r="N319" s="23"/>
      <c r="O319" s="23"/>
    </row>
    <row r="320" customFormat="false" ht="18.75" hidden="false" customHeight="true" outlineLevel="0" collapsed="false">
      <c r="H320" s="30"/>
      <c r="I320" s="31" t="n">
        <f aca="false">ROUND(SUM(H317:H319),2)</f>
        <v>328.06</v>
      </c>
      <c r="J320" s="32" t="n">
        <v>4.8</v>
      </c>
      <c r="K320" s="31" t="n">
        <f aca="false">ROUND(I320*J320,2)</f>
        <v>1574.69</v>
      </c>
      <c r="L320" s="33" t="s">
        <v>238</v>
      </c>
      <c r="M320" s="23" t="s">
        <v>123</v>
      </c>
      <c r="N320" s="23" t="s">
        <v>34</v>
      </c>
      <c r="O320" s="23"/>
    </row>
    <row r="321" customFormat="false" ht="15" hidden="false" customHeight="true" outlineLevel="0" collapsed="false">
      <c r="A321" s="3" t="s">
        <v>373</v>
      </c>
      <c r="B321" s="3" t="s">
        <v>117</v>
      </c>
      <c r="C321" s="3" t="s">
        <v>374</v>
      </c>
      <c r="M321" s="23"/>
      <c r="N321" s="23"/>
      <c r="O321" s="23"/>
    </row>
    <row r="322" customFormat="false" ht="24" hidden="false" customHeight="true" outlineLevel="0" collapsed="false">
      <c r="C322" s="26" t="s">
        <v>375</v>
      </c>
      <c r="M322" s="23"/>
      <c r="N322" s="23"/>
      <c r="O322" s="23"/>
    </row>
    <row r="323" customFormat="false" ht="15" hidden="false" customHeight="true" outlineLevel="0" collapsed="false">
      <c r="C323" s="27" t="s">
        <v>316</v>
      </c>
      <c r="D323" s="28" t="n">
        <v>1</v>
      </c>
      <c r="E323" s="35" t="n">
        <f aca="false">'Mediciones BIM'!E18</f>
        <v>99.47</v>
      </c>
      <c r="G323" s="28"/>
      <c r="H323" s="29" t="n">
        <f aca="false">IF(COUNT(D323:G323)=0,0,D323*IF(E323="",1,E323)*IF(F323="",1,F323)*IF(G323="",1,G323))</f>
        <v>99.47</v>
      </c>
      <c r="M323" s="23"/>
      <c r="N323" s="23"/>
      <c r="O323" s="23"/>
    </row>
    <row r="324" customFormat="false" ht="15" hidden="false" customHeight="true" outlineLevel="0" collapsed="false">
      <c r="C324" s="27"/>
      <c r="D324" s="28"/>
      <c r="E324" s="28"/>
      <c r="G324" s="28"/>
      <c r="H324" s="29" t="n">
        <f aca="false">IF(COUNT(D324:G324)=0,0,D324*IF(E324="",1,E324)*IF(F324="",1,F324)*IF(G324="",1,G324))</f>
        <v>0</v>
      </c>
      <c r="M324" s="23"/>
      <c r="N324" s="23"/>
      <c r="O324" s="23"/>
    </row>
    <row r="325" customFormat="false" ht="15" hidden="false" customHeight="true" outlineLevel="0" collapsed="false">
      <c r="C325" s="27"/>
      <c r="D325" s="28"/>
      <c r="E325" s="28"/>
      <c r="G325" s="28"/>
      <c r="H325" s="29" t="n">
        <f aca="false">IF(COUNT(D325:G325)=0,0,D325*IF(E325="",1,E325)*IF(F325="",1,F325)*IF(G325="",1,G325))</f>
        <v>0</v>
      </c>
      <c r="M325" s="23"/>
      <c r="N325" s="23"/>
      <c r="O325" s="23"/>
    </row>
    <row r="326" customFormat="false" ht="18.75" hidden="false" customHeight="true" outlineLevel="0" collapsed="false">
      <c r="H326" s="30"/>
      <c r="I326" s="31" t="n">
        <f aca="false">ROUND(SUM(H323:H325),2)</f>
        <v>99.47</v>
      </c>
      <c r="J326" s="32" t="n">
        <v>34</v>
      </c>
      <c r="K326" s="31" t="n">
        <f aca="false">ROUND(I326*J326,2)</f>
        <v>3381.98</v>
      </c>
      <c r="L326" s="33" t="s">
        <v>238</v>
      </c>
      <c r="M326" s="23" t="s">
        <v>123</v>
      </c>
      <c r="N326" s="23" t="s">
        <v>34</v>
      </c>
      <c r="O326" s="23"/>
    </row>
    <row r="327" customFormat="false" ht="15" hidden="false" customHeight="true" outlineLevel="0" collapsed="false">
      <c r="A327" s="3" t="s">
        <v>376</v>
      </c>
      <c r="B327" s="3" t="s">
        <v>117</v>
      </c>
      <c r="C327" s="3" t="s">
        <v>377</v>
      </c>
      <c r="M327" s="23"/>
      <c r="N327" s="23"/>
      <c r="O327" s="23"/>
    </row>
    <row r="328" customFormat="false" ht="24" hidden="false" customHeight="true" outlineLevel="0" collapsed="false">
      <c r="C328" s="26" t="s">
        <v>378</v>
      </c>
      <c r="M328" s="23"/>
      <c r="N328" s="23"/>
      <c r="O328" s="23"/>
    </row>
    <row r="329" customFormat="false" ht="15" hidden="false" customHeight="true" outlineLevel="0" collapsed="false">
      <c r="C329" s="27" t="s">
        <v>316</v>
      </c>
      <c r="D329" s="28" t="n">
        <v>1</v>
      </c>
      <c r="E329" s="35" t="n">
        <f aca="false">'Mediciones BIM'!E19</f>
        <v>111.98</v>
      </c>
      <c r="G329" s="28"/>
      <c r="H329" s="29" t="n">
        <f aca="false">IF(COUNT(D329:G329)=0,0,D329*IF(E329="",1,E329)*IF(F329="",1,F329)*IF(G329="",1,G329))</f>
        <v>111.98</v>
      </c>
      <c r="M329" s="23"/>
      <c r="N329" s="23"/>
      <c r="O329" s="23"/>
    </row>
    <row r="330" customFormat="false" ht="15" hidden="false" customHeight="true" outlineLevel="0" collapsed="false">
      <c r="C330" s="27"/>
      <c r="D330" s="28"/>
      <c r="E330" s="28"/>
      <c r="G330" s="28"/>
      <c r="H330" s="29" t="n">
        <f aca="false">IF(COUNT(D330:G330)=0,0,D330*IF(E330="",1,E330)*IF(F330="",1,F330)*IF(G330="",1,G330))</f>
        <v>0</v>
      </c>
      <c r="M330" s="23"/>
      <c r="N330" s="23"/>
      <c r="O330" s="23"/>
    </row>
    <row r="331" customFormat="false" ht="15" hidden="false" customHeight="true" outlineLevel="0" collapsed="false">
      <c r="C331" s="27"/>
      <c r="D331" s="28"/>
      <c r="E331" s="28"/>
      <c r="G331" s="28"/>
      <c r="H331" s="29" t="n">
        <f aca="false">IF(COUNT(D331:G331)=0,0,D331*IF(E331="",1,E331)*IF(F331="",1,F331)*IF(G331="",1,G331))</f>
        <v>0</v>
      </c>
      <c r="M331" s="23"/>
      <c r="N331" s="23"/>
      <c r="O331" s="23"/>
    </row>
    <row r="332" customFormat="false" ht="18.75" hidden="false" customHeight="true" outlineLevel="0" collapsed="false">
      <c r="H332" s="30"/>
      <c r="I332" s="31" t="n">
        <f aca="false">ROUND(SUM(H329:H331),2)</f>
        <v>111.98</v>
      </c>
      <c r="J332" s="32" t="n">
        <v>33</v>
      </c>
      <c r="K332" s="31" t="n">
        <f aca="false">ROUND(I332*J332,2)</f>
        <v>3695.34</v>
      </c>
      <c r="L332" s="33" t="s">
        <v>238</v>
      </c>
      <c r="M332" s="23" t="s">
        <v>123</v>
      </c>
      <c r="N332" s="23" t="s">
        <v>34</v>
      </c>
      <c r="O332" s="23"/>
    </row>
    <row r="333" customFormat="false" ht="15" hidden="false" customHeight="true" outlineLevel="0" collapsed="false">
      <c r="A333" s="3" t="s">
        <v>379</v>
      </c>
      <c r="B333" s="3" t="s">
        <v>140</v>
      </c>
      <c r="C333" s="3" t="s">
        <v>380</v>
      </c>
      <c r="M333" s="23"/>
      <c r="N333" s="23"/>
      <c r="O333" s="23"/>
    </row>
    <row r="334" customFormat="false" ht="24" hidden="false" customHeight="true" outlineLevel="0" collapsed="false">
      <c r="C334" s="26" t="s">
        <v>381</v>
      </c>
      <c r="M334" s="23"/>
      <c r="N334" s="23"/>
      <c r="O334" s="23"/>
    </row>
    <row r="335" customFormat="false" ht="15" hidden="false" customHeight="true" outlineLevel="0" collapsed="false">
      <c r="C335" s="27" t="s">
        <v>382</v>
      </c>
      <c r="D335" s="28" t="n">
        <v>4</v>
      </c>
      <c r="E335" s="28" t="n">
        <v>1.35</v>
      </c>
      <c r="H335" s="29" t="n">
        <f aca="false">IF(COUNT(D335:G335)=0,0,D335*IF(E335="",1,E335)*IF(F335="",1,F335)*IF(G335="",1,G335))</f>
        <v>5.4</v>
      </c>
      <c r="M335" s="23"/>
      <c r="N335" s="23"/>
      <c r="O335" s="23"/>
    </row>
    <row r="336" customFormat="false" ht="15" hidden="false" customHeight="true" outlineLevel="0" collapsed="false">
      <c r="C336" s="27" t="s">
        <v>383</v>
      </c>
      <c r="D336" s="28" t="n">
        <v>3</v>
      </c>
      <c r="E336" s="28" t="n">
        <v>1.35</v>
      </c>
      <c r="H336" s="29" t="n">
        <f aca="false">IF(COUNT(D336:G336)=0,0,D336*IF(E336="",1,E336)*IF(F336="",1,F336)*IF(G336="",1,G336))</f>
        <v>4.05</v>
      </c>
      <c r="M336" s="23"/>
      <c r="N336" s="23"/>
      <c r="O336" s="23"/>
    </row>
    <row r="337" customFormat="false" ht="15" hidden="false" customHeight="true" outlineLevel="0" collapsed="false">
      <c r="C337" s="27" t="s">
        <v>384</v>
      </c>
      <c r="D337" s="28" t="n">
        <v>1</v>
      </c>
      <c r="E337" s="28" t="n">
        <v>2.05</v>
      </c>
      <c r="H337" s="29" t="n">
        <f aca="false">IF(COUNT(D337:G337)=0,0,D337*IF(E337="",1,E337)*IF(F337="",1,F337)*IF(G337="",1,G337))</f>
        <v>2.05</v>
      </c>
      <c r="M337" s="23"/>
      <c r="N337" s="23"/>
      <c r="O337" s="23"/>
    </row>
    <row r="338" customFormat="false" ht="15" hidden="false" customHeight="true" outlineLevel="0" collapsed="false">
      <c r="C338" s="27" t="s">
        <v>385</v>
      </c>
      <c r="D338" s="28" t="n">
        <v>1</v>
      </c>
      <c r="E338" s="28" t="n">
        <v>5.6</v>
      </c>
      <c r="H338" s="29" t="n">
        <f aca="false">IF(COUNT(D338:G338)=0,0,D338*IF(E338="",1,E338)*IF(F338="",1,F338)*IF(G338="",1,G338))</f>
        <v>5.6</v>
      </c>
      <c r="M338" s="23"/>
      <c r="N338" s="23"/>
      <c r="O338" s="23"/>
    </row>
    <row r="339" customFormat="false" ht="18.75" hidden="false" customHeight="true" outlineLevel="0" collapsed="false">
      <c r="H339" s="30"/>
      <c r="I339" s="31" t="n">
        <f aca="false">ROUND(SUM(H335:H338),2)</f>
        <v>17.1</v>
      </c>
      <c r="J339" s="32" t="n">
        <v>52</v>
      </c>
      <c r="K339" s="31" t="n">
        <f aca="false">ROUND(I339*J339,2)</f>
        <v>889.2</v>
      </c>
      <c r="L339" s="33" t="s">
        <v>238</v>
      </c>
      <c r="M339" s="23" t="s">
        <v>123</v>
      </c>
      <c r="N339" s="23" t="s">
        <v>34</v>
      </c>
      <c r="O339" s="23"/>
    </row>
    <row r="340" customFormat="false" ht="15" hidden="false" customHeight="true" outlineLevel="0" collapsed="false">
      <c r="A340" s="3" t="s">
        <v>386</v>
      </c>
      <c r="B340" s="3" t="s">
        <v>140</v>
      </c>
      <c r="C340" s="3" t="s">
        <v>387</v>
      </c>
      <c r="M340" s="23"/>
      <c r="N340" s="23"/>
      <c r="O340" s="23"/>
    </row>
    <row r="341" customFormat="false" ht="24" hidden="false" customHeight="true" outlineLevel="0" collapsed="false">
      <c r="C341" s="26" t="s">
        <v>388</v>
      </c>
      <c r="M341" s="23"/>
      <c r="N341" s="23"/>
      <c r="O341" s="23"/>
    </row>
    <row r="342" customFormat="false" ht="15" hidden="false" customHeight="true" outlineLevel="0" collapsed="false">
      <c r="C342" s="27" t="s">
        <v>316</v>
      </c>
      <c r="D342" s="28" t="n">
        <v>1</v>
      </c>
      <c r="E342" s="35" t="n">
        <f aca="false">'Mediciones BIM'!E20</f>
        <v>43.78</v>
      </c>
      <c r="H342" s="29" t="n">
        <f aca="false">IF(COUNT(D342:G342)=0,0,D342*IF(E342="",1,E342)*IF(F342="",1,F342)*IF(G342="",1,G342))</f>
        <v>43.78</v>
      </c>
      <c r="M342" s="23"/>
      <c r="N342" s="23"/>
      <c r="O342" s="23"/>
    </row>
    <row r="343" customFormat="false" ht="15" hidden="false" customHeight="true" outlineLevel="0" collapsed="false">
      <c r="C343" s="27"/>
      <c r="D343" s="28"/>
      <c r="E343" s="28"/>
      <c r="H343" s="29" t="n">
        <f aca="false">IF(COUNT(D343:G343)=0,0,D343*IF(E343="",1,E343)*IF(F343="",1,F343)*IF(G343="",1,G343))</f>
        <v>0</v>
      </c>
      <c r="M343" s="23"/>
      <c r="N343" s="23"/>
      <c r="O343" s="23"/>
    </row>
    <row r="344" customFormat="false" ht="18.75" hidden="false" customHeight="true" outlineLevel="0" collapsed="false">
      <c r="H344" s="30"/>
      <c r="I344" s="31" t="n">
        <f aca="false">ROUND(SUM(H342:H343),2)</f>
        <v>43.78</v>
      </c>
      <c r="J344" s="32" t="n">
        <v>29</v>
      </c>
      <c r="K344" s="31" t="n">
        <f aca="false">ROUND(I344*J344,2)</f>
        <v>1269.62</v>
      </c>
      <c r="L344" s="33" t="s">
        <v>238</v>
      </c>
      <c r="M344" s="23" t="s">
        <v>123</v>
      </c>
      <c r="N344" s="23" t="s">
        <v>34</v>
      </c>
      <c r="O344" s="23"/>
    </row>
    <row r="345" customFormat="false" ht="15" hidden="false" customHeight="true" outlineLevel="0" collapsed="false">
      <c r="A345" s="3" t="s">
        <v>389</v>
      </c>
      <c r="B345" s="3" t="s">
        <v>129</v>
      </c>
      <c r="C345" s="3" t="s">
        <v>390</v>
      </c>
      <c r="M345" s="23"/>
      <c r="N345" s="23"/>
      <c r="O345" s="23"/>
    </row>
    <row r="346" customFormat="false" ht="12" hidden="false" customHeight="true" outlineLevel="0" collapsed="false">
      <c r="C346" s="26" t="s">
        <v>391</v>
      </c>
      <c r="M346" s="23"/>
      <c r="N346" s="23"/>
      <c r="O346" s="23"/>
    </row>
    <row r="347" customFormat="false" ht="15" hidden="false" customHeight="true" outlineLevel="0" collapsed="false">
      <c r="C347" s="27" t="s">
        <v>392</v>
      </c>
      <c r="D347" s="28" t="n">
        <v>25</v>
      </c>
      <c r="H347" s="29" t="n">
        <f aca="false">IF(COUNT(D347:G347)=0,0,D347*IF(E347="",1,E347)*IF(F347="",1,F347)*IF(G347="",1,G347))</f>
        <v>25</v>
      </c>
      <c r="M347" s="23"/>
      <c r="N347" s="23"/>
      <c r="O347" s="23"/>
    </row>
    <row r="348" customFormat="false" ht="15" hidden="false" customHeight="true" outlineLevel="0" collapsed="false">
      <c r="H348" s="30"/>
      <c r="I348" s="31" t="n">
        <f aca="false">ROUND(SUM(H347:H347),2)</f>
        <v>25</v>
      </c>
      <c r="J348" s="32" t="n">
        <v>27.01</v>
      </c>
      <c r="K348" s="31" t="n">
        <f aca="false">ROUND(I348*J348,2)</f>
        <v>675.25</v>
      </c>
      <c r="L348" s="33" t="s">
        <v>212</v>
      </c>
      <c r="M348" s="23" t="s">
        <v>123</v>
      </c>
      <c r="N348" s="23" t="s">
        <v>34</v>
      </c>
      <c r="O348" s="23"/>
    </row>
    <row r="349" customFormat="false" ht="15" hidden="false" customHeight="true" outlineLevel="0" collapsed="false">
      <c r="A349" s="3" t="s">
        <v>393</v>
      </c>
      <c r="B349" s="3" t="s">
        <v>129</v>
      </c>
      <c r="C349" s="3" t="s">
        <v>394</v>
      </c>
      <c r="M349" s="23"/>
      <c r="N349" s="23"/>
      <c r="O349" s="23"/>
    </row>
    <row r="350" customFormat="false" ht="12" hidden="false" customHeight="true" outlineLevel="0" collapsed="false">
      <c r="C350" s="26" t="s">
        <v>395</v>
      </c>
      <c r="M350" s="23"/>
      <c r="N350" s="23"/>
      <c r="O350" s="23"/>
    </row>
    <row r="351" customFormat="false" ht="15" hidden="false" customHeight="true" outlineLevel="0" collapsed="false">
      <c r="C351" s="27" t="s">
        <v>396</v>
      </c>
      <c r="D351" s="28" t="n">
        <v>10</v>
      </c>
      <c r="H351" s="29" t="n">
        <f aca="false">IF(COUNT(D351:G351)=0,0,D351*IF(E351="",1,E351)*IF(F351="",1,F351)*IF(G351="",1,G351))</f>
        <v>10</v>
      </c>
      <c r="M351" s="23"/>
      <c r="N351" s="23"/>
      <c r="O351" s="23"/>
    </row>
    <row r="352" customFormat="false" ht="15" hidden="false" customHeight="true" outlineLevel="0" collapsed="false">
      <c r="H352" s="30"/>
      <c r="I352" s="31" t="n">
        <f aca="false">ROUND(SUM(H351:H351),2)</f>
        <v>10</v>
      </c>
      <c r="J352" s="32" t="n">
        <v>21.55</v>
      </c>
      <c r="K352" s="31" t="n">
        <f aca="false">ROUND(I352*J352,2)</f>
        <v>215.5</v>
      </c>
      <c r="L352" s="33" t="s">
        <v>212</v>
      </c>
      <c r="M352" s="23" t="s">
        <v>123</v>
      </c>
      <c r="N352" s="23" t="s">
        <v>34</v>
      </c>
      <c r="O352" s="23"/>
    </row>
    <row r="353" customFormat="false" ht="15" hidden="false" customHeight="true" outlineLevel="0" collapsed="false">
      <c r="A353" s="3" t="s">
        <v>397</v>
      </c>
      <c r="B353" s="3" t="s">
        <v>129</v>
      </c>
      <c r="C353" s="3" t="s">
        <v>398</v>
      </c>
      <c r="M353" s="23"/>
      <c r="N353" s="23"/>
      <c r="O353" s="23"/>
    </row>
    <row r="354" customFormat="false" ht="12" hidden="false" customHeight="true" outlineLevel="0" collapsed="false">
      <c r="C354" s="26" t="s">
        <v>399</v>
      </c>
      <c r="M354" s="23"/>
      <c r="N354" s="23"/>
      <c r="O354" s="23"/>
    </row>
    <row r="355" customFormat="false" ht="15" hidden="false" customHeight="true" outlineLevel="0" collapsed="false">
      <c r="C355" s="27" t="s">
        <v>132</v>
      </c>
      <c r="D355" s="28" t="n">
        <v>1</v>
      </c>
      <c r="H355" s="29" t="n">
        <f aca="false">IF(COUNT(D355:G355)=0,0,D355*IF(E355="",1,E355)*IF(F355="",1,F355)*IF(G355="",1,G355))</f>
        <v>1</v>
      </c>
      <c r="M355" s="23"/>
      <c r="N355" s="23"/>
      <c r="O355" s="23"/>
    </row>
    <row r="356" customFormat="false" ht="15" hidden="false" customHeight="true" outlineLevel="0" collapsed="false">
      <c r="H356" s="30"/>
      <c r="I356" s="31" t="n">
        <f aca="false">ROUND(SUM(H355:H355),2)</f>
        <v>1</v>
      </c>
      <c r="J356" s="32" t="n">
        <v>3936.24</v>
      </c>
      <c r="K356" s="31" t="n">
        <f aca="false">ROUND(I356*J356,2)</f>
        <v>3936.24</v>
      </c>
      <c r="L356" s="33" t="s">
        <v>212</v>
      </c>
      <c r="M356" s="23" t="s">
        <v>123</v>
      </c>
      <c r="N356" s="23" t="s">
        <v>34</v>
      </c>
      <c r="O356" s="23"/>
    </row>
    <row r="357" customFormat="false" ht="15" hidden="false" customHeight="true" outlineLevel="0" collapsed="false">
      <c r="A357" s="3" t="s">
        <v>400</v>
      </c>
      <c r="B357" s="3" t="s">
        <v>129</v>
      </c>
      <c r="C357" s="3" t="s">
        <v>401</v>
      </c>
      <c r="M357" s="23"/>
      <c r="N357" s="23"/>
      <c r="O357" s="23"/>
    </row>
    <row r="358" customFormat="false" ht="12" hidden="false" customHeight="true" outlineLevel="0" collapsed="false">
      <c r="C358" s="26" t="s">
        <v>402</v>
      </c>
      <c r="M358" s="23"/>
      <c r="N358" s="23"/>
      <c r="O358" s="23"/>
    </row>
    <row r="359" customFormat="false" ht="15" hidden="false" customHeight="true" outlineLevel="0" collapsed="false">
      <c r="C359" s="27" t="s">
        <v>132</v>
      </c>
      <c r="D359" s="28" t="n">
        <v>1</v>
      </c>
      <c r="H359" s="29" t="n">
        <f aca="false">IF(COUNT(D359:G359)=0,0,D359*IF(E359="",1,E359)*IF(F359="",1,F359)*IF(G359="",1,G359))</f>
        <v>1</v>
      </c>
      <c r="M359" s="23"/>
      <c r="N359" s="23"/>
      <c r="O359" s="23"/>
    </row>
    <row r="360" customFormat="false" ht="15" hidden="false" customHeight="true" outlineLevel="0" collapsed="false">
      <c r="H360" s="30"/>
      <c r="I360" s="31" t="n">
        <f aca="false">ROUND(SUM(H359:H359),2)</f>
        <v>1</v>
      </c>
      <c r="J360" s="32" t="n">
        <v>3690.22</v>
      </c>
      <c r="K360" s="31" t="n">
        <f aca="false">ROUND(I360*J360,2)</f>
        <v>3690.22</v>
      </c>
      <c r="L360" s="33" t="s">
        <v>212</v>
      </c>
      <c r="M360" s="23" t="s">
        <v>123</v>
      </c>
      <c r="N360" s="23" t="s">
        <v>34</v>
      </c>
      <c r="O360" s="23"/>
    </row>
    <row r="361" customFormat="false" ht="15" hidden="false" customHeight="true" outlineLevel="0" collapsed="false">
      <c r="A361" s="3" t="s">
        <v>403</v>
      </c>
      <c r="B361" s="3" t="s">
        <v>129</v>
      </c>
      <c r="C361" s="3" t="s">
        <v>404</v>
      </c>
      <c r="M361" s="23"/>
      <c r="N361" s="23"/>
      <c r="O361" s="23"/>
    </row>
    <row r="362" customFormat="false" ht="24" hidden="false" customHeight="true" outlineLevel="0" collapsed="false">
      <c r="C362" s="26" t="s">
        <v>405</v>
      </c>
      <c r="M362" s="23"/>
      <c r="N362" s="23"/>
      <c r="O362" s="23"/>
    </row>
    <row r="363" customFormat="false" ht="15" hidden="false" customHeight="true" outlineLevel="0" collapsed="false">
      <c r="C363" s="27" t="s">
        <v>132</v>
      </c>
      <c r="D363" s="28" t="n">
        <v>1</v>
      </c>
      <c r="H363" s="29" t="n">
        <f aca="false">IF(COUNT(D363:G363)=0,0,D363*IF(E363="",1,E363)*IF(F363="",1,F363)*IF(G363="",1,G363))</f>
        <v>1</v>
      </c>
      <c r="M363" s="23"/>
      <c r="N363" s="23"/>
      <c r="O363" s="23"/>
    </row>
    <row r="364" customFormat="false" ht="15" hidden="false" customHeight="true" outlineLevel="0" collapsed="false">
      <c r="H364" s="30"/>
      <c r="I364" s="31" t="n">
        <f aca="false">ROUND(SUM(H363:H363),2)</f>
        <v>1</v>
      </c>
      <c r="J364" s="32" t="n">
        <v>4920.29</v>
      </c>
      <c r="K364" s="31" t="n">
        <f aca="false">ROUND(I364*J364,2)</f>
        <v>4920.29</v>
      </c>
      <c r="L364" s="33" t="s">
        <v>212</v>
      </c>
      <c r="M364" s="23" t="s">
        <v>123</v>
      </c>
      <c r="N364" s="23" t="s">
        <v>34</v>
      </c>
      <c r="O364" s="23"/>
    </row>
    <row r="365" customFormat="false" ht="15" hidden="false" customHeight="true" outlineLevel="0" collapsed="false">
      <c r="C365" s="34" t="s">
        <v>406</v>
      </c>
      <c r="K365" s="14" t="n">
        <f aca="false">SUMIFS($K$5:$K$364,$M$5:$M$364,"P",$N$5:$N$364,"06")</f>
        <v>56031.31</v>
      </c>
      <c r="M365" s="23"/>
      <c r="N365" s="23"/>
      <c r="O365" s="23"/>
    </row>
    <row r="366" customFormat="false" ht="15" hidden="false" customHeight="true" outlineLevel="0" collapsed="false">
      <c r="M366" s="23"/>
      <c r="N366" s="23"/>
      <c r="O366" s="23"/>
    </row>
    <row r="367" customFormat="false" ht="15" hidden="false" customHeight="true" outlineLevel="0" collapsed="false">
      <c r="A367" s="24" t="s">
        <v>36</v>
      </c>
      <c r="B367" s="25"/>
      <c r="C367" s="24" t="s">
        <v>37</v>
      </c>
      <c r="D367" s="25"/>
      <c r="E367" s="25"/>
      <c r="F367" s="25"/>
      <c r="G367" s="25"/>
      <c r="H367" s="25"/>
      <c r="I367" s="25"/>
      <c r="J367" s="25"/>
      <c r="K367" s="25"/>
      <c r="L367" s="25"/>
      <c r="M367" s="23" t="s">
        <v>115</v>
      </c>
      <c r="N367" s="23" t="s">
        <v>36</v>
      </c>
      <c r="O367" s="23"/>
    </row>
    <row r="368" customFormat="false" ht="15" hidden="false" customHeight="true" outlineLevel="0" collapsed="false">
      <c r="A368" s="3" t="s">
        <v>407</v>
      </c>
      <c r="B368" s="3" t="s">
        <v>117</v>
      </c>
      <c r="C368" s="3" t="s">
        <v>408</v>
      </c>
      <c r="M368" s="23"/>
      <c r="N368" s="23"/>
      <c r="O368" s="23"/>
    </row>
    <row r="369" customFormat="false" ht="24" hidden="false" customHeight="true" outlineLevel="0" collapsed="false">
      <c r="C369" s="26" t="s">
        <v>409</v>
      </c>
      <c r="M369" s="23"/>
      <c r="N369" s="23"/>
      <c r="O369" s="23"/>
    </row>
    <row r="370" customFormat="false" ht="15" hidden="false" customHeight="true" outlineLevel="0" collapsed="false">
      <c r="C370" s="27" t="s">
        <v>316</v>
      </c>
      <c r="D370" s="28" t="n">
        <v>1</v>
      </c>
      <c r="E370" s="35" t="n">
        <f aca="false">'Mediciones BIM'!E21</f>
        <v>82.06</v>
      </c>
      <c r="H370" s="29" t="n">
        <f aca="false">IF(COUNT(D370:G370)=0,0,D370*IF(E370="",1,E370)*IF(F370="",1,F370)*IF(G370="",1,G370))</f>
        <v>82.06</v>
      </c>
      <c r="M370" s="23"/>
      <c r="N370" s="23"/>
      <c r="O370" s="23"/>
    </row>
    <row r="371" customFormat="false" ht="18.75" hidden="false" customHeight="true" outlineLevel="0" collapsed="false">
      <c r="H371" s="30"/>
      <c r="I371" s="31" t="n">
        <f aca="false">ROUND(SUM(H370:H370),2)</f>
        <v>82.06</v>
      </c>
      <c r="J371" s="32" t="n">
        <v>17.5</v>
      </c>
      <c r="K371" s="31" t="n">
        <f aca="false">ROUND(I371*J371,2)</f>
        <v>1436.05</v>
      </c>
      <c r="L371" s="33" t="s">
        <v>238</v>
      </c>
      <c r="M371" s="23" t="s">
        <v>123</v>
      </c>
      <c r="N371" s="23" t="s">
        <v>36</v>
      </c>
      <c r="O371" s="23"/>
    </row>
    <row r="372" customFormat="false" ht="15" hidden="false" customHeight="true" outlineLevel="0" collapsed="false">
      <c r="A372" s="3" t="s">
        <v>410</v>
      </c>
      <c r="B372" s="3" t="s">
        <v>117</v>
      </c>
      <c r="C372" s="3" t="s">
        <v>411</v>
      </c>
      <c r="M372" s="23"/>
      <c r="N372" s="23"/>
      <c r="O372" s="23"/>
    </row>
    <row r="373" customFormat="false" ht="12" hidden="false" customHeight="true" outlineLevel="0" collapsed="false">
      <c r="C373" s="26" t="s">
        <v>412</v>
      </c>
      <c r="M373" s="23"/>
      <c r="N373" s="23"/>
      <c r="O373" s="23"/>
    </row>
    <row r="374" customFormat="false" ht="15" hidden="false" customHeight="true" outlineLevel="0" collapsed="false">
      <c r="C374" s="27" t="s">
        <v>413</v>
      </c>
      <c r="D374" s="28" t="n">
        <v>1</v>
      </c>
      <c r="E374" s="28" t="n">
        <f aca="false">'Mediciones BIM'!E22</f>
        <v>88.37</v>
      </c>
      <c r="H374" s="29" t="n">
        <f aca="false">IF(COUNT(D374:G374)=0,0,D374*IF(E374="",1,E374)*IF(F374="",1,F374)*IF(G374="",1,G374))</f>
        <v>88.37</v>
      </c>
      <c r="M374" s="23"/>
      <c r="N374" s="23"/>
      <c r="O374" s="23"/>
    </row>
    <row r="375" customFormat="false" ht="18.75" hidden="false" customHeight="true" outlineLevel="0" collapsed="false">
      <c r="H375" s="30"/>
      <c r="I375" s="31" t="n">
        <f aca="false">ROUND(SUM(H374:H374),2)</f>
        <v>88.37</v>
      </c>
      <c r="J375" s="32" t="n">
        <v>19.5</v>
      </c>
      <c r="K375" s="31" t="n">
        <f aca="false">ROUND(I375*J375,2)</f>
        <v>1723.22</v>
      </c>
      <c r="L375" s="33" t="s">
        <v>238</v>
      </c>
      <c r="M375" s="23" t="s">
        <v>123</v>
      </c>
      <c r="N375" s="23" t="s">
        <v>36</v>
      </c>
      <c r="O375" s="23"/>
    </row>
    <row r="376" customFormat="false" ht="15" hidden="false" customHeight="true" outlineLevel="0" collapsed="false">
      <c r="A376" s="3" t="s">
        <v>414</v>
      </c>
      <c r="B376" s="3" t="s">
        <v>117</v>
      </c>
      <c r="C376" s="3" t="s">
        <v>415</v>
      </c>
      <c r="M376" s="23"/>
      <c r="N376" s="23"/>
      <c r="O376" s="23"/>
    </row>
    <row r="377" customFormat="false" ht="48" hidden="false" customHeight="true" outlineLevel="0" collapsed="false">
      <c r="C377" s="26" t="s">
        <v>416</v>
      </c>
      <c r="M377" s="23"/>
      <c r="N377" s="23"/>
      <c r="O377" s="23"/>
    </row>
    <row r="378" customFormat="false" ht="15" hidden="false" customHeight="true" outlineLevel="0" collapsed="false">
      <c r="C378" s="27" t="s">
        <v>413</v>
      </c>
      <c r="D378" s="28" t="n">
        <v>1</v>
      </c>
      <c r="E378" s="28" t="n">
        <f aca="false">'Mediciones BIM'!E22</f>
        <v>88.37</v>
      </c>
      <c r="H378" s="29" t="n">
        <f aca="false">IF(COUNT(D378:G378)=0,0,D378*IF(E378="",1,E378)*IF(F378="",1,F378)*IF(G378="",1,G378))</f>
        <v>88.37</v>
      </c>
      <c r="M378" s="23"/>
      <c r="N378" s="23"/>
      <c r="O378" s="23"/>
    </row>
    <row r="379" customFormat="false" ht="15" hidden="false" customHeight="true" outlineLevel="0" collapsed="false">
      <c r="H379" s="30"/>
      <c r="I379" s="31" t="n">
        <f aca="false">ROUND(SUM(H378:H378),2)</f>
        <v>88.37</v>
      </c>
      <c r="J379" s="32" t="n">
        <v>3.9</v>
      </c>
      <c r="K379" s="31" t="n">
        <f aca="false">ROUND(I379*J379,2)</f>
        <v>344.64</v>
      </c>
      <c r="L379" s="33" t="s">
        <v>212</v>
      </c>
      <c r="M379" s="23" t="s">
        <v>123</v>
      </c>
      <c r="N379" s="23" t="s">
        <v>36</v>
      </c>
      <c r="O379" s="23"/>
    </row>
    <row r="380" customFormat="false" ht="15" hidden="false" customHeight="true" outlineLevel="0" collapsed="false">
      <c r="A380" s="3" t="s">
        <v>417</v>
      </c>
      <c r="B380" s="3" t="s">
        <v>117</v>
      </c>
      <c r="C380" s="3" t="s">
        <v>418</v>
      </c>
      <c r="M380" s="23"/>
      <c r="N380" s="23"/>
      <c r="O380" s="23"/>
    </row>
    <row r="381" customFormat="false" ht="24" hidden="false" customHeight="true" outlineLevel="0" collapsed="false">
      <c r="C381" s="26" t="s">
        <v>419</v>
      </c>
      <c r="M381" s="23"/>
      <c r="N381" s="23"/>
      <c r="O381" s="23"/>
    </row>
    <row r="382" customFormat="false" ht="15" hidden="false" customHeight="true" outlineLevel="0" collapsed="false">
      <c r="C382" s="27" t="s">
        <v>413</v>
      </c>
      <c r="D382" s="28" t="n">
        <v>1</v>
      </c>
      <c r="E382" s="28" t="n">
        <f aca="false">'Mediciones BIM'!E22</f>
        <v>88.37</v>
      </c>
      <c r="H382" s="29" t="n">
        <f aca="false">IF(COUNT(D382:G382)=0,0,D382*IF(E382="",1,E382)*IF(F382="",1,F382)*IF(G382="",1,G382))</f>
        <v>88.37</v>
      </c>
      <c r="M382" s="23"/>
      <c r="N382" s="23"/>
      <c r="O382" s="23"/>
    </row>
    <row r="383" customFormat="false" ht="18.75" hidden="false" customHeight="true" outlineLevel="0" collapsed="false">
      <c r="H383" s="30"/>
      <c r="I383" s="31" t="n">
        <f aca="false">ROUND(SUM(H382:H382),2)</f>
        <v>88.37</v>
      </c>
      <c r="J383" s="32" t="n">
        <v>9.5</v>
      </c>
      <c r="K383" s="31" t="n">
        <f aca="false">ROUND(I383*J383,2)</f>
        <v>839.52</v>
      </c>
      <c r="L383" s="33" t="s">
        <v>238</v>
      </c>
      <c r="M383" s="23" t="s">
        <v>123</v>
      </c>
      <c r="N383" s="23" t="s">
        <v>36</v>
      </c>
      <c r="O383" s="23"/>
    </row>
    <row r="384" customFormat="false" ht="15" hidden="false" customHeight="true" outlineLevel="0" collapsed="false">
      <c r="A384" s="3" t="s">
        <v>420</v>
      </c>
      <c r="B384" s="3" t="s">
        <v>421</v>
      </c>
      <c r="C384" s="3" t="s">
        <v>422</v>
      </c>
      <c r="M384" s="23"/>
      <c r="N384" s="23"/>
      <c r="O384" s="23"/>
    </row>
    <row r="385" customFormat="false" ht="24" hidden="false" customHeight="true" outlineLevel="0" collapsed="false">
      <c r="C385" s="26" t="s">
        <v>423</v>
      </c>
      <c r="M385" s="23"/>
      <c r="N385" s="23"/>
      <c r="O385" s="23"/>
    </row>
    <row r="386" customFormat="false" ht="15" hidden="false" customHeight="true" outlineLevel="0" collapsed="false">
      <c r="C386" s="27" t="s">
        <v>316</v>
      </c>
      <c r="D386" s="28" t="n">
        <v>1</v>
      </c>
      <c r="E386" s="35" t="n">
        <f aca="false">'Mediciones BIM'!E22</f>
        <v>88.37</v>
      </c>
      <c r="H386" s="29" t="n">
        <f aca="false">IF(COUNT(D386:G386)=0,0,D386*IF(E386="",1,E386)*IF(F386="",1,F386)*IF(G386="",1,G386))</f>
        <v>88.37</v>
      </c>
      <c r="M386" s="23"/>
      <c r="N386" s="23"/>
      <c r="O386" s="23"/>
    </row>
    <row r="387" customFormat="false" ht="15" hidden="false" customHeight="true" outlineLevel="0" collapsed="false">
      <c r="H387" s="30"/>
      <c r="I387" s="31" t="n">
        <f aca="false">ROUND(SUM(H386:H386),2)</f>
        <v>88.37</v>
      </c>
      <c r="J387" s="32" t="n">
        <v>36.12</v>
      </c>
      <c r="K387" s="31" t="n">
        <f aca="false">ROUND(I387*J387,2)</f>
        <v>3191.92</v>
      </c>
      <c r="L387" s="33" t="s">
        <v>212</v>
      </c>
      <c r="M387" s="23" t="s">
        <v>123</v>
      </c>
      <c r="N387" s="23" t="s">
        <v>36</v>
      </c>
      <c r="O387" s="23"/>
    </row>
    <row r="388" customFormat="false" ht="15" hidden="false" customHeight="true" outlineLevel="0" collapsed="false">
      <c r="A388" s="3" t="s">
        <v>424</v>
      </c>
      <c r="B388" s="3" t="s">
        <v>140</v>
      </c>
      <c r="C388" s="3" t="s">
        <v>425</v>
      </c>
      <c r="M388" s="23"/>
      <c r="N388" s="23"/>
      <c r="O388" s="23"/>
    </row>
    <row r="389" customFormat="false" ht="72" hidden="false" customHeight="true" outlineLevel="0" collapsed="false">
      <c r="C389" s="26" t="s">
        <v>426</v>
      </c>
      <c r="M389" s="23"/>
      <c r="N389" s="23"/>
      <c r="O389" s="23"/>
    </row>
    <row r="390" customFormat="false" ht="15" hidden="false" customHeight="true" outlineLevel="0" collapsed="false">
      <c r="C390" s="27" t="s">
        <v>427</v>
      </c>
      <c r="D390" s="28" t="n">
        <v>1</v>
      </c>
      <c r="E390" s="28" t="n">
        <v>29.67</v>
      </c>
      <c r="H390" s="29" t="n">
        <f aca="false">IF(COUNT(D390:G390)=0,0,D390*IF(E390="",1,E390)*IF(F390="",1,F390)*IF(G390="",1,G390))</f>
        <v>29.67</v>
      </c>
      <c r="M390" s="23"/>
      <c r="N390" s="23"/>
      <c r="O390" s="23"/>
    </row>
    <row r="391" customFormat="false" ht="15" hidden="false" customHeight="true" outlineLevel="0" collapsed="false">
      <c r="H391" s="30"/>
      <c r="I391" s="31" t="n">
        <f aca="false">ROUND(SUM(H390:H390),2)</f>
        <v>29.67</v>
      </c>
      <c r="J391" s="32" t="n">
        <v>48.79</v>
      </c>
      <c r="K391" s="31" t="n">
        <f aca="false">ROUND(I391*J391,2)</f>
        <v>1447.6</v>
      </c>
      <c r="L391" s="33" t="s">
        <v>212</v>
      </c>
      <c r="M391" s="23" t="s">
        <v>123</v>
      </c>
      <c r="N391" s="23" t="s">
        <v>36</v>
      </c>
      <c r="O391" s="23"/>
    </row>
    <row r="392" customFormat="false" ht="15" hidden="false" customHeight="true" outlineLevel="0" collapsed="false">
      <c r="A392" s="3" t="s">
        <v>428</v>
      </c>
      <c r="B392" s="3" t="s">
        <v>140</v>
      </c>
      <c r="C392" s="3" t="s">
        <v>429</v>
      </c>
      <c r="M392" s="23"/>
      <c r="N392" s="23"/>
      <c r="O392" s="23"/>
    </row>
    <row r="393" customFormat="false" ht="24" hidden="false" customHeight="true" outlineLevel="0" collapsed="false">
      <c r="C393" s="26" t="s">
        <v>430</v>
      </c>
      <c r="M393" s="23"/>
      <c r="N393" s="23"/>
      <c r="O393" s="23"/>
    </row>
    <row r="394" customFormat="false" ht="15" hidden="false" customHeight="true" outlineLevel="0" collapsed="false">
      <c r="C394" s="27" t="s">
        <v>431</v>
      </c>
      <c r="D394" s="28" t="n">
        <v>1</v>
      </c>
      <c r="E394" s="28" t="n">
        <v>9.5</v>
      </c>
      <c r="H394" s="29" t="n">
        <f aca="false">IF(COUNT(D394:G394)=0,0,D394*IF(E394="",1,E394)*IF(F394="",1,F394)*IF(G394="",1,G394))</f>
        <v>9.5</v>
      </c>
      <c r="M394" s="23"/>
      <c r="N394" s="23"/>
      <c r="O394" s="23"/>
    </row>
    <row r="395" customFormat="false" ht="15" hidden="false" customHeight="true" outlineLevel="0" collapsed="false">
      <c r="C395" s="27" t="s">
        <v>432</v>
      </c>
      <c r="D395" s="28" t="n">
        <v>1</v>
      </c>
      <c r="E395" s="28" t="n">
        <v>9.5</v>
      </c>
      <c r="H395" s="29" t="n">
        <f aca="false">IF(COUNT(D395:G395)=0,0,D395*IF(E395="",1,E395)*IF(F395="",1,F395)*IF(G395="",1,G395))</f>
        <v>9.5</v>
      </c>
      <c r="M395" s="23"/>
      <c r="N395" s="23"/>
      <c r="O395" s="23"/>
    </row>
    <row r="396" customFormat="false" ht="15" hidden="false" customHeight="true" outlineLevel="0" collapsed="false">
      <c r="C396" s="27" t="s">
        <v>433</v>
      </c>
      <c r="D396" s="28" t="n">
        <v>1</v>
      </c>
      <c r="E396" s="28" t="n">
        <v>8</v>
      </c>
      <c r="H396" s="29" t="n">
        <f aca="false">IF(COUNT(D396:G396)=0,0,D396*IF(E396="",1,E396)*IF(F396="",1,F396)*IF(G396="",1,G396))</f>
        <v>8</v>
      </c>
      <c r="M396" s="23"/>
      <c r="N396" s="23"/>
      <c r="O396" s="23"/>
    </row>
    <row r="397" customFormat="false" ht="18.75" hidden="false" customHeight="true" outlineLevel="0" collapsed="false">
      <c r="H397" s="30"/>
      <c r="I397" s="31" t="n">
        <f aca="false">ROUND(SUM(H394:H396),2)</f>
        <v>27</v>
      </c>
      <c r="J397" s="32" t="n">
        <v>44</v>
      </c>
      <c r="K397" s="31" t="n">
        <f aca="false">ROUND(I397*J397,2)</f>
        <v>1188</v>
      </c>
      <c r="L397" s="33" t="s">
        <v>238</v>
      </c>
      <c r="M397" s="23" t="s">
        <v>123</v>
      </c>
      <c r="N397" s="23" t="s">
        <v>36</v>
      </c>
      <c r="O397" s="23"/>
    </row>
    <row r="398" customFormat="false" ht="15" hidden="false" customHeight="true" outlineLevel="0" collapsed="false">
      <c r="A398" s="3" t="s">
        <v>434</v>
      </c>
      <c r="B398" s="3" t="s">
        <v>140</v>
      </c>
      <c r="C398" s="3" t="s">
        <v>435</v>
      </c>
      <c r="M398" s="23"/>
      <c r="N398" s="23"/>
      <c r="O398" s="23"/>
    </row>
    <row r="399" customFormat="false" ht="24" hidden="false" customHeight="true" outlineLevel="0" collapsed="false">
      <c r="C399" s="26" t="s">
        <v>436</v>
      </c>
      <c r="M399" s="23"/>
      <c r="N399" s="23"/>
      <c r="O399" s="23"/>
    </row>
    <row r="400" customFormat="false" ht="15" hidden="false" customHeight="true" outlineLevel="0" collapsed="false">
      <c r="C400" s="27" t="s">
        <v>437</v>
      </c>
      <c r="D400" s="28" t="n">
        <v>1</v>
      </c>
      <c r="E400" s="28" t="n">
        <v>45.59</v>
      </c>
      <c r="H400" s="29" t="n">
        <f aca="false">IF(COUNT(D400:G400)=0,0,D400*IF(E400="",1,E400)*IF(F400="",1,F400)*IF(G400="",1,G400))</f>
        <v>45.59</v>
      </c>
      <c r="M400" s="23"/>
      <c r="N400" s="23"/>
      <c r="O400" s="23"/>
    </row>
    <row r="401" customFormat="false" ht="18.75" hidden="false" customHeight="true" outlineLevel="0" collapsed="false">
      <c r="H401" s="30"/>
      <c r="I401" s="31" t="n">
        <f aca="false">ROUND(SUM(H400:H400),2)</f>
        <v>45.59</v>
      </c>
      <c r="J401" s="32" t="n">
        <v>40</v>
      </c>
      <c r="K401" s="31" t="n">
        <f aca="false">ROUND(I401*J401,2)</f>
        <v>1823.6</v>
      </c>
      <c r="L401" s="33" t="s">
        <v>238</v>
      </c>
      <c r="M401" s="23" t="s">
        <v>123</v>
      </c>
      <c r="N401" s="23" t="s">
        <v>36</v>
      </c>
      <c r="O401" s="23"/>
    </row>
    <row r="402" customFormat="false" ht="15" hidden="false" customHeight="true" outlineLevel="0" collapsed="false">
      <c r="A402" s="3" t="s">
        <v>438</v>
      </c>
      <c r="B402" s="3" t="s">
        <v>117</v>
      </c>
      <c r="C402" s="3" t="s">
        <v>439</v>
      </c>
      <c r="M402" s="23"/>
      <c r="N402" s="23"/>
      <c r="O402" s="23"/>
    </row>
    <row r="403" customFormat="false" ht="36" hidden="false" customHeight="true" outlineLevel="0" collapsed="false">
      <c r="C403" s="26" t="s">
        <v>440</v>
      </c>
      <c r="M403" s="23"/>
      <c r="N403" s="23"/>
      <c r="O403" s="23"/>
    </row>
    <row r="404" customFormat="false" ht="15" hidden="false" customHeight="true" outlineLevel="0" collapsed="false">
      <c r="C404" s="27" t="s">
        <v>316</v>
      </c>
      <c r="D404" s="28" t="n">
        <v>1</v>
      </c>
      <c r="E404" s="35" t="n">
        <f aca="false">'Mediciones BIM'!E23</f>
        <v>29.31</v>
      </c>
      <c r="H404" s="29" t="n">
        <f aca="false">IF(COUNT(D404:G404)=0,0,D404*IF(E404="",1,E404)*IF(F404="",1,F404)*IF(G404="",1,G404))</f>
        <v>29.31</v>
      </c>
      <c r="M404" s="23"/>
      <c r="N404" s="23"/>
      <c r="O404" s="23"/>
    </row>
    <row r="405" customFormat="false" ht="18.75" hidden="false" customHeight="true" outlineLevel="0" collapsed="false">
      <c r="H405" s="30"/>
      <c r="I405" s="31" t="n">
        <f aca="false">ROUND(SUM(H404:H404),2)</f>
        <v>29.31</v>
      </c>
      <c r="J405" s="32" t="n">
        <v>24.5</v>
      </c>
      <c r="K405" s="31" t="n">
        <f aca="false">ROUND(I405*J405,2)</f>
        <v>718.1</v>
      </c>
      <c r="L405" s="33" t="s">
        <v>441</v>
      </c>
      <c r="M405" s="23" t="s">
        <v>123</v>
      </c>
      <c r="N405" s="23" t="s">
        <v>36</v>
      </c>
      <c r="O405" s="23"/>
    </row>
    <row r="406" customFormat="false" ht="15" hidden="false" customHeight="true" outlineLevel="0" collapsed="false">
      <c r="A406" s="3" t="s">
        <v>442</v>
      </c>
      <c r="B406" s="3" t="s">
        <v>129</v>
      </c>
      <c r="C406" s="3" t="s">
        <v>443</v>
      </c>
      <c r="M406" s="23"/>
      <c r="N406" s="23"/>
      <c r="O406" s="23"/>
    </row>
    <row r="407" customFormat="false" ht="24" hidden="false" customHeight="true" outlineLevel="0" collapsed="false">
      <c r="C407" s="26" t="s">
        <v>444</v>
      </c>
      <c r="M407" s="23"/>
      <c r="N407" s="23"/>
      <c r="O407" s="23"/>
    </row>
    <row r="408" customFormat="false" ht="15" hidden="false" customHeight="true" outlineLevel="0" collapsed="false">
      <c r="C408" s="27" t="s">
        <v>445</v>
      </c>
      <c r="D408" s="28" t="n">
        <v>4</v>
      </c>
      <c r="H408" s="29" t="n">
        <f aca="false">IF(COUNT(D408:G408)=0,0,D408*IF(E408="",1,E408)*IF(F408="",1,F408)*IF(G408="",1,G408))</f>
        <v>4</v>
      </c>
      <c r="M408" s="23"/>
      <c r="N408" s="23"/>
      <c r="O408" s="23"/>
    </row>
    <row r="409" customFormat="false" ht="18.75" hidden="false" customHeight="true" outlineLevel="0" collapsed="false">
      <c r="H409" s="30"/>
      <c r="I409" s="31" t="n">
        <f aca="false">ROUND(SUM(H408:H408),2)</f>
        <v>4</v>
      </c>
      <c r="J409" s="32" t="n">
        <v>135</v>
      </c>
      <c r="K409" s="31" t="n">
        <f aca="false">ROUND(I409*J409,2)</f>
        <v>540</v>
      </c>
      <c r="L409" s="33" t="s">
        <v>238</v>
      </c>
      <c r="M409" s="23" t="s">
        <v>123</v>
      </c>
      <c r="N409" s="23" t="s">
        <v>36</v>
      </c>
      <c r="O409" s="23"/>
    </row>
    <row r="410" customFormat="false" ht="15" hidden="false" customHeight="true" outlineLevel="0" collapsed="false">
      <c r="A410" s="3" t="s">
        <v>446</v>
      </c>
      <c r="B410" s="3" t="s">
        <v>129</v>
      </c>
      <c r="C410" s="3" t="s">
        <v>447</v>
      </c>
      <c r="M410" s="23"/>
      <c r="N410" s="23"/>
      <c r="O410" s="23"/>
    </row>
    <row r="411" customFormat="false" ht="24" hidden="false" customHeight="true" outlineLevel="0" collapsed="false">
      <c r="C411" s="26" t="s">
        <v>448</v>
      </c>
      <c r="M411" s="23"/>
      <c r="N411" s="23"/>
      <c r="O411" s="23"/>
    </row>
    <row r="412" customFormat="false" ht="15" hidden="false" customHeight="true" outlineLevel="0" collapsed="false">
      <c r="C412" s="27" t="s">
        <v>449</v>
      </c>
      <c r="D412" s="28" t="n">
        <v>0</v>
      </c>
      <c r="H412" s="29" t="n">
        <f aca="false">IF(COUNT(D412:G412)=0,0,D412*IF(E412="",1,E412)*IF(F412="",1,F412)*IF(G412="",1,G412))</f>
        <v>0</v>
      </c>
      <c r="M412" s="23"/>
      <c r="N412" s="23"/>
      <c r="O412" s="23"/>
    </row>
    <row r="413" customFormat="false" ht="18.75" hidden="false" customHeight="true" outlineLevel="0" collapsed="false">
      <c r="H413" s="30"/>
      <c r="I413" s="31" t="n">
        <f aca="false">ROUND(SUM(H412:H412),2)</f>
        <v>0</v>
      </c>
      <c r="J413" s="32" t="n">
        <v>185</v>
      </c>
      <c r="K413" s="31" t="n">
        <f aca="false">ROUND(I413*J413,2)</f>
        <v>0</v>
      </c>
      <c r="L413" s="33" t="s">
        <v>238</v>
      </c>
      <c r="M413" s="23" t="s">
        <v>123</v>
      </c>
      <c r="N413" s="23" t="s">
        <v>36</v>
      </c>
      <c r="O413" s="23"/>
    </row>
    <row r="414" customFormat="false" ht="15" hidden="false" customHeight="true" outlineLevel="0" collapsed="false">
      <c r="A414" s="3" t="s">
        <v>450</v>
      </c>
      <c r="B414" s="3" t="s">
        <v>117</v>
      </c>
      <c r="C414" s="3" t="s">
        <v>451</v>
      </c>
      <c r="M414" s="23"/>
      <c r="N414" s="23"/>
      <c r="O414" s="23"/>
    </row>
    <row r="415" customFormat="false" ht="24" hidden="false" customHeight="true" outlineLevel="0" collapsed="false">
      <c r="C415" s="26" t="s">
        <v>452</v>
      </c>
      <c r="M415" s="23"/>
      <c r="N415" s="23"/>
      <c r="O415" s="23"/>
    </row>
    <row r="416" customFormat="false" ht="15" hidden="false" customHeight="true" outlineLevel="0" collapsed="false">
      <c r="C416" s="27" t="s">
        <v>316</v>
      </c>
      <c r="D416" s="28" t="n">
        <v>1</v>
      </c>
      <c r="E416" s="36" t="n">
        <f aca="false">'Mediciones BIM'!E24</f>
        <v>70.01</v>
      </c>
      <c r="H416" s="29" t="n">
        <f aca="false">IF(COUNT(D416:G416)=0,0,D416*IF(E416="",1,E416)*IF(F416="",1,F416)*IF(G416="",1,G416))</f>
        <v>70.01</v>
      </c>
      <c r="M416" s="23"/>
      <c r="N416" s="23"/>
      <c r="O416" s="23"/>
    </row>
    <row r="417" customFormat="false" ht="18.75" hidden="false" customHeight="true" outlineLevel="0" collapsed="false">
      <c r="H417" s="30"/>
      <c r="I417" s="31" t="n">
        <f aca="false">ROUND(SUM(H416:H416),2)</f>
        <v>70.01</v>
      </c>
      <c r="J417" s="32" t="n">
        <v>13</v>
      </c>
      <c r="K417" s="31" t="n">
        <f aca="false">ROUND(I417*J417,2)</f>
        <v>910.13</v>
      </c>
      <c r="L417" s="33" t="s">
        <v>238</v>
      </c>
      <c r="M417" s="23" t="s">
        <v>123</v>
      </c>
      <c r="N417" s="23" t="s">
        <v>36</v>
      </c>
      <c r="O417" s="23"/>
    </row>
    <row r="418" customFormat="false" ht="15" hidden="false" customHeight="true" outlineLevel="0" collapsed="false">
      <c r="A418" s="3" t="s">
        <v>453</v>
      </c>
      <c r="B418" s="3" t="s">
        <v>117</v>
      </c>
      <c r="C418" s="3" t="s">
        <v>454</v>
      </c>
      <c r="M418" s="23"/>
      <c r="N418" s="23"/>
      <c r="O418" s="23"/>
    </row>
    <row r="419" customFormat="false" ht="24" hidden="false" customHeight="true" outlineLevel="0" collapsed="false">
      <c r="C419" s="26" t="s">
        <v>455</v>
      </c>
      <c r="M419" s="23"/>
      <c r="N419" s="23"/>
      <c r="O419" s="23"/>
    </row>
    <row r="420" customFormat="false" ht="15" hidden="false" customHeight="true" outlineLevel="0" collapsed="false">
      <c r="C420" s="27" t="s">
        <v>316</v>
      </c>
      <c r="D420" s="28" t="n">
        <v>1</v>
      </c>
      <c r="E420" s="36" t="n">
        <f aca="false">'Mediciones BIM'!E25</f>
        <v>58.96</v>
      </c>
      <c r="H420" s="29" t="n">
        <f aca="false">IF(COUNT(D420:G420)=0,0,D420*IF(E420="",1,E420)*IF(F420="",1,F420)*IF(G420="",1,G420))</f>
        <v>58.96</v>
      </c>
      <c r="M420" s="23"/>
      <c r="N420" s="23"/>
      <c r="O420" s="23"/>
    </row>
    <row r="421" customFormat="false" ht="18.75" hidden="false" customHeight="true" outlineLevel="0" collapsed="false">
      <c r="H421" s="30"/>
      <c r="I421" s="31" t="n">
        <f aca="false">ROUND(SUM(H420:H420),2)</f>
        <v>58.96</v>
      </c>
      <c r="J421" s="32" t="n">
        <v>3.8</v>
      </c>
      <c r="K421" s="31" t="n">
        <f aca="false">ROUND(I421*J421,2)</f>
        <v>224.05</v>
      </c>
      <c r="L421" s="33" t="s">
        <v>238</v>
      </c>
      <c r="M421" s="23" t="s">
        <v>123</v>
      </c>
      <c r="N421" s="23" t="s">
        <v>36</v>
      </c>
      <c r="O421" s="23"/>
    </row>
    <row r="422" customFormat="false" ht="15" hidden="false" customHeight="true" outlineLevel="0" collapsed="false">
      <c r="C422" s="34" t="s">
        <v>456</v>
      </c>
      <c r="K422" s="14" t="n">
        <f aca="false">SUMIFS($K$5:$K$421,$M$5:$M$421,"P",$N$5:$N$421,"07")</f>
        <v>14386.83</v>
      </c>
      <c r="M422" s="23"/>
      <c r="N422" s="23"/>
      <c r="O422" s="23"/>
    </row>
    <row r="423" customFormat="false" ht="15" hidden="false" customHeight="true" outlineLevel="0" collapsed="false">
      <c r="M423" s="23"/>
      <c r="N423" s="23"/>
      <c r="O423" s="23"/>
    </row>
    <row r="424" customFormat="false" ht="15" hidden="false" customHeight="true" outlineLevel="0" collapsed="false">
      <c r="A424" s="24" t="s">
        <v>38</v>
      </c>
      <c r="B424" s="25"/>
      <c r="C424" s="24" t="s">
        <v>39</v>
      </c>
      <c r="D424" s="25"/>
      <c r="E424" s="25"/>
      <c r="F424" s="25"/>
      <c r="G424" s="25"/>
      <c r="H424" s="25"/>
      <c r="I424" s="25"/>
      <c r="J424" s="25"/>
      <c r="K424" s="25"/>
      <c r="L424" s="25"/>
      <c r="M424" s="23" t="s">
        <v>115</v>
      </c>
      <c r="N424" s="23" t="s">
        <v>38</v>
      </c>
      <c r="O424" s="23"/>
    </row>
    <row r="425" customFormat="false" ht="15" hidden="false" customHeight="true" outlineLevel="0" collapsed="false">
      <c r="A425" s="3" t="s">
        <v>457</v>
      </c>
      <c r="B425" s="3" t="s">
        <v>117</v>
      </c>
      <c r="C425" s="3" t="s">
        <v>458</v>
      </c>
      <c r="M425" s="23"/>
      <c r="N425" s="23"/>
      <c r="O425" s="23"/>
    </row>
    <row r="426" customFormat="false" ht="24" hidden="false" customHeight="true" outlineLevel="0" collapsed="false">
      <c r="C426" s="26" t="s">
        <v>459</v>
      </c>
      <c r="M426" s="23"/>
      <c r="N426" s="23"/>
      <c r="O426" s="23"/>
    </row>
    <row r="427" customFormat="false" ht="15" hidden="false" customHeight="true" outlineLevel="0" collapsed="false">
      <c r="C427" s="27" t="s">
        <v>304</v>
      </c>
      <c r="D427" s="28" t="n">
        <v>1</v>
      </c>
      <c r="E427" s="35" t="n">
        <f aca="false">'Mediciones BIM'!E26</f>
        <v>59.92</v>
      </c>
      <c r="H427" s="29" t="n">
        <f aca="false">IF(COUNT(D427:G427)=0,0,D427*IF(E427="",1,E427)*IF(F427="",1,F427)*IF(G427="",1,G427))</f>
        <v>59.92</v>
      </c>
      <c r="M427" s="23"/>
      <c r="N427" s="23"/>
      <c r="O427" s="23"/>
    </row>
    <row r="428" customFormat="false" ht="18.75" hidden="false" customHeight="true" outlineLevel="0" collapsed="false">
      <c r="H428" s="30"/>
      <c r="I428" s="31" t="n">
        <f aca="false">ROUND(SUM(H427:H427),2)</f>
        <v>59.92</v>
      </c>
      <c r="J428" s="32" t="n">
        <v>16.5</v>
      </c>
      <c r="K428" s="31" t="n">
        <f aca="false">ROUND(I428*J428,2)</f>
        <v>988.68</v>
      </c>
      <c r="L428" s="33" t="s">
        <v>238</v>
      </c>
      <c r="M428" s="23" t="s">
        <v>123</v>
      </c>
      <c r="N428" s="23" t="s">
        <v>38</v>
      </c>
      <c r="O428" s="23"/>
    </row>
    <row r="429" customFormat="false" ht="15" hidden="false" customHeight="true" outlineLevel="0" collapsed="false">
      <c r="A429" s="3" t="s">
        <v>460</v>
      </c>
      <c r="B429" s="3" t="s">
        <v>117</v>
      </c>
      <c r="C429" s="3" t="s">
        <v>461</v>
      </c>
      <c r="M429" s="23"/>
      <c r="N429" s="23"/>
      <c r="O429" s="23"/>
    </row>
    <row r="430" customFormat="false" ht="72" hidden="false" customHeight="true" outlineLevel="0" collapsed="false">
      <c r="C430" s="26" t="s">
        <v>462</v>
      </c>
      <c r="M430" s="23"/>
      <c r="N430" s="23"/>
      <c r="O430" s="23"/>
    </row>
    <row r="431" customFormat="false" ht="15" hidden="false" customHeight="true" outlineLevel="0" collapsed="false">
      <c r="C431" s="27" t="s">
        <v>304</v>
      </c>
      <c r="D431" s="28" t="n">
        <v>1</v>
      </c>
      <c r="E431" s="35" t="n">
        <f aca="false">'Mediciones BIM'!E27</f>
        <v>191.09</v>
      </c>
      <c r="H431" s="29" t="n">
        <f aca="false">IF(COUNT(D431:G431)=0,0,D431*IF(E431="",1,E431)*IF(F431="",1,F431)*IF(G431="",1,G431))</f>
        <v>191.09</v>
      </c>
      <c r="M431" s="23"/>
      <c r="N431" s="23"/>
      <c r="O431" s="23"/>
    </row>
    <row r="432" customFormat="false" ht="15" hidden="false" customHeight="true" outlineLevel="0" collapsed="false">
      <c r="C432" s="27"/>
      <c r="D432" s="28"/>
      <c r="E432" s="28"/>
      <c r="H432" s="29" t="n">
        <f aca="false">IF(COUNT(D432:G432)=0,0,D432*IF(E432="",1,E432)*IF(F432="",1,F432)*IF(G432="",1,G432))</f>
        <v>0</v>
      </c>
      <c r="M432" s="23"/>
      <c r="N432" s="23"/>
      <c r="O432" s="23"/>
    </row>
    <row r="433" customFormat="false" ht="15" hidden="false" customHeight="true" outlineLevel="0" collapsed="false">
      <c r="H433" s="30"/>
      <c r="I433" s="31" t="n">
        <f aca="false">ROUND(SUM(H431:H432),2)</f>
        <v>191.09</v>
      </c>
      <c r="J433" s="32" t="n">
        <v>7.47</v>
      </c>
      <c r="K433" s="31" t="n">
        <f aca="false">ROUND(I433*J433,2)</f>
        <v>1427.44</v>
      </c>
      <c r="L433" s="33" t="s">
        <v>212</v>
      </c>
      <c r="M433" s="23" t="s">
        <v>123</v>
      </c>
      <c r="N433" s="23" t="s">
        <v>38</v>
      </c>
      <c r="O433" s="23"/>
    </row>
    <row r="434" customFormat="false" ht="15" hidden="false" customHeight="true" outlineLevel="0" collapsed="false">
      <c r="A434" s="3" t="s">
        <v>463</v>
      </c>
      <c r="B434" s="3" t="s">
        <v>117</v>
      </c>
      <c r="C434" s="3" t="s">
        <v>464</v>
      </c>
      <c r="M434" s="23"/>
      <c r="N434" s="23"/>
      <c r="O434" s="23"/>
    </row>
    <row r="435" customFormat="false" ht="24" hidden="false" customHeight="true" outlineLevel="0" collapsed="false">
      <c r="C435" s="26" t="s">
        <v>465</v>
      </c>
      <c r="M435" s="23"/>
      <c r="N435" s="23"/>
      <c r="O435" s="23"/>
    </row>
    <row r="436" customFormat="false" ht="15" hidden="false" customHeight="true" outlineLevel="0" collapsed="false">
      <c r="C436" s="27" t="s">
        <v>316</v>
      </c>
      <c r="D436" s="28" t="n">
        <v>1</v>
      </c>
      <c r="E436" s="35" t="n">
        <f aca="false">'Mediciones BIM'!E28</f>
        <v>220.41</v>
      </c>
      <c r="H436" s="29" t="n">
        <f aca="false">IF(COUNT(D436:G436)=0,0,D436*IF(E436="",1,E436)*IF(F436="",1,F436)*IF(G436="",1,G436))</f>
        <v>220.41</v>
      </c>
      <c r="M436" s="23"/>
      <c r="N436" s="23"/>
      <c r="O436" s="23"/>
    </row>
    <row r="437" customFormat="false" ht="18.75" hidden="false" customHeight="true" outlineLevel="0" collapsed="false">
      <c r="H437" s="30"/>
      <c r="I437" s="31" t="n">
        <f aca="false">ROUND(SUM(H436:H436),2)</f>
        <v>220.41</v>
      </c>
      <c r="J437" s="32" t="n">
        <v>4.6</v>
      </c>
      <c r="K437" s="31" t="n">
        <f aca="false">ROUND(I437*J437,2)</f>
        <v>1013.89</v>
      </c>
      <c r="L437" s="33" t="s">
        <v>238</v>
      </c>
      <c r="M437" s="23" t="s">
        <v>123</v>
      </c>
      <c r="N437" s="23" t="s">
        <v>38</v>
      </c>
      <c r="O437" s="23"/>
    </row>
    <row r="438" customFormat="false" ht="15" hidden="false" customHeight="true" outlineLevel="0" collapsed="false">
      <c r="A438" s="3" t="s">
        <v>466</v>
      </c>
      <c r="B438" s="3" t="s">
        <v>140</v>
      </c>
      <c r="C438" s="3" t="s">
        <v>467</v>
      </c>
      <c r="M438" s="23"/>
      <c r="N438" s="23"/>
      <c r="O438" s="23"/>
    </row>
    <row r="439" customFormat="false" ht="24" hidden="false" customHeight="true" outlineLevel="0" collapsed="false">
      <c r="C439" s="26" t="s">
        <v>468</v>
      </c>
      <c r="M439" s="23"/>
      <c r="N439" s="23"/>
      <c r="O439" s="23"/>
    </row>
    <row r="440" customFormat="false" ht="15" hidden="false" customHeight="true" outlineLevel="0" collapsed="false">
      <c r="C440" s="27" t="s">
        <v>469</v>
      </c>
      <c r="D440" s="28" t="n">
        <v>1</v>
      </c>
      <c r="E440" s="28" t="n">
        <v>69.7</v>
      </c>
      <c r="H440" s="29" t="n">
        <f aca="false">IF(COUNT(D440:G440)=0,0,D440*IF(E440="",1,E440)*IF(F440="",1,F440)*IF(G440="",1,G440))</f>
        <v>69.7</v>
      </c>
      <c r="M440" s="23"/>
      <c r="N440" s="23"/>
      <c r="O440" s="23"/>
    </row>
    <row r="441" customFormat="false" ht="18.75" hidden="false" customHeight="true" outlineLevel="0" collapsed="false">
      <c r="H441" s="30"/>
      <c r="I441" s="31" t="n">
        <f aca="false">ROUND(SUM(H440:H440),2)</f>
        <v>69.7</v>
      </c>
      <c r="J441" s="32" t="n">
        <v>9.5</v>
      </c>
      <c r="K441" s="31" t="n">
        <f aca="false">ROUND(I441*J441,2)</f>
        <v>662.15</v>
      </c>
      <c r="L441" s="33" t="s">
        <v>238</v>
      </c>
      <c r="M441" s="23" t="s">
        <v>123</v>
      </c>
      <c r="N441" s="23" t="s">
        <v>38</v>
      </c>
      <c r="O441" s="23"/>
    </row>
    <row r="442" customFormat="false" ht="15" hidden="false" customHeight="true" outlineLevel="0" collapsed="false">
      <c r="A442" s="3" t="s">
        <v>470</v>
      </c>
      <c r="B442" s="3" t="s">
        <v>140</v>
      </c>
      <c r="C442" s="3" t="s">
        <v>471</v>
      </c>
      <c r="M442" s="23"/>
      <c r="N442" s="23"/>
      <c r="O442" s="23"/>
    </row>
    <row r="443" customFormat="false" ht="108" hidden="false" customHeight="true" outlineLevel="0" collapsed="false">
      <c r="C443" s="26" t="s">
        <v>472</v>
      </c>
      <c r="M443" s="23"/>
      <c r="N443" s="23"/>
      <c r="O443" s="23"/>
    </row>
    <row r="444" customFormat="false" ht="15" hidden="false" customHeight="true" outlineLevel="0" collapsed="false">
      <c r="C444" s="27" t="s">
        <v>473</v>
      </c>
      <c r="D444" s="28" t="n">
        <v>1</v>
      </c>
      <c r="E444" s="28" t="n">
        <v>20</v>
      </c>
      <c r="H444" s="29" t="n">
        <f aca="false">IF(COUNT(D444:G444)=0,0,D444*IF(E444="",1,E444)*IF(F444="",1,F444)*IF(G444="",1,G444))</f>
        <v>20</v>
      </c>
      <c r="M444" s="23"/>
      <c r="N444" s="23"/>
      <c r="O444" s="23"/>
    </row>
    <row r="445" customFormat="false" ht="15" hidden="false" customHeight="true" outlineLevel="0" collapsed="false">
      <c r="H445" s="30"/>
      <c r="I445" s="31" t="n">
        <f aca="false">ROUND(SUM(H444:H444),2)</f>
        <v>20</v>
      </c>
      <c r="J445" s="32" t="n">
        <v>37.69</v>
      </c>
      <c r="K445" s="31" t="n">
        <f aca="false">ROUND(I445*J445,2)</f>
        <v>753.8</v>
      </c>
      <c r="L445" s="33" t="s">
        <v>212</v>
      </c>
      <c r="M445" s="23" t="s">
        <v>123</v>
      </c>
      <c r="N445" s="23" t="s">
        <v>38</v>
      </c>
      <c r="O445" s="23"/>
    </row>
    <row r="446" customFormat="false" ht="15" hidden="false" customHeight="true" outlineLevel="0" collapsed="false">
      <c r="A446" s="3" t="s">
        <v>474</v>
      </c>
      <c r="B446" s="3" t="s">
        <v>140</v>
      </c>
      <c r="C446" s="3" t="s">
        <v>475</v>
      </c>
      <c r="M446" s="23"/>
      <c r="N446" s="23"/>
      <c r="O446" s="23"/>
    </row>
    <row r="447" customFormat="false" ht="24" hidden="false" customHeight="true" outlineLevel="0" collapsed="false">
      <c r="C447" s="26" t="s">
        <v>476</v>
      </c>
      <c r="M447" s="23"/>
      <c r="N447" s="23"/>
      <c r="O447" s="23"/>
    </row>
    <row r="448" customFormat="false" ht="15" hidden="false" customHeight="true" outlineLevel="0" collapsed="false">
      <c r="C448" s="27" t="s">
        <v>477</v>
      </c>
      <c r="D448" s="28" t="n">
        <v>1</v>
      </c>
      <c r="E448" s="28" t="n">
        <v>140.2</v>
      </c>
      <c r="H448" s="29" t="n">
        <f aca="false">IF(COUNT(D448:G448)=0,0,D448*IF(E448="",1,E448)*IF(F448="",1,F448)*IF(G448="",1,G448))</f>
        <v>140.2</v>
      </c>
      <c r="M448" s="23"/>
      <c r="N448" s="23"/>
      <c r="O448" s="23"/>
    </row>
    <row r="449" customFormat="false" ht="18.75" hidden="false" customHeight="true" outlineLevel="0" collapsed="false">
      <c r="H449" s="30"/>
      <c r="I449" s="31" t="n">
        <f aca="false">ROUND(SUM(H448:H448),2)</f>
        <v>140.2</v>
      </c>
      <c r="J449" s="32" t="n">
        <v>6.8</v>
      </c>
      <c r="K449" s="31" t="n">
        <f aca="false">ROUND(I449*J449,2)</f>
        <v>953.36</v>
      </c>
      <c r="L449" s="33" t="s">
        <v>238</v>
      </c>
      <c r="M449" s="23" t="s">
        <v>123</v>
      </c>
      <c r="N449" s="23" t="s">
        <v>38</v>
      </c>
      <c r="O449" s="23"/>
    </row>
    <row r="450" customFormat="false" ht="15" hidden="false" customHeight="true" outlineLevel="0" collapsed="false">
      <c r="A450" s="3" t="s">
        <v>478</v>
      </c>
      <c r="B450" s="3" t="s">
        <v>117</v>
      </c>
      <c r="C450" s="3" t="s">
        <v>479</v>
      </c>
      <c r="M450" s="23"/>
      <c r="N450" s="23"/>
      <c r="O450" s="23"/>
    </row>
    <row r="451" customFormat="false" ht="12" hidden="false" customHeight="true" outlineLevel="0" collapsed="false">
      <c r="C451" s="26" t="s">
        <v>480</v>
      </c>
      <c r="M451" s="23"/>
      <c r="N451" s="23"/>
      <c r="O451" s="23"/>
    </row>
    <row r="452" customFormat="false" ht="15" hidden="false" customHeight="true" outlineLevel="0" collapsed="false">
      <c r="C452" s="27" t="s">
        <v>481</v>
      </c>
      <c r="D452" s="28" t="n">
        <v>1</v>
      </c>
      <c r="E452" s="28" t="n">
        <v>6</v>
      </c>
      <c r="H452" s="29" t="n">
        <f aca="false">IF(COUNT(D452:G452)=0,0,D452*IF(E452="",1,E452)*IF(F452="",1,F452)*IF(G452="",1,G452))</f>
        <v>6</v>
      </c>
      <c r="M452" s="23"/>
      <c r="N452" s="23"/>
      <c r="O452" s="23"/>
    </row>
    <row r="453" customFormat="false" ht="18.75" hidden="false" customHeight="true" outlineLevel="0" collapsed="false">
      <c r="H453" s="30"/>
      <c r="I453" s="31" t="n">
        <f aca="false">ROUND(SUM(H452:H452),2)</f>
        <v>6</v>
      </c>
      <c r="J453" s="32" t="n">
        <v>32</v>
      </c>
      <c r="K453" s="31" t="n">
        <f aca="false">ROUND(I453*J453,2)</f>
        <v>192</v>
      </c>
      <c r="L453" s="33" t="s">
        <v>238</v>
      </c>
      <c r="M453" s="23" t="s">
        <v>123</v>
      </c>
      <c r="N453" s="23" t="s">
        <v>38</v>
      </c>
      <c r="O453" s="23"/>
    </row>
    <row r="454" customFormat="false" ht="15" hidden="false" customHeight="true" outlineLevel="0" collapsed="false">
      <c r="A454" s="3" t="s">
        <v>482</v>
      </c>
      <c r="B454" s="3" t="s">
        <v>117</v>
      </c>
      <c r="C454" s="3" t="s">
        <v>483</v>
      </c>
      <c r="M454" s="23"/>
      <c r="N454" s="23"/>
      <c r="O454" s="23"/>
    </row>
    <row r="455" customFormat="false" ht="12" hidden="false" customHeight="true" outlineLevel="0" collapsed="false">
      <c r="C455" s="26" t="s">
        <v>484</v>
      </c>
      <c r="M455" s="23"/>
      <c r="N455" s="23"/>
      <c r="O455" s="23"/>
    </row>
    <row r="456" customFormat="false" ht="15" hidden="false" customHeight="true" outlineLevel="0" collapsed="false">
      <c r="C456" s="27" t="s">
        <v>316</v>
      </c>
      <c r="D456" s="28" t="n">
        <v>1</v>
      </c>
      <c r="E456" s="35" t="n">
        <f aca="false">'Mediciones BIM'!E29</f>
        <v>70.01</v>
      </c>
      <c r="H456" s="29" t="n">
        <f aca="false">IF(COUNT(D456:G456)=0,0,D456*IF(E456="",1,E456)*IF(F456="",1,F456)*IF(G456="",1,G456))</f>
        <v>70.01</v>
      </c>
      <c r="M456" s="23"/>
      <c r="N456" s="23"/>
      <c r="O456" s="23"/>
    </row>
    <row r="457" customFormat="false" ht="18.75" hidden="false" customHeight="true" outlineLevel="0" collapsed="false">
      <c r="H457" s="30"/>
      <c r="I457" s="31" t="n">
        <f aca="false">ROUND(SUM(H456:H456),2)</f>
        <v>70.01</v>
      </c>
      <c r="J457" s="32" t="n">
        <v>22</v>
      </c>
      <c r="K457" s="31" t="n">
        <f aca="false">ROUND(I457*J457,2)</f>
        <v>1540.22</v>
      </c>
      <c r="L457" s="33" t="s">
        <v>238</v>
      </c>
      <c r="M457" s="23" t="s">
        <v>123</v>
      </c>
      <c r="N457" s="23" t="s">
        <v>38</v>
      </c>
      <c r="O457" s="23"/>
    </row>
    <row r="458" customFormat="false" ht="15" hidden="false" customHeight="true" outlineLevel="0" collapsed="false">
      <c r="C458" s="34" t="s">
        <v>485</v>
      </c>
      <c r="K458" s="14" t="n">
        <f aca="false">SUMIFS($K$5:$K$457,$M$5:$M$457,"P",$N$5:$N$457,"08")</f>
        <v>7531.54</v>
      </c>
      <c r="M458" s="23"/>
      <c r="N458" s="23"/>
      <c r="O458" s="23"/>
    </row>
    <row r="459" customFormat="false" ht="15" hidden="false" customHeight="true" outlineLevel="0" collapsed="false">
      <c r="M459" s="23"/>
      <c r="N459" s="23"/>
      <c r="O459" s="23"/>
    </row>
    <row r="460" customFormat="false" ht="15" hidden="false" customHeight="true" outlineLevel="0" collapsed="false">
      <c r="A460" s="24" t="s">
        <v>40</v>
      </c>
      <c r="B460" s="25"/>
      <c r="C460" s="24" t="s">
        <v>41</v>
      </c>
      <c r="D460" s="25"/>
      <c r="E460" s="25"/>
      <c r="F460" s="25"/>
      <c r="G460" s="25"/>
      <c r="H460" s="25"/>
      <c r="I460" s="25"/>
      <c r="J460" s="25"/>
      <c r="K460" s="25"/>
      <c r="L460" s="25"/>
      <c r="M460" s="23" t="s">
        <v>115</v>
      </c>
      <c r="N460" s="23" t="s">
        <v>40</v>
      </c>
      <c r="O460" s="23"/>
    </row>
    <row r="461" customFormat="false" ht="15" hidden="false" customHeight="true" outlineLevel="0" collapsed="false">
      <c r="A461" s="3" t="s">
        <v>486</v>
      </c>
      <c r="B461" s="3" t="s">
        <v>117</v>
      </c>
      <c r="C461" s="3" t="s">
        <v>487</v>
      </c>
      <c r="M461" s="23"/>
      <c r="N461" s="23"/>
      <c r="O461" s="23"/>
    </row>
    <row r="462" customFormat="false" ht="24" hidden="false" customHeight="true" outlineLevel="0" collapsed="false">
      <c r="C462" s="26" t="s">
        <v>488</v>
      </c>
      <c r="M462" s="23"/>
      <c r="N462" s="23"/>
      <c r="O462" s="23"/>
    </row>
    <row r="463" customFormat="false" ht="15" hidden="false" customHeight="true" outlineLevel="0" collapsed="false">
      <c r="C463" s="27" t="s">
        <v>316</v>
      </c>
      <c r="D463" s="28" t="n">
        <v>1</v>
      </c>
      <c r="E463" s="35" t="n">
        <f aca="false">'Mediciones BIM'!E30</f>
        <v>88.49</v>
      </c>
      <c r="H463" s="29" t="n">
        <f aca="false">IF(COUNT(D463:G463)=0,0,D463*IF(E463="",1,E463)*IF(F463="",1,F463)*IF(G463="",1,G463))</f>
        <v>88.49</v>
      </c>
      <c r="M463" s="23"/>
      <c r="N463" s="23"/>
      <c r="O463" s="23"/>
    </row>
    <row r="464" customFormat="false" ht="18.75" hidden="false" customHeight="true" outlineLevel="0" collapsed="false">
      <c r="H464" s="30"/>
      <c r="I464" s="31" t="n">
        <f aca="false">ROUND(SUM(H463:H463),2)</f>
        <v>88.49</v>
      </c>
      <c r="J464" s="32" t="n">
        <v>27</v>
      </c>
      <c r="K464" s="31" t="n">
        <f aca="false">ROUND(I464*J464,2)</f>
        <v>2389.23</v>
      </c>
      <c r="L464" s="33" t="s">
        <v>238</v>
      </c>
      <c r="M464" s="23" t="s">
        <v>123</v>
      </c>
      <c r="N464" s="23" t="s">
        <v>40</v>
      </c>
      <c r="O464" s="23"/>
    </row>
    <row r="465" customFormat="false" ht="15" hidden="false" customHeight="true" outlineLevel="0" collapsed="false">
      <c r="A465" s="3" t="s">
        <v>489</v>
      </c>
      <c r="B465" s="3" t="s">
        <v>129</v>
      </c>
      <c r="C465" s="3" t="s">
        <v>490</v>
      </c>
      <c r="M465" s="23"/>
      <c r="N465" s="23"/>
      <c r="O465" s="23"/>
    </row>
    <row r="466" customFormat="false" ht="12" hidden="false" customHeight="true" outlineLevel="0" collapsed="false">
      <c r="C466" s="26" t="s">
        <v>491</v>
      </c>
      <c r="M466" s="23"/>
      <c r="N466" s="23"/>
      <c r="O466" s="23"/>
    </row>
    <row r="467" customFormat="false" ht="15" hidden="false" customHeight="true" outlineLevel="0" collapsed="false">
      <c r="C467" s="27" t="s">
        <v>492</v>
      </c>
      <c r="D467" s="28" t="n">
        <v>11</v>
      </c>
      <c r="H467" s="29" t="n">
        <f aca="false">IF(COUNT(D467:G467)=0,0,D467*IF(E467="",1,E467)*IF(F467="",1,F467)*IF(G467="",1,G467))</f>
        <v>11</v>
      </c>
      <c r="M467" s="23"/>
      <c r="N467" s="23"/>
      <c r="O467" s="23"/>
    </row>
    <row r="468" customFormat="false" ht="18.75" hidden="false" customHeight="true" outlineLevel="0" collapsed="false">
      <c r="H468" s="30"/>
      <c r="I468" s="31" t="n">
        <f aca="false">ROUND(SUM(H467:H467),2)</f>
        <v>11</v>
      </c>
      <c r="J468" s="32" t="n">
        <v>48</v>
      </c>
      <c r="K468" s="31" t="n">
        <f aca="false">ROUND(I468*J468,2)</f>
        <v>528</v>
      </c>
      <c r="L468" s="33" t="s">
        <v>238</v>
      </c>
      <c r="M468" s="23" t="s">
        <v>123</v>
      </c>
      <c r="N468" s="23" t="s">
        <v>40</v>
      </c>
      <c r="O468" s="23"/>
    </row>
    <row r="469" customFormat="false" ht="15" hidden="false" customHeight="true" outlineLevel="0" collapsed="false">
      <c r="A469" s="3" t="s">
        <v>493</v>
      </c>
      <c r="B469" s="3" t="s">
        <v>117</v>
      </c>
      <c r="C469" s="3" t="s">
        <v>494</v>
      </c>
      <c r="M469" s="23"/>
      <c r="N469" s="23"/>
      <c r="O469" s="23"/>
    </row>
    <row r="470" customFormat="false" ht="24" hidden="false" customHeight="true" outlineLevel="0" collapsed="false">
      <c r="C470" s="26" t="s">
        <v>495</v>
      </c>
      <c r="M470" s="23"/>
      <c r="N470" s="23"/>
      <c r="O470" s="23"/>
    </row>
    <row r="471" customFormat="false" ht="15" hidden="false" customHeight="true" outlineLevel="0" collapsed="false">
      <c r="C471" s="27" t="s">
        <v>316</v>
      </c>
      <c r="D471" s="28" t="n">
        <v>1</v>
      </c>
      <c r="E471" s="35" t="n">
        <f aca="false">'Mediciones BIM'!E31</f>
        <v>22.3</v>
      </c>
      <c r="H471" s="29" t="n">
        <f aca="false">IF(COUNT(D471:G471)=0,0,D471*IF(E471="",1,E471)*IF(F471="",1,F471)*IF(G471="",1,G471))</f>
        <v>22.3</v>
      </c>
      <c r="M471" s="23"/>
      <c r="N471" s="23"/>
      <c r="O471" s="23"/>
    </row>
    <row r="472" customFormat="false" ht="27.75" hidden="false" customHeight="true" outlineLevel="0" collapsed="false">
      <c r="H472" s="30"/>
      <c r="I472" s="31" t="n">
        <f aca="false">ROUND(SUM(H471:H471),2)</f>
        <v>22.3</v>
      </c>
      <c r="J472" s="32" t="n">
        <v>34</v>
      </c>
      <c r="K472" s="31" t="n">
        <f aca="false">ROUND(I472*J472,2)</f>
        <v>758.2</v>
      </c>
      <c r="L472" s="33" t="s">
        <v>496</v>
      </c>
      <c r="M472" s="23" t="s">
        <v>123</v>
      </c>
      <c r="N472" s="23" t="s">
        <v>40</v>
      </c>
      <c r="O472" s="23"/>
    </row>
    <row r="473" customFormat="false" ht="15" hidden="false" customHeight="true" outlineLevel="0" collapsed="false">
      <c r="C473" s="34" t="s">
        <v>497</v>
      </c>
      <c r="K473" s="14" t="n">
        <f aca="false">SUMIFS($K$5:$K$472,$M$5:$M$472,"P",$N$5:$N$472,"09")</f>
        <v>3675.43</v>
      </c>
      <c r="M473" s="23"/>
      <c r="N473" s="23"/>
      <c r="O473" s="23"/>
    </row>
    <row r="474" customFormat="false" ht="15" hidden="false" customHeight="true" outlineLevel="0" collapsed="false">
      <c r="M474" s="23"/>
      <c r="N474" s="23"/>
      <c r="O474" s="23"/>
    </row>
    <row r="475" customFormat="false" ht="15" hidden="false" customHeight="true" outlineLevel="0" collapsed="false">
      <c r="A475" s="24" t="s">
        <v>42</v>
      </c>
      <c r="B475" s="25"/>
      <c r="C475" s="24" t="s">
        <v>43</v>
      </c>
      <c r="D475" s="25"/>
      <c r="E475" s="25"/>
      <c r="F475" s="25"/>
      <c r="G475" s="25"/>
      <c r="H475" s="25"/>
      <c r="I475" s="25"/>
      <c r="J475" s="25"/>
      <c r="K475" s="25"/>
      <c r="L475" s="25"/>
      <c r="M475" s="23" t="s">
        <v>115</v>
      </c>
      <c r="N475" s="23" t="s">
        <v>42</v>
      </c>
      <c r="O475" s="23"/>
    </row>
    <row r="476" customFormat="false" ht="15" hidden="false" customHeight="true" outlineLevel="0" collapsed="false">
      <c r="A476" s="3" t="s">
        <v>498</v>
      </c>
      <c r="B476" s="3" t="s">
        <v>117</v>
      </c>
      <c r="C476" s="3" t="s">
        <v>499</v>
      </c>
      <c r="M476" s="23"/>
      <c r="N476" s="23"/>
      <c r="O476" s="23"/>
    </row>
    <row r="477" customFormat="false" ht="24" hidden="false" customHeight="true" outlineLevel="0" collapsed="false">
      <c r="C477" s="26" t="s">
        <v>500</v>
      </c>
      <c r="M477" s="23"/>
      <c r="N477" s="23"/>
      <c r="O477" s="23"/>
    </row>
    <row r="478" customFormat="false" ht="15" hidden="false" customHeight="true" outlineLevel="0" collapsed="false">
      <c r="C478" s="27" t="s">
        <v>304</v>
      </c>
      <c r="D478" s="28" t="n">
        <v>1</v>
      </c>
      <c r="E478" s="35" t="n">
        <f aca="false">'Mediciones BIM'!E32</f>
        <v>210.32</v>
      </c>
      <c r="H478" s="29" t="n">
        <f aca="false">IF(COUNT(D478:G478)=0,0,D478*IF(E478="",1,E478)*IF(F478="",1,F478)*IF(G478="",1,G478))</f>
        <v>210.32</v>
      </c>
      <c r="M478" s="23"/>
      <c r="N478" s="23"/>
      <c r="O478" s="23"/>
    </row>
    <row r="479" customFormat="false" ht="18.75" hidden="false" customHeight="true" outlineLevel="0" collapsed="false">
      <c r="H479" s="30"/>
      <c r="I479" s="31" t="n">
        <f aca="false">ROUND(SUM(H478:H478),2)</f>
        <v>210.32</v>
      </c>
      <c r="J479" s="32" t="n">
        <v>15</v>
      </c>
      <c r="K479" s="31" t="n">
        <f aca="false">ROUND(I479*J479,2)</f>
        <v>3154.8</v>
      </c>
      <c r="L479" s="33" t="s">
        <v>238</v>
      </c>
      <c r="M479" s="23" t="s">
        <v>123</v>
      </c>
      <c r="N479" s="23" t="s">
        <v>42</v>
      </c>
      <c r="O479" s="23"/>
    </row>
    <row r="480" customFormat="false" ht="15" hidden="false" customHeight="true" outlineLevel="0" collapsed="false">
      <c r="A480" s="3" t="s">
        <v>501</v>
      </c>
      <c r="B480" s="3" t="s">
        <v>117</v>
      </c>
      <c r="C480" s="3" t="s">
        <v>502</v>
      </c>
      <c r="M480" s="23"/>
      <c r="N480" s="23"/>
      <c r="O480" s="23"/>
    </row>
    <row r="481" customFormat="false" ht="24" hidden="false" customHeight="true" outlineLevel="0" collapsed="false">
      <c r="C481" s="26" t="s">
        <v>503</v>
      </c>
      <c r="M481" s="23"/>
      <c r="N481" s="23"/>
      <c r="O481" s="23"/>
    </row>
    <row r="482" customFormat="false" ht="15" hidden="false" customHeight="true" outlineLevel="0" collapsed="false">
      <c r="C482" s="27" t="s">
        <v>504</v>
      </c>
      <c r="D482" s="28" t="n">
        <v>1</v>
      </c>
      <c r="E482" s="28" t="n">
        <v>87</v>
      </c>
      <c r="H482" s="29" t="n">
        <f aca="false">IF(COUNT(D482:G482)=0,0,D482*IF(E482="",1,E482)*IF(F482="",1,F482)*IF(G482="",1,G482))</f>
        <v>87</v>
      </c>
      <c r="M482" s="23"/>
      <c r="N482" s="23"/>
      <c r="O482" s="23"/>
    </row>
    <row r="483" customFormat="false" ht="18.75" hidden="false" customHeight="true" outlineLevel="0" collapsed="false">
      <c r="H483" s="30"/>
      <c r="I483" s="31" t="n">
        <f aca="false">ROUND(SUM(H482:H482),2)</f>
        <v>87</v>
      </c>
      <c r="J483" s="32" t="n">
        <v>14</v>
      </c>
      <c r="K483" s="31" t="n">
        <f aca="false">ROUND(I483*J483,2)</f>
        <v>1218</v>
      </c>
      <c r="L483" s="33" t="s">
        <v>238</v>
      </c>
      <c r="M483" s="23" t="s">
        <v>123</v>
      </c>
      <c r="N483" s="23" t="s">
        <v>42</v>
      </c>
      <c r="O483" s="23"/>
    </row>
    <row r="484" customFormat="false" ht="15" hidden="false" customHeight="true" outlineLevel="0" collapsed="false">
      <c r="A484" s="3" t="s">
        <v>505</v>
      </c>
      <c r="B484" s="3" t="s">
        <v>117</v>
      </c>
      <c r="C484" s="3" t="s">
        <v>506</v>
      </c>
      <c r="M484" s="23"/>
      <c r="N484" s="23"/>
      <c r="O484" s="23"/>
    </row>
    <row r="485" customFormat="false" ht="24" hidden="false" customHeight="true" outlineLevel="0" collapsed="false">
      <c r="C485" s="26" t="s">
        <v>507</v>
      </c>
      <c r="M485" s="23"/>
      <c r="N485" s="23"/>
      <c r="O485" s="23"/>
    </row>
    <row r="486" customFormat="false" ht="15" hidden="false" customHeight="true" outlineLevel="0" collapsed="false">
      <c r="C486" s="27" t="s">
        <v>304</v>
      </c>
      <c r="D486" s="28" t="n">
        <v>1</v>
      </c>
      <c r="E486" s="35" t="n">
        <f aca="false">'Mediciones BIM'!E33</f>
        <v>192.65</v>
      </c>
      <c r="H486" s="29" t="n">
        <f aca="false">IF(COUNT(D486:G486)=0,0,D486*IF(E486="",1,E486)*IF(F486="",1,F486)*IF(G486="",1,G486))</f>
        <v>192.65</v>
      </c>
      <c r="M486" s="23"/>
      <c r="N486" s="23"/>
      <c r="O486" s="23"/>
    </row>
    <row r="487" customFormat="false" ht="15" hidden="false" customHeight="true" outlineLevel="0" collapsed="false">
      <c r="C487" s="27"/>
      <c r="D487" s="28"/>
      <c r="E487" s="28"/>
      <c r="H487" s="29" t="n">
        <f aca="false">IF(COUNT(D487:G487)=0,0,D487*IF(E487="",1,E487)*IF(F487="",1,F487)*IF(G487="",1,G487))</f>
        <v>0</v>
      </c>
      <c r="M487" s="23"/>
      <c r="N487" s="23"/>
      <c r="O487" s="23"/>
    </row>
    <row r="488" customFormat="false" ht="18.75" hidden="false" customHeight="true" outlineLevel="0" collapsed="false">
      <c r="H488" s="30"/>
      <c r="I488" s="31" t="n">
        <f aca="false">ROUND(SUM(H486:H487),2)</f>
        <v>192.65</v>
      </c>
      <c r="J488" s="32" t="n">
        <v>48</v>
      </c>
      <c r="K488" s="31" t="n">
        <f aca="false">ROUND(I488*J488,2)</f>
        <v>9247.2</v>
      </c>
      <c r="L488" s="33" t="s">
        <v>238</v>
      </c>
      <c r="M488" s="23" t="s">
        <v>123</v>
      </c>
      <c r="N488" s="23" t="s">
        <v>42</v>
      </c>
      <c r="O488" s="23"/>
    </row>
    <row r="489" customFormat="false" ht="15" hidden="false" customHeight="true" outlineLevel="0" collapsed="false">
      <c r="A489" s="3" t="s">
        <v>508</v>
      </c>
      <c r="B489" s="3" t="s">
        <v>117</v>
      </c>
      <c r="C489" s="3" t="s">
        <v>509</v>
      </c>
      <c r="M489" s="23"/>
      <c r="N489" s="23"/>
      <c r="O489" s="23"/>
    </row>
    <row r="490" customFormat="false" ht="24" hidden="false" customHeight="true" outlineLevel="0" collapsed="false">
      <c r="C490" s="26" t="s">
        <v>510</v>
      </c>
      <c r="M490" s="23"/>
      <c r="N490" s="23"/>
      <c r="O490" s="23"/>
    </row>
    <row r="491" customFormat="false" ht="15" hidden="false" customHeight="true" outlineLevel="0" collapsed="false">
      <c r="C491" s="27" t="s">
        <v>316</v>
      </c>
      <c r="D491" s="28" t="n">
        <v>1</v>
      </c>
      <c r="E491" s="35" t="n">
        <f aca="false">'Mediciones BIM'!E34</f>
        <v>70.01</v>
      </c>
      <c r="H491" s="29" t="n">
        <f aca="false">IF(COUNT(D491:G491)=0,0,D491*IF(E491="",1,E491)*IF(F491="",1,F491)*IF(G491="",1,G491))</f>
        <v>70.01</v>
      </c>
      <c r="M491" s="23"/>
      <c r="N491" s="23"/>
      <c r="O491" s="23"/>
    </row>
    <row r="492" customFormat="false" ht="15" hidden="false" customHeight="true" outlineLevel="0" collapsed="false">
      <c r="C492" s="27"/>
      <c r="D492" s="28"/>
      <c r="E492" s="28"/>
      <c r="H492" s="29" t="n">
        <f aca="false">IF(COUNT(D492:G492)=0,0,D492*IF(E492="",1,E492)*IF(F492="",1,F492)*IF(G492="",1,G492))</f>
        <v>0</v>
      </c>
      <c r="M492" s="23"/>
      <c r="N492" s="23"/>
      <c r="O492" s="23"/>
    </row>
    <row r="493" customFormat="false" ht="18.75" hidden="false" customHeight="true" outlineLevel="0" collapsed="false">
      <c r="H493" s="30"/>
      <c r="I493" s="31" t="n">
        <f aca="false">ROUND(SUM(H491:H492),2)</f>
        <v>70.01</v>
      </c>
      <c r="J493" s="32" t="n">
        <v>56</v>
      </c>
      <c r="K493" s="31" t="n">
        <f aca="false">ROUND(I493*J493,2)</f>
        <v>3920.56</v>
      </c>
      <c r="L493" s="33" t="s">
        <v>238</v>
      </c>
      <c r="M493" s="23" t="s">
        <v>123</v>
      </c>
      <c r="N493" s="23" t="s">
        <v>42</v>
      </c>
      <c r="O493" s="23"/>
    </row>
    <row r="494" customFormat="false" ht="15" hidden="false" customHeight="true" outlineLevel="0" collapsed="false">
      <c r="A494" s="3" t="s">
        <v>511</v>
      </c>
      <c r="B494" s="3" t="s">
        <v>117</v>
      </c>
      <c r="C494" s="3" t="s">
        <v>512</v>
      </c>
      <c r="M494" s="23"/>
      <c r="N494" s="23"/>
      <c r="O494" s="23"/>
    </row>
    <row r="495" customFormat="false" ht="12" hidden="false" customHeight="true" outlineLevel="0" collapsed="false">
      <c r="C495" s="26" t="s">
        <v>513</v>
      </c>
      <c r="M495" s="23"/>
      <c r="N495" s="23"/>
      <c r="O495" s="23"/>
    </row>
    <row r="496" customFormat="false" ht="15" hidden="false" customHeight="true" outlineLevel="0" collapsed="false">
      <c r="C496" s="27" t="s">
        <v>304</v>
      </c>
      <c r="D496" s="28" t="n">
        <v>1</v>
      </c>
      <c r="E496" s="35" t="n">
        <f aca="false">'Mediciones BIM'!E35</f>
        <v>17.67</v>
      </c>
      <c r="H496" s="29" t="n">
        <f aca="false">IF(COUNT(D496:G496)=0,0,D496*IF(E496="",1,E496)*IF(F496="",1,F496)*IF(G496="",1,G496))</f>
        <v>17.67</v>
      </c>
      <c r="M496" s="23"/>
      <c r="N496" s="23"/>
      <c r="O496" s="23"/>
    </row>
    <row r="497" customFormat="false" ht="18.75" hidden="false" customHeight="true" outlineLevel="0" collapsed="false">
      <c r="H497" s="30"/>
      <c r="I497" s="31" t="n">
        <f aca="false">ROUND(SUM(H496:H496),2)</f>
        <v>17.67</v>
      </c>
      <c r="J497" s="32" t="n">
        <v>54</v>
      </c>
      <c r="K497" s="31" t="n">
        <f aca="false">ROUND(I497*J497,2)</f>
        <v>954.18</v>
      </c>
      <c r="L497" s="33" t="s">
        <v>238</v>
      </c>
      <c r="M497" s="23" t="s">
        <v>123</v>
      </c>
      <c r="N497" s="23" t="s">
        <v>42</v>
      </c>
      <c r="O497" s="23"/>
    </row>
    <row r="498" customFormat="false" ht="15" hidden="false" customHeight="true" outlineLevel="0" collapsed="false">
      <c r="A498" s="3" t="s">
        <v>514</v>
      </c>
      <c r="B498" s="3" t="s">
        <v>117</v>
      </c>
      <c r="C498" s="3" t="s">
        <v>515</v>
      </c>
      <c r="M498" s="23"/>
      <c r="N498" s="23"/>
      <c r="O498" s="23"/>
    </row>
    <row r="499" customFormat="false" ht="132" hidden="false" customHeight="true" outlineLevel="0" collapsed="false">
      <c r="C499" s="26" t="s">
        <v>516</v>
      </c>
      <c r="M499" s="23"/>
      <c r="N499" s="23"/>
      <c r="O499" s="23"/>
    </row>
    <row r="500" customFormat="false" ht="15" hidden="false" customHeight="true" outlineLevel="0" collapsed="false">
      <c r="C500" s="27" t="s">
        <v>304</v>
      </c>
      <c r="D500" s="28" t="n">
        <v>1</v>
      </c>
      <c r="E500" s="35" t="n">
        <f aca="false">'Mediciones BIM'!E36</f>
        <v>49.52</v>
      </c>
      <c r="H500" s="29" t="n">
        <f aca="false">IF(COUNT(D500:G500)=0,0,D500*IF(E500="",1,E500)*IF(F500="",1,F500)*IF(G500="",1,G500))</f>
        <v>49.52</v>
      </c>
      <c r="M500" s="23"/>
      <c r="N500" s="23"/>
      <c r="O500" s="23"/>
    </row>
    <row r="501" customFormat="false" ht="15" hidden="false" customHeight="true" outlineLevel="0" collapsed="false">
      <c r="H501" s="30"/>
      <c r="I501" s="31" t="n">
        <f aca="false">ROUND(SUM(H500:H500),2)</f>
        <v>49.52</v>
      </c>
      <c r="J501" s="32" t="n">
        <v>15.61</v>
      </c>
      <c r="K501" s="31" t="n">
        <f aca="false">ROUND(I501*J501,2)</f>
        <v>773.01</v>
      </c>
      <c r="L501" s="33" t="s">
        <v>212</v>
      </c>
      <c r="M501" s="23" t="s">
        <v>123</v>
      </c>
      <c r="N501" s="23" t="s">
        <v>42</v>
      </c>
      <c r="O501" s="23"/>
    </row>
    <row r="502" customFormat="false" ht="15" hidden="false" customHeight="true" outlineLevel="0" collapsed="false">
      <c r="A502" s="3" t="s">
        <v>517</v>
      </c>
      <c r="B502" s="3" t="s">
        <v>140</v>
      </c>
      <c r="C502" s="3" t="s">
        <v>518</v>
      </c>
      <c r="M502" s="23"/>
      <c r="N502" s="23"/>
      <c r="O502" s="23"/>
    </row>
    <row r="503" customFormat="false" ht="24" hidden="false" customHeight="true" outlineLevel="0" collapsed="false">
      <c r="C503" s="26" t="s">
        <v>519</v>
      </c>
      <c r="M503" s="23"/>
      <c r="N503" s="23"/>
      <c r="O503" s="23"/>
    </row>
    <row r="504" customFormat="false" ht="15" hidden="false" customHeight="true" outlineLevel="0" collapsed="false">
      <c r="C504" s="27" t="s">
        <v>385</v>
      </c>
      <c r="D504" s="28" t="n">
        <v>1</v>
      </c>
      <c r="E504" s="28" t="n">
        <v>5.4</v>
      </c>
      <c r="H504" s="29" t="n">
        <f aca="false">IF(COUNT(D504:G504)=0,0,D504*IF(E504="",1,E504)*IF(F504="",1,F504)*IF(G504="",1,G504))</f>
        <v>5.4</v>
      </c>
      <c r="M504" s="23"/>
      <c r="N504" s="23"/>
      <c r="O504" s="23"/>
    </row>
    <row r="505" customFormat="false" ht="18.75" hidden="false" customHeight="true" outlineLevel="0" collapsed="false">
      <c r="H505" s="30"/>
      <c r="I505" s="31" t="n">
        <f aca="false">ROUND(SUM(H504:H504),2)</f>
        <v>5.4</v>
      </c>
      <c r="J505" s="32" t="n">
        <v>92</v>
      </c>
      <c r="K505" s="31" t="n">
        <f aca="false">ROUND(I505*J505,2)</f>
        <v>496.8</v>
      </c>
      <c r="L505" s="33" t="s">
        <v>238</v>
      </c>
      <c r="M505" s="23" t="s">
        <v>123</v>
      </c>
      <c r="N505" s="23" t="s">
        <v>42</v>
      </c>
      <c r="O505" s="23"/>
    </row>
    <row r="506" customFormat="false" ht="15" hidden="false" customHeight="true" outlineLevel="0" collapsed="false">
      <c r="A506" s="3" t="s">
        <v>520</v>
      </c>
      <c r="B506" s="3" t="s">
        <v>129</v>
      </c>
      <c r="C506" s="3" t="s">
        <v>521</v>
      </c>
      <c r="M506" s="23"/>
      <c r="N506" s="23"/>
      <c r="O506" s="23"/>
    </row>
    <row r="507" customFormat="false" ht="24" hidden="false" customHeight="true" outlineLevel="0" collapsed="false">
      <c r="C507" s="26" t="s">
        <v>522</v>
      </c>
      <c r="M507" s="23"/>
      <c r="N507" s="23"/>
      <c r="O507" s="23"/>
    </row>
    <row r="508" customFormat="false" ht="15" hidden="false" customHeight="true" outlineLevel="0" collapsed="false">
      <c r="C508" s="27" t="s">
        <v>384</v>
      </c>
      <c r="D508" s="28" t="n">
        <v>1</v>
      </c>
      <c r="H508" s="29" t="n">
        <f aca="false">IF(COUNT(D508:G508)=0,0,D508*IF(E508="",1,E508)*IF(F508="",1,F508)*IF(G508="",1,G508))</f>
        <v>1</v>
      </c>
      <c r="M508" s="23"/>
      <c r="N508" s="23"/>
      <c r="O508" s="23"/>
    </row>
    <row r="509" customFormat="false" ht="18.75" hidden="false" customHeight="true" outlineLevel="0" collapsed="false">
      <c r="H509" s="30"/>
      <c r="I509" s="31" t="n">
        <f aca="false">ROUND(SUM(H508:H508),2)</f>
        <v>1</v>
      </c>
      <c r="J509" s="32" t="n">
        <v>950</v>
      </c>
      <c r="K509" s="31" t="n">
        <f aca="false">ROUND(I509*J509,2)</f>
        <v>950</v>
      </c>
      <c r="L509" s="33" t="s">
        <v>238</v>
      </c>
      <c r="M509" s="23" t="s">
        <v>123</v>
      </c>
      <c r="N509" s="23" t="s">
        <v>42</v>
      </c>
      <c r="O509" s="23"/>
    </row>
    <row r="510" customFormat="false" ht="15" hidden="false" customHeight="true" outlineLevel="0" collapsed="false">
      <c r="A510" s="3" t="s">
        <v>523</v>
      </c>
      <c r="B510" s="3" t="s">
        <v>117</v>
      </c>
      <c r="C510" s="3" t="s">
        <v>524</v>
      </c>
      <c r="M510" s="23"/>
      <c r="N510" s="23"/>
      <c r="O510" s="23"/>
    </row>
    <row r="511" customFormat="false" ht="24" hidden="false" customHeight="true" outlineLevel="0" collapsed="false">
      <c r="C511" s="26" t="s">
        <v>525</v>
      </c>
      <c r="M511" s="23"/>
      <c r="N511" s="23"/>
      <c r="O511" s="23"/>
    </row>
    <row r="512" customFormat="false" ht="15" hidden="false" customHeight="true" outlineLevel="0" collapsed="false">
      <c r="C512" s="27" t="s">
        <v>316</v>
      </c>
      <c r="D512" s="28" t="n">
        <v>1</v>
      </c>
      <c r="E512" s="35" t="n">
        <f aca="false">'Mediciones BIM'!E37</f>
        <v>70.01</v>
      </c>
      <c r="H512" s="29" t="n">
        <f aca="false">IF(COUNT(D512:G512)=0,0,D512*IF(E512="",1,E512)*IF(F512="",1,F512)*IF(G512="",1,G512))</f>
        <v>70.01</v>
      </c>
      <c r="M512" s="23"/>
      <c r="N512" s="23"/>
      <c r="O512" s="23"/>
    </row>
    <row r="513" customFormat="false" ht="15" hidden="false" customHeight="true" outlineLevel="0" collapsed="false">
      <c r="H513" s="30"/>
      <c r="I513" s="31" t="n">
        <f aca="false">ROUND(SUM(H512:H512),2)</f>
        <v>70.01</v>
      </c>
      <c r="J513" s="32" t="n">
        <v>15</v>
      </c>
      <c r="K513" s="31" t="n">
        <f aca="false">ROUND(I513*J513,2)</f>
        <v>1050.15</v>
      </c>
      <c r="L513" s="33" t="s">
        <v>526</v>
      </c>
      <c r="M513" s="23" t="s">
        <v>123</v>
      </c>
      <c r="N513" s="23" t="s">
        <v>42</v>
      </c>
      <c r="O513" s="23"/>
    </row>
    <row r="514" customFormat="false" ht="15" hidden="false" customHeight="true" outlineLevel="0" collapsed="false">
      <c r="C514" s="34" t="s">
        <v>527</v>
      </c>
      <c r="K514" s="14" t="n">
        <f aca="false">SUMIFS($K$5:$K$513,$M$5:$M$513,"P",$N$5:$N$513,"10")</f>
        <v>21764.7</v>
      </c>
      <c r="M514" s="23"/>
      <c r="N514" s="23"/>
      <c r="O514" s="23"/>
    </row>
    <row r="515" customFormat="false" ht="15" hidden="false" customHeight="true" outlineLevel="0" collapsed="false">
      <c r="M515" s="23"/>
      <c r="N515" s="23"/>
      <c r="O515" s="23"/>
    </row>
    <row r="516" customFormat="false" ht="15" hidden="false" customHeight="true" outlineLevel="0" collapsed="false">
      <c r="A516" s="24" t="s">
        <v>44</v>
      </c>
      <c r="B516" s="25"/>
      <c r="C516" s="24" t="s">
        <v>45</v>
      </c>
      <c r="D516" s="25"/>
      <c r="E516" s="25"/>
      <c r="F516" s="25"/>
      <c r="G516" s="25"/>
      <c r="H516" s="25"/>
      <c r="I516" s="25"/>
      <c r="J516" s="25"/>
      <c r="K516" s="25"/>
      <c r="L516" s="25"/>
      <c r="M516" s="23" t="s">
        <v>115</v>
      </c>
      <c r="N516" s="23" t="s">
        <v>44</v>
      </c>
      <c r="O516" s="23"/>
    </row>
    <row r="517" customFormat="false" ht="15" hidden="false" customHeight="true" outlineLevel="0" collapsed="false">
      <c r="A517" s="3" t="s">
        <v>528</v>
      </c>
      <c r="B517" s="3" t="s">
        <v>421</v>
      </c>
      <c r="C517" s="3" t="s">
        <v>529</v>
      </c>
      <c r="M517" s="23"/>
      <c r="N517" s="23"/>
      <c r="O517" s="23"/>
    </row>
    <row r="518" customFormat="false" ht="36" hidden="false" customHeight="true" outlineLevel="0" collapsed="false">
      <c r="C518" s="26" t="s">
        <v>530</v>
      </c>
      <c r="M518" s="23"/>
      <c r="N518" s="23"/>
      <c r="O518" s="23"/>
    </row>
    <row r="519" customFormat="false" ht="15" hidden="false" customHeight="true" outlineLevel="0" collapsed="false">
      <c r="C519" s="27" t="s">
        <v>316</v>
      </c>
      <c r="D519" s="28" t="n">
        <v>1</v>
      </c>
      <c r="E519" s="35" t="n">
        <f aca="false">'Mediciones BIM'!E38</f>
        <v>316.1</v>
      </c>
      <c r="H519" s="29" t="n">
        <f aca="false">IF(COUNT(D519:G519)=0,0,D519*IF(E519="",1,E519)*IF(F519="",1,F519)*IF(G519="",1,G519))</f>
        <v>316.1</v>
      </c>
      <c r="M519" s="23"/>
      <c r="N519" s="23"/>
      <c r="O519" s="23"/>
    </row>
    <row r="520" customFormat="false" ht="15" hidden="false" customHeight="true" outlineLevel="0" collapsed="false">
      <c r="C520" s="27"/>
      <c r="D520" s="28"/>
      <c r="E520" s="28"/>
      <c r="H520" s="29" t="n">
        <f aca="false">IF(COUNT(D520:G520)=0,0,D520*IF(E520="",1,E520)*IF(F520="",1,F520)*IF(G520="",1,G520))</f>
        <v>0</v>
      </c>
      <c r="M520" s="23"/>
      <c r="N520" s="23"/>
      <c r="O520" s="23"/>
    </row>
    <row r="521" customFormat="false" ht="15" hidden="false" customHeight="true" outlineLevel="0" collapsed="false">
      <c r="C521" s="27"/>
      <c r="D521" s="28"/>
      <c r="E521" s="28"/>
      <c r="H521" s="29" t="n">
        <f aca="false">IF(COUNT(D521:G521)=0,0,D521*IF(E521="",1,E521)*IF(F521="",1,F521)*IF(G521="",1,G521))</f>
        <v>0</v>
      </c>
      <c r="M521" s="23"/>
      <c r="N521" s="23"/>
      <c r="O521" s="23"/>
    </row>
    <row r="522" customFormat="false" ht="15" hidden="false" customHeight="true" outlineLevel="0" collapsed="false">
      <c r="H522" s="30"/>
      <c r="I522" s="31" t="n">
        <f aca="false">ROUND(SUM(H519:H521),2)</f>
        <v>316.1</v>
      </c>
      <c r="J522" s="32" t="n">
        <v>29.56</v>
      </c>
      <c r="K522" s="31" t="n">
        <f aca="false">ROUND(I522*J522,2)</f>
        <v>9343.92</v>
      </c>
      <c r="L522" s="33" t="s">
        <v>212</v>
      </c>
      <c r="M522" s="23" t="s">
        <v>123</v>
      </c>
      <c r="N522" s="23" t="s">
        <v>44</v>
      </c>
      <c r="O522" s="23"/>
    </row>
    <row r="523" customFormat="false" ht="15" hidden="false" customHeight="true" outlineLevel="0" collapsed="false">
      <c r="A523" s="3" t="s">
        <v>531</v>
      </c>
      <c r="B523" s="3" t="s">
        <v>117</v>
      </c>
      <c r="C523" s="3" t="s">
        <v>532</v>
      </c>
      <c r="M523" s="23"/>
      <c r="N523" s="23"/>
      <c r="O523" s="23"/>
    </row>
    <row r="524" customFormat="false" ht="24" hidden="false" customHeight="true" outlineLevel="0" collapsed="false">
      <c r="C524" s="26" t="s">
        <v>533</v>
      </c>
      <c r="M524" s="23"/>
      <c r="N524" s="23"/>
      <c r="O524" s="23"/>
    </row>
    <row r="525" customFormat="false" ht="15" hidden="false" customHeight="true" outlineLevel="0" collapsed="false">
      <c r="C525" s="27" t="s">
        <v>316</v>
      </c>
      <c r="D525" s="28" t="n">
        <v>1</v>
      </c>
      <c r="E525" s="35" t="n">
        <f aca="false">'Mediciones BIM'!E39</f>
        <v>950.13</v>
      </c>
      <c r="H525" s="29" t="n">
        <f aca="false">IF(COUNT(D525:G525)=0,0,D525*IF(E525="",1,E525)*IF(F525="",1,F525)*IF(G525="",1,G525))</f>
        <v>950.13</v>
      </c>
      <c r="M525" s="23"/>
      <c r="N525" s="23"/>
      <c r="O525" s="23"/>
    </row>
    <row r="526" customFormat="false" ht="15" hidden="false" customHeight="true" outlineLevel="0" collapsed="false">
      <c r="C526" s="27"/>
      <c r="D526" s="28"/>
      <c r="E526" s="28"/>
      <c r="H526" s="29" t="n">
        <f aca="false">IF(COUNT(D526:G526)=0,0,D526*IF(E526="",1,E526)*IF(F526="",1,F526)*IF(G526="",1,G526))</f>
        <v>0</v>
      </c>
      <c r="M526" s="23"/>
      <c r="N526" s="23"/>
      <c r="O526" s="23"/>
    </row>
    <row r="527" customFormat="false" ht="15" hidden="false" customHeight="true" outlineLevel="0" collapsed="false">
      <c r="C527" s="27"/>
      <c r="D527" s="28"/>
      <c r="E527" s="28"/>
      <c r="H527" s="29" t="n">
        <f aca="false">IF(COUNT(D527:G527)=0,0,D527*IF(E527="",1,E527)*IF(F527="",1,F527)*IF(G527="",1,G527))</f>
        <v>0</v>
      </c>
      <c r="M527" s="23"/>
      <c r="N527" s="23"/>
      <c r="O527" s="23"/>
    </row>
    <row r="528" customFormat="false" ht="15" hidden="false" customHeight="true" outlineLevel="0" collapsed="false">
      <c r="C528" s="27"/>
      <c r="D528" s="28"/>
      <c r="E528" s="28"/>
      <c r="H528" s="29" t="n">
        <f aca="false">IF(COUNT(D528:G528)=0,0,D528*IF(E528="",1,E528)*IF(F528="",1,F528)*IF(G528="",1,G528))</f>
        <v>0</v>
      </c>
      <c r="M528" s="23"/>
      <c r="N528" s="23"/>
      <c r="O528" s="23"/>
    </row>
    <row r="529" customFormat="false" ht="15" hidden="false" customHeight="true" outlineLevel="0" collapsed="false">
      <c r="C529" s="27"/>
      <c r="D529" s="28"/>
      <c r="E529" s="28"/>
      <c r="H529" s="29" t="n">
        <f aca="false">IF(COUNT(D529:G529)=0,0,D529*IF(E529="",1,E529)*IF(F529="",1,F529)*IF(G529="",1,G529))</f>
        <v>0</v>
      </c>
      <c r="M529" s="23"/>
      <c r="N529" s="23"/>
      <c r="O529" s="23"/>
    </row>
    <row r="530" customFormat="false" ht="15" hidden="false" customHeight="true" outlineLevel="0" collapsed="false">
      <c r="C530" s="27"/>
      <c r="D530" s="28"/>
      <c r="E530" s="28"/>
      <c r="H530" s="29" t="n">
        <f aca="false">IF(COUNT(D530:G530)=0,0,D530*IF(E530="",1,E530)*IF(F530="",1,F530)*IF(G530="",1,G530))</f>
        <v>0</v>
      </c>
      <c r="M530" s="23"/>
      <c r="N530" s="23"/>
      <c r="O530" s="23"/>
    </row>
    <row r="531" customFormat="false" ht="15" hidden="false" customHeight="true" outlineLevel="0" collapsed="false">
      <c r="C531" s="27"/>
      <c r="D531" s="28"/>
      <c r="E531" s="28"/>
      <c r="H531" s="29" t="n">
        <f aca="false">IF(COUNT(D531:G531)=0,0,D531*IF(E531="",1,E531)*IF(F531="",1,F531)*IF(G531="",1,G531))</f>
        <v>0</v>
      </c>
      <c r="M531" s="23"/>
      <c r="N531" s="23"/>
      <c r="O531" s="23"/>
    </row>
    <row r="532" customFormat="false" ht="18.75" hidden="false" customHeight="true" outlineLevel="0" collapsed="false">
      <c r="H532" s="30"/>
      <c r="I532" s="31" t="n">
        <f aca="false">ROUND(SUM(H525:H531),2)</f>
        <v>950.13</v>
      </c>
      <c r="J532" s="32" t="n">
        <v>14</v>
      </c>
      <c r="K532" s="31" t="n">
        <f aca="false">ROUND(I532*J532,2)</f>
        <v>13301.82</v>
      </c>
      <c r="L532" s="33" t="s">
        <v>238</v>
      </c>
      <c r="M532" s="23" t="s">
        <v>123</v>
      </c>
      <c r="N532" s="23" t="s">
        <v>44</v>
      </c>
      <c r="O532" s="23"/>
    </row>
    <row r="533" customFormat="false" ht="15" hidden="false" customHeight="true" outlineLevel="0" collapsed="false">
      <c r="A533" s="3" t="s">
        <v>534</v>
      </c>
      <c r="B533" s="3" t="s">
        <v>117</v>
      </c>
      <c r="C533" s="3" t="s">
        <v>535</v>
      </c>
      <c r="M533" s="23"/>
      <c r="N533" s="23"/>
      <c r="O533" s="23"/>
    </row>
    <row r="534" customFormat="false" ht="24" hidden="false" customHeight="true" outlineLevel="0" collapsed="false">
      <c r="C534" s="26" t="s">
        <v>536</v>
      </c>
      <c r="M534" s="23"/>
      <c r="N534" s="23"/>
      <c r="O534" s="23"/>
    </row>
    <row r="535" customFormat="false" ht="15" hidden="false" customHeight="true" outlineLevel="0" collapsed="false">
      <c r="C535" s="27" t="s">
        <v>316</v>
      </c>
      <c r="D535" s="28" t="n">
        <v>1</v>
      </c>
      <c r="E535" s="35" t="n">
        <f aca="false">'Mediciones BIM'!E40</f>
        <v>88.02</v>
      </c>
      <c r="G535" s="28"/>
      <c r="H535" s="29" t="n">
        <f aca="false">IF(COUNT(D535:G535)=0,0,D535*IF(E535="",1,E535)*IF(F535="",1,F535)*IF(G535="",1,G535))</f>
        <v>88.02</v>
      </c>
      <c r="M535" s="23"/>
      <c r="N535" s="23"/>
      <c r="O535" s="23"/>
    </row>
    <row r="536" customFormat="false" ht="15" hidden="false" customHeight="true" outlineLevel="0" collapsed="false">
      <c r="C536" s="27"/>
      <c r="D536" s="28"/>
      <c r="E536" s="28"/>
      <c r="G536" s="28"/>
      <c r="H536" s="29" t="n">
        <f aca="false">IF(COUNT(D536:G536)=0,0,D536*IF(E536="",1,E536)*IF(F536="",1,F536)*IF(G536="",1,G536))</f>
        <v>0</v>
      </c>
      <c r="M536" s="23"/>
      <c r="N536" s="23"/>
      <c r="O536" s="23"/>
    </row>
    <row r="537" customFormat="false" ht="15" hidden="false" customHeight="true" outlineLevel="0" collapsed="false">
      <c r="C537" s="27"/>
      <c r="D537" s="28"/>
      <c r="E537" s="28"/>
      <c r="G537" s="28"/>
      <c r="H537" s="29" t="n">
        <f aca="false">IF(COUNT(D537:G537)=0,0,D537*IF(E537="",1,E537)*IF(F537="",1,F537)*IF(G537="",1,G537))</f>
        <v>0</v>
      </c>
      <c r="M537" s="23"/>
      <c r="N537" s="23"/>
      <c r="O537" s="23"/>
    </row>
    <row r="538" customFormat="false" ht="15" hidden="false" customHeight="true" outlineLevel="0" collapsed="false">
      <c r="C538" s="27"/>
      <c r="D538" s="28"/>
      <c r="E538" s="28"/>
      <c r="G538" s="28"/>
      <c r="H538" s="29" t="n">
        <f aca="false">IF(COUNT(D538:G538)=0,0,D538*IF(E538="",1,E538)*IF(F538="",1,F538)*IF(G538="",1,G538))</f>
        <v>0</v>
      </c>
      <c r="M538" s="23"/>
      <c r="N538" s="23"/>
      <c r="O538" s="23"/>
    </row>
    <row r="539" customFormat="false" ht="15" hidden="false" customHeight="true" outlineLevel="0" collapsed="false">
      <c r="C539" s="27"/>
      <c r="D539" s="28"/>
      <c r="E539" s="28"/>
      <c r="G539" s="28"/>
      <c r="H539" s="29" t="n">
        <f aca="false">IF(COUNT(D539:G539)=0,0,D539*IF(E539="",1,E539)*IF(F539="",1,F539)*IF(G539="",1,G539))</f>
        <v>0</v>
      </c>
      <c r="M539" s="23"/>
      <c r="N539" s="23"/>
      <c r="O539" s="23"/>
    </row>
    <row r="540" customFormat="false" ht="18.75" hidden="false" customHeight="true" outlineLevel="0" collapsed="false">
      <c r="H540" s="30"/>
      <c r="I540" s="31" t="n">
        <f aca="false">ROUND(SUM(H535:H539),2)</f>
        <v>88.02</v>
      </c>
      <c r="J540" s="32" t="n">
        <v>64</v>
      </c>
      <c r="K540" s="31" t="n">
        <f aca="false">ROUND(I540*J540,2)</f>
        <v>5633.28</v>
      </c>
      <c r="L540" s="33" t="s">
        <v>238</v>
      </c>
      <c r="M540" s="23" t="s">
        <v>123</v>
      </c>
      <c r="N540" s="23" t="s">
        <v>44</v>
      </c>
      <c r="O540" s="23"/>
    </row>
    <row r="541" customFormat="false" ht="15" hidden="false" customHeight="true" outlineLevel="0" collapsed="false">
      <c r="A541" s="3" t="s">
        <v>537</v>
      </c>
      <c r="B541" s="3" t="s">
        <v>117</v>
      </c>
      <c r="C541" s="3" t="s">
        <v>538</v>
      </c>
      <c r="M541" s="23"/>
      <c r="N541" s="23"/>
      <c r="O541" s="23"/>
    </row>
    <row r="542" customFormat="false" ht="12" hidden="false" customHeight="true" outlineLevel="0" collapsed="false">
      <c r="C542" s="26" t="s">
        <v>539</v>
      </c>
      <c r="M542" s="23"/>
      <c r="N542" s="23"/>
      <c r="O542" s="23"/>
    </row>
    <row r="543" customFormat="false" ht="15" hidden="false" customHeight="true" outlineLevel="0" collapsed="false">
      <c r="C543" s="27" t="s">
        <v>276</v>
      </c>
      <c r="D543" s="28" t="n">
        <v>2</v>
      </c>
      <c r="E543" s="28" t="n">
        <v>4.2</v>
      </c>
      <c r="H543" s="29" t="n">
        <f aca="false">IF(COUNT(D543:G543)=0,0,D543*IF(E543="",1,E543)*IF(F543="",1,F543)*IF(G543="",1,G543))</f>
        <v>8.4</v>
      </c>
      <c r="M543" s="23"/>
      <c r="N543" s="23"/>
      <c r="O543" s="23"/>
    </row>
    <row r="544" customFormat="false" ht="15" hidden="false" customHeight="true" outlineLevel="0" collapsed="false">
      <c r="H544" s="30"/>
      <c r="I544" s="31" t="n">
        <f aca="false">ROUND(SUM(H543:H543),2)</f>
        <v>8.4</v>
      </c>
      <c r="J544" s="32" t="n">
        <v>54.61</v>
      </c>
      <c r="K544" s="31" t="n">
        <f aca="false">ROUND(I544*J544,2)</f>
        <v>458.72</v>
      </c>
      <c r="L544" s="33" t="s">
        <v>212</v>
      </c>
      <c r="M544" s="23" t="s">
        <v>123</v>
      </c>
      <c r="N544" s="23" t="s">
        <v>44</v>
      </c>
      <c r="O544" s="23"/>
    </row>
    <row r="545" customFormat="false" ht="15" hidden="false" customHeight="true" outlineLevel="0" collapsed="false">
      <c r="C545" s="34" t="s">
        <v>540</v>
      </c>
      <c r="K545" s="14" t="n">
        <f aca="false">SUMIFS($K$5:$K$544,$M$5:$M$544,"P",$N$5:$N$544,"11")</f>
        <v>28737.74</v>
      </c>
      <c r="M545" s="23"/>
      <c r="N545" s="23"/>
      <c r="O545" s="23"/>
    </row>
    <row r="546" customFormat="false" ht="15" hidden="false" customHeight="true" outlineLevel="0" collapsed="false">
      <c r="M546" s="23"/>
      <c r="N546" s="23"/>
      <c r="O546" s="23"/>
    </row>
    <row r="547" customFormat="false" ht="15" hidden="false" customHeight="true" outlineLevel="0" collapsed="false">
      <c r="A547" s="24" t="s">
        <v>46</v>
      </c>
      <c r="B547" s="25"/>
      <c r="C547" s="24" t="s">
        <v>47</v>
      </c>
      <c r="D547" s="25"/>
      <c r="E547" s="25"/>
      <c r="F547" s="25"/>
      <c r="G547" s="25"/>
      <c r="H547" s="25"/>
      <c r="I547" s="25"/>
      <c r="J547" s="25"/>
      <c r="K547" s="25"/>
      <c r="L547" s="25"/>
      <c r="M547" s="23" t="s">
        <v>115</v>
      </c>
      <c r="N547" s="23" t="s">
        <v>46</v>
      </c>
      <c r="O547" s="23"/>
    </row>
    <row r="548" customFormat="false" ht="15" hidden="false" customHeight="true" outlineLevel="0" collapsed="false">
      <c r="A548" s="3" t="s">
        <v>541</v>
      </c>
      <c r="B548" s="3" t="s">
        <v>129</v>
      </c>
      <c r="C548" s="3" t="s">
        <v>542</v>
      </c>
      <c r="M548" s="23"/>
      <c r="N548" s="23"/>
      <c r="O548" s="23"/>
    </row>
    <row r="549" customFormat="false" ht="24" hidden="false" customHeight="true" outlineLevel="0" collapsed="false">
      <c r="C549" s="26" t="s">
        <v>543</v>
      </c>
      <c r="M549" s="23"/>
      <c r="N549" s="23"/>
      <c r="O549" s="23"/>
    </row>
    <row r="550" customFormat="false" ht="15" hidden="false" customHeight="true" outlineLevel="0" collapsed="false">
      <c r="C550" s="27" t="s">
        <v>304</v>
      </c>
      <c r="D550" s="28" t="n">
        <v>1</v>
      </c>
      <c r="E550" s="36" t="n">
        <f aca="false">'Mediciones BIM'!E41</f>
        <v>8</v>
      </c>
      <c r="H550" s="29" t="n">
        <f aca="false">IF(COUNT(D550:G550)=0,0,D550*IF(E550="",1,E550)*IF(F550="",1,F550)*IF(G550="",1,G550))</f>
        <v>8</v>
      </c>
      <c r="M550" s="23"/>
      <c r="N550" s="23"/>
      <c r="O550" s="23"/>
    </row>
    <row r="551" customFormat="false" ht="15" hidden="false" customHeight="true" outlineLevel="0" collapsed="false">
      <c r="H551" s="30"/>
      <c r="I551" s="31" t="n">
        <f aca="false">ROUND(SUM(H550:H550),2)</f>
        <v>8</v>
      </c>
      <c r="J551" s="32" t="n">
        <v>899.66</v>
      </c>
      <c r="K551" s="31" t="n">
        <f aca="false">ROUND(I551*J551,2)</f>
        <v>7197.28</v>
      </c>
      <c r="L551" s="33" t="s">
        <v>212</v>
      </c>
      <c r="M551" s="23" t="s">
        <v>123</v>
      </c>
      <c r="N551" s="23" t="s">
        <v>46</v>
      </c>
      <c r="O551" s="23"/>
    </row>
    <row r="552" customFormat="false" ht="15" hidden="false" customHeight="true" outlineLevel="0" collapsed="false">
      <c r="A552" s="3" t="s">
        <v>544</v>
      </c>
      <c r="B552" s="3" t="s">
        <v>129</v>
      </c>
      <c r="C552" s="3" t="s">
        <v>545</v>
      </c>
      <c r="M552" s="23"/>
      <c r="N552" s="23"/>
      <c r="O552" s="23"/>
    </row>
    <row r="553" customFormat="false" ht="24" hidden="false" customHeight="true" outlineLevel="0" collapsed="false">
      <c r="C553" s="26" t="s">
        <v>546</v>
      </c>
      <c r="M553" s="23"/>
      <c r="N553" s="23"/>
      <c r="O553" s="23"/>
    </row>
    <row r="554" customFormat="false" ht="15" hidden="false" customHeight="true" outlineLevel="0" collapsed="false">
      <c r="C554" s="27" t="s">
        <v>304</v>
      </c>
      <c r="D554" s="28" t="n">
        <v>1</v>
      </c>
      <c r="E554" s="36" t="n">
        <f aca="false">'Mediciones BIM'!E42</f>
        <v>1</v>
      </c>
      <c r="H554" s="29" t="n">
        <f aca="false">IF(COUNT(D554:G554)=0,0,D554*IF(E554="",1,E554)*IF(F554="",1,F554)*IF(G554="",1,G554))</f>
        <v>1</v>
      </c>
      <c r="M554" s="23"/>
      <c r="N554" s="23"/>
      <c r="O554" s="23"/>
    </row>
    <row r="555" customFormat="false" ht="18.75" hidden="false" customHeight="true" outlineLevel="0" collapsed="false">
      <c r="H555" s="30"/>
      <c r="I555" s="31" t="n">
        <f aca="false">ROUND(SUM(H554:H554),2)</f>
        <v>1</v>
      </c>
      <c r="J555" s="32" t="n">
        <v>1650</v>
      </c>
      <c r="K555" s="31" t="n">
        <f aca="false">ROUND(I555*J555,2)</f>
        <v>1650</v>
      </c>
      <c r="L555" s="33" t="s">
        <v>238</v>
      </c>
      <c r="M555" s="23" t="s">
        <v>123</v>
      </c>
      <c r="N555" s="23" t="s">
        <v>46</v>
      </c>
      <c r="O555" s="23"/>
    </row>
    <row r="556" customFormat="false" ht="15" hidden="false" customHeight="true" outlineLevel="0" collapsed="false">
      <c r="A556" s="3" t="s">
        <v>547</v>
      </c>
      <c r="B556" s="3" t="s">
        <v>129</v>
      </c>
      <c r="C556" s="3" t="s">
        <v>548</v>
      </c>
      <c r="M556" s="23"/>
      <c r="N556" s="23"/>
      <c r="O556" s="23"/>
    </row>
    <row r="557" customFormat="false" ht="36" hidden="false" customHeight="true" outlineLevel="0" collapsed="false">
      <c r="C557" s="26" t="s">
        <v>549</v>
      </c>
      <c r="M557" s="23"/>
      <c r="N557" s="23"/>
      <c r="O557" s="23"/>
    </row>
    <row r="558" customFormat="false" ht="15" hidden="false" customHeight="true" outlineLevel="0" collapsed="false">
      <c r="C558" s="27" t="s">
        <v>304</v>
      </c>
      <c r="D558" s="28" t="n">
        <v>1</v>
      </c>
      <c r="E558" s="36" t="n">
        <f aca="false">'Mediciones BIM'!E43</f>
        <v>1</v>
      </c>
      <c r="H558" s="29" t="n">
        <f aca="false">IF(COUNT(D558:G558)=0,0,D558*IF(E558="",1,E558)*IF(F558="",1,F558)*IF(G558="",1,G558))</f>
        <v>1</v>
      </c>
      <c r="M558" s="23"/>
      <c r="N558" s="23"/>
      <c r="O558" s="23"/>
    </row>
    <row r="559" customFormat="false" ht="18.75" hidden="false" customHeight="true" outlineLevel="0" collapsed="false">
      <c r="H559" s="30"/>
      <c r="I559" s="31" t="n">
        <f aca="false">ROUND(SUM(H558:H558),2)</f>
        <v>1</v>
      </c>
      <c r="J559" s="32" t="n">
        <v>1250</v>
      </c>
      <c r="K559" s="31" t="n">
        <f aca="false">ROUND(I559*J559,2)</f>
        <v>1250</v>
      </c>
      <c r="L559" s="33" t="s">
        <v>238</v>
      </c>
      <c r="M559" s="23" t="s">
        <v>123</v>
      </c>
      <c r="N559" s="23" t="s">
        <v>46</v>
      </c>
      <c r="O559" s="23"/>
    </row>
    <row r="560" customFormat="false" ht="15" hidden="false" customHeight="true" outlineLevel="0" collapsed="false">
      <c r="A560" s="3" t="s">
        <v>550</v>
      </c>
      <c r="B560" s="3" t="s">
        <v>129</v>
      </c>
      <c r="C560" s="3" t="s">
        <v>551</v>
      </c>
      <c r="M560" s="23"/>
      <c r="N560" s="23"/>
      <c r="O560" s="23"/>
    </row>
    <row r="561" customFormat="false" ht="36" hidden="false" customHeight="true" outlineLevel="0" collapsed="false">
      <c r="C561" s="26" t="s">
        <v>552</v>
      </c>
      <c r="M561" s="23"/>
      <c r="N561" s="23"/>
      <c r="O561" s="23"/>
    </row>
    <row r="562" customFormat="false" ht="15" hidden="false" customHeight="true" outlineLevel="0" collapsed="false">
      <c r="C562" s="27" t="s">
        <v>553</v>
      </c>
      <c r="D562" s="28" t="n">
        <v>8</v>
      </c>
      <c r="H562" s="29" t="n">
        <f aca="false">IF(COUNT(D562:G562)=0,0,D562*IF(E562="",1,E562)*IF(F562="",1,F562)*IF(G562="",1,G562))</f>
        <v>8</v>
      </c>
      <c r="M562" s="23"/>
      <c r="N562" s="23"/>
      <c r="O562" s="23"/>
    </row>
    <row r="563" customFormat="false" ht="15" hidden="false" customHeight="true" outlineLevel="0" collapsed="false">
      <c r="H563" s="30"/>
      <c r="I563" s="31" t="n">
        <f aca="false">ROUND(SUM(H562:H562),2)</f>
        <v>8</v>
      </c>
      <c r="J563" s="32" t="n">
        <v>59.18</v>
      </c>
      <c r="K563" s="31" t="n">
        <f aca="false">ROUND(I563*J563,2)</f>
        <v>473.44</v>
      </c>
      <c r="L563" s="33" t="s">
        <v>212</v>
      </c>
      <c r="M563" s="23" t="s">
        <v>123</v>
      </c>
      <c r="N563" s="23" t="s">
        <v>46</v>
      </c>
      <c r="O563" s="23"/>
    </row>
    <row r="564" customFormat="false" ht="15" hidden="false" customHeight="true" outlineLevel="0" collapsed="false">
      <c r="C564" s="34" t="s">
        <v>554</v>
      </c>
      <c r="K564" s="14" t="n">
        <f aca="false">SUMIFS($K$5:$K$563,$M$5:$M$563,"P",$N$5:$N$563,"12")</f>
        <v>10570.72</v>
      </c>
      <c r="M564" s="23"/>
      <c r="N564" s="23"/>
      <c r="O564" s="23"/>
    </row>
    <row r="565" customFormat="false" ht="15" hidden="false" customHeight="true" outlineLevel="0" collapsed="false">
      <c r="M565" s="23"/>
      <c r="N565" s="23"/>
      <c r="O565" s="23"/>
    </row>
    <row r="566" customFormat="false" ht="15" hidden="false" customHeight="true" outlineLevel="0" collapsed="false">
      <c r="A566" s="24" t="s">
        <v>48</v>
      </c>
      <c r="B566" s="25"/>
      <c r="C566" s="24" t="s">
        <v>49</v>
      </c>
      <c r="D566" s="25"/>
      <c r="E566" s="25"/>
      <c r="F566" s="25"/>
      <c r="G566" s="25"/>
      <c r="H566" s="25"/>
      <c r="I566" s="25"/>
      <c r="J566" s="25"/>
      <c r="K566" s="25"/>
      <c r="L566" s="25"/>
      <c r="M566" s="23" t="s">
        <v>115</v>
      </c>
      <c r="N566" s="23" t="s">
        <v>48</v>
      </c>
      <c r="O566" s="23"/>
    </row>
    <row r="567" customFormat="false" ht="15" hidden="false" customHeight="true" outlineLevel="0" collapsed="false">
      <c r="A567" s="3" t="s">
        <v>555</v>
      </c>
      <c r="B567" s="3" t="s">
        <v>129</v>
      </c>
      <c r="C567" s="3" t="s">
        <v>556</v>
      </c>
      <c r="M567" s="23"/>
      <c r="N567" s="23"/>
      <c r="O567" s="23"/>
    </row>
    <row r="568" customFormat="false" ht="60" hidden="false" customHeight="true" outlineLevel="0" collapsed="false">
      <c r="C568" s="26" t="s">
        <v>557</v>
      </c>
      <c r="M568" s="23"/>
      <c r="N568" s="23"/>
      <c r="O568" s="23"/>
    </row>
    <row r="569" customFormat="false" ht="15" hidden="false" customHeight="true" outlineLevel="0" collapsed="false">
      <c r="C569" s="27" t="s">
        <v>304</v>
      </c>
      <c r="D569" s="28" t="n">
        <v>1</v>
      </c>
      <c r="E569" s="36" t="n">
        <f aca="false">'Mediciones BIM'!E44</f>
        <v>4</v>
      </c>
      <c r="H569" s="29" t="n">
        <f aca="false">IF(COUNT(D569:G569)=0,0,D569*IF(E569="",1,E569)*IF(F569="",1,F569)*IF(G569="",1,G569))</f>
        <v>4</v>
      </c>
      <c r="M569" s="23"/>
      <c r="N569" s="23"/>
      <c r="O569" s="23"/>
    </row>
    <row r="570" customFormat="false" ht="18.75" hidden="false" customHeight="true" outlineLevel="0" collapsed="false">
      <c r="H570" s="30"/>
      <c r="I570" s="31" t="n">
        <f aca="false">ROUND(SUM(H569:H569),2)</f>
        <v>4</v>
      </c>
      <c r="J570" s="32" t="n">
        <v>1809.53</v>
      </c>
      <c r="K570" s="31" t="n">
        <f aca="false">ROUND(I570*J570,2)</f>
        <v>7238.12</v>
      </c>
      <c r="L570" s="33" t="s">
        <v>238</v>
      </c>
      <c r="M570" s="23" t="s">
        <v>123</v>
      </c>
      <c r="N570" s="23" t="s">
        <v>48</v>
      </c>
      <c r="O570" s="23"/>
    </row>
    <row r="571" customFormat="false" ht="15" hidden="false" customHeight="true" outlineLevel="0" collapsed="false">
      <c r="A571" s="3" t="s">
        <v>558</v>
      </c>
      <c r="B571" s="3" t="s">
        <v>129</v>
      </c>
      <c r="C571" s="3" t="s">
        <v>559</v>
      </c>
      <c r="M571" s="23"/>
      <c r="N571" s="23"/>
      <c r="O571" s="23"/>
    </row>
    <row r="572" customFormat="false" ht="60" hidden="false" customHeight="true" outlineLevel="0" collapsed="false">
      <c r="C572" s="26" t="s">
        <v>560</v>
      </c>
      <c r="M572" s="23"/>
      <c r="N572" s="23"/>
      <c r="O572" s="23"/>
    </row>
    <row r="573" customFormat="false" ht="15" hidden="false" customHeight="true" outlineLevel="0" collapsed="false">
      <c r="C573" s="27" t="s">
        <v>304</v>
      </c>
      <c r="D573" s="28" t="n">
        <v>1</v>
      </c>
      <c r="E573" s="36" t="n">
        <f aca="false">'Mediciones BIM'!E45</f>
        <v>3</v>
      </c>
      <c r="H573" s="29" t="n">
        <f aca="false">IF(COUNT(D573:G573)=0,0,D573*IF(E573="",1,E573)*IF(F573="",1,F573)*IF(G573="",1,G573))</f>
        <v>3</v>
      </c>
      <c r="M573" s="23"/>
      <c r="N573" s="23"/>
      <c r="O573" s="23"/>
    </row>
    <row r="574" customFormat="false" ht="18.75" hidden="false" customHeight="true" outlineLevel="0" collapsed="false">
      <c r="H574" s="30"/>
      <c r="I574" s="31" t="n">
        <f aca="false">ROUND(SUM(H573:H573),2)</f>
        <v>3</v>
      </c>
      <c r="J574" s="32" t="n">
        <v>2097.6</v>
      </c>
      <c r="K574" s="31" t="n">
        <f aca="false">ROUND(I574*J574,2)</f>
        <v>6292.8</v>
      </c>
      <c r="L574" s="33" t="s">
        <v>238</v>
      </c>
      <c r="M574" s="23" t="s">
        <v>123</v>
      </c>
      <c r="N574" s="23" t="s">
        <v>48</v>
      </c>
      <c r="O574" s="23"/>
    </row>
    <row r="575" customFormat="false" ht="15" hidden="false" customHeight="true" outlineLevel="0" collapsed="false">
      <c r="A575" s="3" t="s">
        <v>561</v>
      </c>
      <c r="B575" s="3" t="s">
        <v>129</v>
      </c>
      <c r="C575" s="3" t="s">
        <v>562</v>
      </c>
      <c r="M575" s="23"/>
      <c r="N575" s="23"/>
      <c r="O575" s="23"/>
    </row>
    <row r="576" customFormat="false" ht="60" hidden="false" customHeight="true" outlineLevel="0" collapsed="false">
      <c r="C576" s="26" t="s">
        <v>563</v>
      </c>
      <c r="M576" s="23"/>
      <c r="N576" s="23"/>
      <c r="O576" s="23"/>
    </row>
    <row r="577" customFormat="false" ht="15" hidden="false" customHeight="true" outlineLevel="0" collapsed="false">
      <c r="C577" s="27" t="s">
        <v>304</v>
      </c>
      <c r="D577" s="28" t="n">
        <v>1</v>
      </c>
      <c r="E577" s="36" t="n">
        <f aca="false">'Mediciones BIM'!E46</f>
        <v>1</v>
      </c>
      <c r="H577" s="29" t="n">
        <f aca="false">IF(COUNT(D577:G577)=0,0,D577*IF(E577="",1,E577)*IF(F577="",1,F577)*IF(G577="",1,G577))</f>
        <v>1</v>
      </c>
      <c r="M577" s="23"/>
      <c r="N577" s="23"/>
      <c r="O577" s="23"/>
    </row>
    <row r="578" customFormat="false" ht="18.75" hidden="false" customHeight="true" outlineLevel="0" collapsed="false">
      <c r="H578" s="30"/>
      <c r="I578" s="31" t="n">
        <f aca="false">ROUND(SUM(H577:H577),2)</f>
        <v>1</v>
      </c>
      <c r="J578" s="32" t="n">
        <v>631.56</v>
      </c>
      <c r="K578" s="31" t="n">
        <f aca="false">ROUND(I578*J578,2)</f>
        <v>631.56</v>
      </c>
      <c r="L578" s="33" t="s">
        <v>238</v>
      </c>
      <c r="M578" s="23" t="s">
        <v>123</v>
      </c>
      <c r="N578" s="23" t="s">
        <v>48</v>
      </c>
      <c r="O578" s="23"/>
    </row>
    <row r="579" customFormat="false" ht="15" hidden="false" customHeight="true" outlineLevel="0" collapsed="false">
      <c r="A579" s="3" t="s">
        <v>564</v>
      </c>
      <c r="B579" s="3" t="s">
        <v>129</v>
      </c>
      <c r="C579" s="3" t="s">
        <v>565</v>
      </c>
      <c r="M579" s="23"/>
      <c r="N579" s="23"/>
      <c r="O579" s="23"/>
    </row>
    <row r="580" customFormat="false" ht="60" hidden="false" customHeight="true" outlineLevel="0" collapsed="false">
      <c r="C580" s="26" t="s">
        <v>566</v>
      </c>
      <c r="M580" s="23"/>
      <c r="N580" s="23"/>
      <c r="O580" s="23"/>
    </row>
    <row r="581" customFormat="false" ht="15" hidden="false" customHeight="true" outlineLevel="0" collapsed="false">
      <c r="C581" s="27" t="s">
        <v>304</v>
      </c>
      <c r="D581" s="28" t="n">
        <v>1</v>
      </c>
      <c r="E581" s="36" t="n">
        <f aca="false">'Mediciones BIM'!E47</f>
        <v>2</v>
      </c>
      <c r="H581" s="29" t="n">
        <f aca="false">IF(COUNT(D581:G581)=0,0,D581*IF(E581="",1,E581)*IF(F581="",1,F581)*IF(G581="",1,G581))</f>
        <v>2</v>
      </c>
      <c r="M581" s="23"/>
      <c r="N581" s="23"/>
      <c r="O581" s="23"/>
    </row>
    <row r="582" customFormat="false" ht="18.75" hidden="false" customHeight="true" outlineLevel="0" collapsed="false">
      <c r="H582" s="30"/>
      <c r="I582" s="31" t="n">
        <f aca="false">ROUND(SUM(H581:H581),2)</f>
        <v>2</v>
      </c>
      <c r="J582" s="32" t="n">
        <v>3281.6</v>
      </c>
      <c r="K582" s="31" t="n">
        <f aca="false">ROUND(I582*J582,2)</f>
        <v>6563.2</v>
      </c>
      <c r="L582" s="33" t="s">
        <v>238</v>
      </c>
      <c r="M582" s="23" t="s">
        <v>123</v>
      </c>
      <c r="N582" s="23" t="s">
        <v>48</v>
      </c>
      <c r="O582" s="23"/>
    </row>
    <row r="583" customFormat="false" ht="15" hidden="false" customHeight="true" outlineLevel="0" collapsed="false">
      <c r="A583" s="3" t="s">
        <v>567</v>
      </c>
      <c r="B583" s="3" t="s">
        <v>129</v>
      </c>
      <c r="C583" s="3" t="s">
        <v>568</v>
      </c>
      <c r="M583" s="23"/>
      <c r="N583" s="23"/>
      <c r="O583" s="23"/>
    </row>
    <row r="584" customFormat="false" ht="60" hidden="false" customHeight="true" outlineLevel="0" collapsed="false">
      <c r="C584" s="26" t="s">
        <v>569</v>
      </c>
      <c r="M584" s="23"/>
      <c r="N584" s="23"/>
      <c r="O584" s="23"/>
    </row>
    <row r="585" customFormat="false" ht="15" hidden="false" customHeight="true" outlineLevel="0" collapsed="false">
      <c r="C585" s="27" t="s">
        <v>304</v>
      </c>
      <c r="D585" s="28" t="n">
        <v>1</v>
      </c>
      <c r="E585" s="36" t="n">
        <f aca="false">'Mediciones BIM'!E48</f>
        <v>1</v>
      </c>
      <c r="H585" s="29" t="n">
        <f aca="false">IF(COUNT(D585:G585)=0,0,D585*IF(E585="",1,E585)*IF(F585="",1,F585)*IF(G585="",1,G585))</f>
        <v>1</v>
      </c>
      <c r="M585" s="23"/>
      <c r="N585" s="23"/>
      <c r="O585" s="23"/>
    </row>
    <row r="586" customFormat="false" ht="18.75" hidden="false" customHeight="true" outlineLevel="0" collapsed="false">
      <c r="H586" s="30"/>
      <c r="I586" s="31" t="n">
        <f aca="false">ROUND(SUM(H585:H585),2)</f>
        <v>1</v>
      </c>
      <c r="J586" s="32" t="n">
        <v>3528</v>
      </c>
      <c r="K586" s="31" t="n">
        <f aca="false">ROUND(I586*J586,2)</f>
        <v>3528</v>
      </c>
      <c r="L586" s="33" t="s">
        <v>238</v>
      </c>
      <c r="M586" s="23" t="s">
        <v>123</v>
      </c>
      <c r="N586" s="23" t="s">
        <v>48</v>
      </c>
      <c r="O586" s="23"/>
    </row>
    <row r="587" customFormat="false" ht="15" hidden="false" customHeight="true" outlineLevel="0" collapsed="false">
      <c r="A587" s="3" t="s">
        <v>570</v>
      </c>
      <c r="B587" s="3" t="s">
        <v>129</v>
      </c>
      <c r="C587" s="3" t="s">
        <v>571</v>
      </c>
      <c r="M587" s="23"/>
      <c r="N587" s="23"/>
      <c r="O587" s="23"/>
    </row>
    <row r="588" customFormat="false" ht="60" hidden="false" customHeight="true" outlineLevel="0" collapsed="false">
      <c r="C588" s="26" t="s">
        <v>572</v>
      </c>
      <c r="M588" s="23"/>
      <c r="N588" s="23"/>
      <c r="O588" s="23"/>
    </row>
    <row r="589" customFormat="false" ht="15" hidden="false" customHeight="true" outlineLevel="0" collapsed="false">
      <c r="C589" s="27" t="s">
        <v>304</v>
      </c>
      <c r="D589" s="28" t="n">
        <v>1</v>
      </c>
      <c r="E589" s="36" t="n">
        <f aca="false">'Mediciones BIM'!E49</f>
        <v>2</v>
      </c>
      <c r="H589" s="29" t="n">
        <f aca="false">IF(COUNT(D589:G589)=0,0,D589*IF(E589="",1,E589)*IF(F589="",1,F589)*IF(G589="",1,G589))</f>
        <v>2</v>
      </c>
      <c r="M589" s="23"/>
      <c r="N589" s="23"/>
      <c r="O589" s="23"/>
    </row>
    <row r="590" customFormat="false" ht="18.75" hidden="false" customHeight="true" outlineLevel="0" collapsed="false">
      <c r="H590" s="30"/>
      <c r="I590" s="31" t="n">
        <f aca="false">ROUND(SUM(H589:H589),2)</f>
        <v>2</v>
      </c>
      <c r="J590" s="32" t="n">
        <v>483.41</v>
      </c>
      <c r="K590" s="31" t="n">
        <f aca="false">ROUND(I590*J590,2)</f>
        <v>966.82</v>
      </c>
      <c r="L590" s="33" t="s">
        <v>238</v>
      </c>
      <c r="M590" s="23" t="s">
        <v>123</v>
      </c>
      <c r="N590" s="23" t="s">
        <v>48</v>
      </c>
      <c r="O590" s="23"/>
    </row>
    <row r="591" customFormat="false" ht="15" hidden="false" customHeight="true" outlineLevel="0" collapsed="false">
      <c r="A591" s="3" t="s">
        <v>573</v>
      </c>
      <c r="B591" s="3" t="s">
        <v>129</v>
      </c>
      <c r="C591" s="3" t="s">
        <v>574</v>
      </c>
      <c r="M591" s="23"/>
      <c r="N591" s="23"/>
      <c r="O591" s="23"/>
    </row>
    <row r="592" customFormat="false" ht="60" hidden="false" customHeight="true" outlineLevel="0" collapsed="false">
      <c r="C592" s="26" t="s">
        <v>575</v>
      </c>
      <c r="M592" s="23"/>
      <c r="N592" s="23"/>
      <c r="O592" s="23"/>
    </row>
    <row r="593" customFormat="false" ht="15" hidden="false" customHeight="true" outlineLevel="0" collapsed="false">
      <c r="C593" s="27" t="s">
        <v>304</v>
      </c>
      <c r="D593" s="28" t="n">
        <v>1</v>
      </c>
      <c r="E593" s="36" t="n">
        <f aca="false">'Mediciones BIM'!E50</f>
        <v>1</v>
      </c>
      <c r="H593" s="29" t="n">
        <f aca="false">IF(COUNT(D593:G593)=0,0,D593*IF(E593="",1,E593)*IF(F593="",1,F593)*IF(G593="",1,G593))</f>
        <v>1</v>
      </c>
      <c r="M593" s="23"/>
      <c r="N593" s="23"/>
      <c r="O593" s="23"/>
    </row>
    <row r="594" customFormat="false" ht="18.75" hidden="false" customHeight="true" outlineLevel="0" collapsed="false">
      <c r="H594" s="30"/>
      <c r="I594" s="31" t="n">
        <f aca="false">ROUND(SUM(H593:H593),2)</f>
        <v>1</v>
      </c>
      <c r="J594" s="32" t="n">
        <v>545.79</v>
      </c>
      <c r="K594" s="31" t="n">
        <f aca="false">ROUND(I594*J594,2)</f>
        <v>545.79</v>
      </c>
      <c r="L594" s="33" t="s">
        <v>238</v>
      </c>
      <c r="M594" s="23" t="s">
        <v>123</v>
      </c>
      <c r="N594" s="23" t="s">
        <v>48</v>
      </c>
      <c r="O594" s="23"/>
    </row>
    <row r="595" customFormat="false" ht="15" hidden="false" customHeight="true" outlineLevel="0" collapsed="false">
      <c r="A595" s="3" t="s">
        <v>576</v>
      </c>
      <c r="B595" s="3" t="s">
        <v>129</v>
      </c>
      <c r="C595" s="3" t="s">
        <v>577</v>
      </c>
      <c r="M595" s="23"/>
      <c r="N595" s="23"/>
      <c r="O595" s="23"/>
    </row>
    <row r="596" customFormat="false" ht="60" hidden="false" customHeight="true" outlineLevel="0" collapsed="false">
      <c r="C596" s="26" t="s">
        <v>578</v>
      </c>
      <c r="M596" s="23"/>
      <c r="N596" s="23"/>
      <c r="O596" s="23"/>
    </row>
    <row r="597" customFormat="false" ht="15" hidden="false" customHeight="true" outlineLevel="0" collapsed="false">
      <c r="C597" s="27" t="s">
        <v>304</v>
      </c>
      <c r="D597" s="28" t="n">
        <v>1</v>
      </c>
      <c r="E597" s="36" t="n">
        <f aca="false">'Mediciones BIM'!E51</f>
        <v>1</v>
      </c>
      <c r="H597" s="29" t="n">
        <f aca="false">IF(COUNT(D597:G597)=0,0,D597*IF(E597="",1,E597)*IF(F597="",1,F597)*IF(G597="",1,G597))</f>
        <v>1</v>
      </c>
      <c r="M597" s="23"/>
      <c r="N597" s="23"/>
      <c r="O597" s="23"/>
    </row>
    <row r="598" customFormat="false" ht="18.75" hidden="false" customHeight="true" outlineLevel="0" collapsed="false">
      <c r="H598" s="30"/>
      <c r="I598" s="31" t="n">
        <f aca="false">ROUND(SUM(H597:H597),2)</f>
        <v>1</v>
      </c>
      <c r="J598" s="32" t="n">
        <v>1787.1</v>
      </c>
      <c r="K598" s="31" t="n">
        <f aca="false">ROUND(I598*J598,2)</f>
        <v>1787.1</v>
      </c>
      <c r="L598" s="33" t="s">
        <v>238</v>
      </c>
      <c r="M598" s="23" t="s">
        <v>123</v>
      </c>
      <c r="N598" s="23" t="s">
        <v>48</v>
      </c>
      <c r="O598" s="23"/>
    </row>
    <row r="599" customFormat="false" ht="15" hidden="false" customHeight="true" outlineLevel="0" collapsed="false">
      <c r="A599" s="3" t="s">
        <v>579</v>
      </c>
      <c r="B599" s="3" t="s">
        <v>129</v>
      </c>
      <c r="C599" s="3" t="s">
        <v>580</v>
      </c>
      <c r="M599" s="23"/>
      <c r="N599" s="23"/>
      <c r="O599" s="23"/>
    </row>
    <row r="600" customFormat="false" ht="60" hidden="false" customHeight="true" outlineLevel="0" collapsed="false">
      <c r="C600" s="26" t="s">
        <v>581</v>
      </c>
      <c r="M600" s="23"/>
      <c r="N600" s="23"/>
      <c r="O600" s="23"/>
    </row>
    <row r="601" customFormat="false" ht="15" hidden="false" customHeight="true" outlineLevel="0" collapsed="false">
      <c r="C601" s="27" t="s">
        <v>304</v>
      </c>
      <c r="D601" s="28" t="n">
        <v>1</v>
      </c>
      <c r="E601" s="36" t="n">
        <f aca="false">'Mediciones BIM'!E52</f>
        <v>1</v>
      </c>
      <c r="H601" s="29" t="n">
        <f aca="false">IF(COUNT(D601:G601)=0,0,D601*IF(E601="",1,E601)*IF(F601="",1,F601)*IF(G601="",1,G601))</f>
        <v>1</v>
      </c>
      <c r="M601" s="23"/>
      <c r="N601" s="23"/>
      <c r="O601" s="23"/>
    </row>
    <row r="602" customFormat="false" ht="18.75" hidden="false" customHeight="true" outlineLevel="0" collapsed="false">
      <c r="H602" s="30"/>
      <c r="I602" s="31" t="n">
        <f aca="false">ROUND(SUM(H601:H601),2)</f>
        <v>1</v>
      </c>
      <c r="J602" s="32" t="n">
        <v>4092</v>
      </c>
      <c r="K602" s="31" t="n">
        <f aca="false">ROUND(I602*J602,2)</f>
        <v>4092</v>
      </c>
      <c r="L602" s="33" t="s">
        <v>238</v>
      </c>
      <c r="M602" s="23" t="s">
        <v>123</v>
      </c>
      <c r="N602" s="23" t="s">
        <v>48</v>
      </c>
      <c r="O602" s="23"/>
    </row>
    <row r="603" customFormat="false" ht="15" hidden="false" customHeight="true" outlineLevel="0" collapsed="false">
      <c r="A603" s="3" t="s">
        <v>582</v>
      </c>
      <c r="B603" s="3" t="s">
        <v>129</v>
      </c>
      <c r="C603" s="3" t="s">
        <v>583</v>
      </c>
      <c r="M603" s="23"/>
      <c r="N603" s="23"/>
      <c r="O603" s="23"/>
    </row>
    <row r="604" customFormat="false" ht="60" hidden="false" customHeight="true" outlineLevel="0" collapsed="false">
      <c r="C604" s="26" t="s">
        <v>584</v>
      </c>
      <c r="M604" s="23"/>
      <c r="N604" s="23"/>
      <c r="O604" s="23"/>
    </row>
    <row r="605" customFormat="false" ht="15" hidden="false" customHeight="true" outlineLevel="0" collapsed="false">
      <c r="C605" s="27" t="s">
        <v>304</v>
      </c>
      <c r="D605" s="28" t="n">
        <v>1</v>
      </c>
      <c r="E605" s="36" t="n">
        <f aca="false">'Mediciones BIM'!E53</f>
        <v>1</v>
      </c>
      <c r="H605" s="29" t="n">
        <f aca="false">IF(COUNT(D605:G605)=0,0,D605*IF(E605="",1,E605)*IF(F605="",1,F605)*IF(G605="",1,G605))</f>
        <v>1</v>
      </c>
      <c r="M605" s="23"/>
      <c r="N605" s="23"/>
      <c r="O605" s="23"/>
    </row>
    <row r="606" customFormat="false" ht="18.75" hidden="false" customHeight="true" outlineLevel="0" collapsed="false">
      <c r="H606" s="30"/>
      <c r="I606" s="31" t="n">
        <f aca="false">ROUND(SUM(H605:H605),2)</f>
        <v>1</v>
      </c>
      <c r="J606" s="32" t="n">
        <v>2660</v>
      </c>
      <c r="K606" s="31" t="n">
        <f aca="false">ROUND(I606*J606,2)</f>
        <v>2660</v>
      </c>
      <c r="L606" s="33" t="s">
        <v>238</v>
      </c>
      <c r="M606" s="23" t="s">
        <v>123</v>
      </c>
      <c r="N606" s="23" t="s">
        <v>48</v>
      </c>
      <c r="O606" s="23"/>
    </row>
    <row r="607" customFormat="false" ht="15" hidden="false" customHeight="true" outlineLevel="0" collapsed="false">
      <c r="A607" s="3" t="s">
        <v>585</v>
      </c>
      <c r="B607" s="3" t="s">
        <v>129</v>
      </c>
      <c r="C607" s="3" t="s">
        <v>586</v>
      </c>
      <c r="M607" s="23"/>
      <c r="N607" s="23"/>
      <c r="O607" s="23"/>
    </row>
    <row r="608" customFormat="false" ht="60" hidden="false" customHeight="true" outlineLevel="0" collapsed="false">
      <c r="C608" s="26" t="s">
        <v>587</v>
      </c>
      <c r="M608" s="23"/>
      <c r="N608" s="23"/>
      <c r="O608" s="23"/>
    </row>
    <row r="609" customFormat="false" ht="15" hidden="false" customHeight="true" outlineLevel="0" collapsed="false">
      <c r="C609" s="27" t="s">
        <v>304</v>
      </c>
      <c r="D609" s="28" t="n">
        <v>1</v>
      </c>
      <c r="E609" s="36" t="n">
        <f aca="false">'Mediciones BIM'!E54</f>
        <v>1</v>
      </c>
      <c r="H609" s="29" t="n">
        <f aca="false">IF(COUNT(D609:G609)=0,0,D609*IF(E609="",1,E609)*IF(F609="",1,F609)*IF(G609="",1,G609))</f>
        <v>1</v>
      </c>
      <c r="M609" s="23"/>
      <c r="N609" s="23"/>
      <c r="O609" s="23"/>
    </row>
    <row r="610" customFormat="false" ht="18.75" hidden="false" customHeight="true" outlineLevel="0" collapsed="false">
      <c r="H610" s="30"/>
      <c r="I610" s="31" t="n">
        <f aca="false">ROUND(SUM(H609:H609),2)</f>
        <v>1</v>
      </c>
      <c r="J610" s="32" t="n">
        <v>1428.3</v>
      </c>
      <c r="K610" s="31" t="n">
        <f aca="false">ROUND(I610*J610,2)</f>
        <v>1428.3</v>
      </c>
      <c r="L610" s="33" t="s">
        <v>238</v>
      </c>
      <c r="M610" s="23" t="s">
        <v>123</v>
      </c>
      <c r="N610" s="23" t="s">
        <v>48</v>
      </c>
      <c r="O610" s="23"/>
    </row>
    <row r="611" customFormat="false" ht="15" hidden="false" customHeight="true" outlineLevel="0" collapsed="false">
      <c r="A611" s="3" t="s">
        <v>588</v>
      </c>
      <c r="B611" s="3" t="s">
        <v>129</v>
      </c>
      <c r="C611" s="3" t="s">
        <v>589</v>
      </c>
      <c r="M611" s="23"/>
      <c r="N611" s="23"/>
      <c r="O611" s="23"/>
    </row>
    <row r="612" customFormat="false" ht="24" hidden="false" customHeight="true" outlineLevel="0" collapsed="false">
      <c r="C612" s="26" t="s">
        <v>590</v>
      </c>
      <c r="M612" s="23"/>
      <c r="N612" s="23"/>
      <c r="O612" s="23"/>
    </row>
    <row r="613" customFormat="false" ht="15" hidden="false" customHeight="true" outlineLevel="0" collapsed="false">
      <c r="C613" s="27" t="s">
        <v>591</v>
      </c>
      <c r="D613" s="28" t="n">
        <v>1</v>
      </c>
      <c r="H613" s="29" t="n">
        <f aca="false">IF(COUNT(D613:G613)=0,0,D613*IF(E613="",1,E613)*IF(F613="",1,F613)*IF(G613="",1,G613))</f>
        <v>1</v>
      </c>
      <c r="M613" s="23"/>
      <c r="N613" s="23"/>
      <c r="O613" s="23"/>
    </row>
    <row r="614" customFormat="false" ht="18.75" hidden="false" customHeight="true" outlineLevel="0" collapsed="false">
      <c r="H614" s="30"/>
      <c r="I614" s="31" t="n">
        <f aca="false">ROUND(SUM(H613:H613),2)</f>
        <v>1</v>
      </c>
      <c r="J614" s="32" t="n">
        <v>2300</v>
      </c>
      <c r="K614" s="31" t="n">
        <f aca="false">ROUND(I614*J614,2)</f>
        <v>2300</v>
      </c>
      <c r="L614" s="33" t="s">
        <v>238</v>
      </c>
      <c r="M614" s="23" t="s">
        <v>123</v>
      </c>
      <c r="N614" s="23" t="s">
        <v>48</v>
      </c>
      <c r="O614" s="23"/>
    </row>
    <row r="615" customFormat="false" ht="15" hidden="false" customHeight="true" outlineLevel="0" collapsed="false">
      <c r="A615" s="3" t="s">
        <v>592</v>
      </c>
      <c r="B615" s="3" t="s">
        <v>129</v>
      </c>
      <c r="C615" s="3" t="s">
        <v>593</v>
      </c>
      <c r="M615" s="23"/>
      <c r="N615" s="23"/>
      <c r="O615" s="23"/>
    </row>
    <row r="616" customFormat="false" ht="24" hidden="false" customHeight="true" outlineLevel="0" collapsed="false">
      <c r="C616" s="26" t="s">
        <v>594</v>
      </c>
      <c r="M616" s="23"/>
      <c r="N616" s="23"/>
      <c r="O616" s="23"/>
    </row>
    <row r="617" customFormat="false" ht="15" hidden="false" customHeight="true" outlineLevel="0" collapsed="false">
      <c r="C617" s="27" t="s">
        <v>384</v>
      </c>
      <c r="D617" s="28" t="n">
        <v>1</v>
      </c>
      <c r="H617" s="29" t="n">
        <f aca="false">IF(COUNT(D617:G617)=0,0,D617*IF(E617="",1,E617)*IF(F617="",1,F617)*IF(G617="",1,G617))</f>
        <v>1</v>
      </c>
      <c r="M617" s="23"/>
      <c r="N617" s="23"/>
      <c r="O617" s="23"/>
    </row>
    <row r="618" customFormat="false" ht="18.75" hidden="false" customHeight="true" outlineLevel="0" collapsed="false">
      <c r="H618" s="30"/>
      <c r="I618" s="31" t="n">
        <f aca="false">ROUND(SUM(H617:H617),2)</f>
        <v>1</v>
      </c>
      <c r="J618" s="32" t="n">
        <v>3500</v>
      </c>
      <c r="K618" s="31" t="n">
        <f aca="false">ROUND(I618*J618,2)</f>
        <v>3500</v>
      </c>
      <c r="L618" s="33" t="s">
        <v>238</v>
      </c>
      <c r="M618" s="23" t="s">
        <v>123</v>
      </c>
      <c r="N618" s="23" t="s">
        <v>48</v>
      </c>
      <c r="O618" s="23"/>
    </row>
    <row r="619" customFormat="false" ht="15" hidden="false" customHeight="true" outlineLevel="0" collapsed="false">
      <c r="A619" s="3" t="s">
        <v>595</v>
      </c>
      <c r="B619" s="3" t="s">
        <v>129</v>
      </c>
      <c r="C619" s="3" t="s">
        <v>596</v>
      </c>
      <c r="M619" s="23"/>
      <c r="N619" s="23"/>
      <c r="O619" s="23"/>
    </row>
    <row r="620" customFormat="false" ht="36" hidden="false" customHeight="true" outlineLevel="0" collapsed="false">
      <c r="C620" s="26" t="s">
        <v>597</v>
      </c>
      <c r="M620" s="23"/>
      <c r="N620" s="23"/>
      <c r="O620" s="23"/>
    </row>
    <row r="621" customFormat="false" ht="15" hidden="false" customHeight="true" outlineLevel="0" collapsed="false">
      <c r="C621" s="27" t="s">
        <v>385</v>
      </c>
      <c r="D621" s="28" t="n">
        <v>1</v>
      </c>
      <c r="H621" s="29" t="n">
        <f aca="false">IF(COUNT(D621:G621)=0,0,D621*IF(E621="",1,E621)*IF(F621="",1,F621)*IF(G621="",1,G621))</f>
        <v>1</v>
      </c>
      <c r="M621" s="23"/>
      <c r="N621" s="23"/>
      <c r="O621" s="23"/>
    </row>
    <row r="622" customFormat="false" ht="18.75" hidden="false" customHeight="true" outlineLevel="0" collapsed="false">
      <c r="H622" s="30"/>
      <c r="I622" s="31" t="n">
        <f aca="false">ROUND(SUM(H621:H621),2)</f>
        <v>1</v>
      </c>
      <c r="J622" s="32" t="n">
        <v>6900</v>
      </c>
      <c r="K622" s="31" t="n">
        <f aca="false">ROUND(I622*J622,2)</f>
        <v>6900</v>
      </c>
      <c r="L622" s="33" t="s">
        <v>238</v>
      </c>
      <c r="M622" s="23" t="s">
        <v>123</v>
      </c>
      <c r="N622" s="23" t="s">
        <v>48</v>
      </c>
      <c r="O622" s="23"/>
    </row>
    <row r="623" customFormat="false" ht="15" hidden="false" customHeight="true" outlineLevel="0" collapsed="false">
      <c r="A623" s="3" t="s">
        <v>598</v>
      </c>
      <c r="B623" s="3" t="s">
        <v>129</v>
      </c>
      <c r="C623" s="3" t="s">
        <v>599</v>
      </c>
      <c r="M623" s="23"/>
      <c r="N623" s="23"/>
      <c r="O623" s="23"/>
    </row>
    <row r="624" customFormat="false" ht="36" hidden="false" customHeight="true" outlineLevel="0" collapsed="false">
      <c r="C624" s="26" t="s">
        <v>600</v>
      </c>
      <c r="M624" s="23"/>
      <c r="N624" s="23"/>
      <c r="O624" s="23"/>
    </row>
    <row r="625" customFormat="false" ht="15" hidden="false" customHeight="true" outlineLevel="0" collapsed="false">
      <c r="C625" s="27" t="s">
        <v>316</v>
      </c>
      <c r="D625" s="28" t="n">
        <v>1</v>
      </c>
      <c r="H625" s="29" t="n">
        <f aca="false">IF(COUNT(D625:G625)=0,0,D625*IF(E625="",1,E625)*IF(F625="",1,F625)*IF(G625="",1,G625))</f>
        <v>1</v>
      </c>
      <c r="M625" s="23"/>
      <c r="N625" s="23"/>
      <c r="O625" s="23"/>
    </row>
    <row r="626" customFormat="false" ht="18.75" hidden="false" customHeight="true" outlineLevel="0" collapsed="false">
      <c r="H626" s="30"/>
      <c r="I626" s="31" t="n">
        <f aca="false">ROUND(SUM(H625:H625),2)</f>
        <v>1</v>
      </c>
      <c r="J626" s="32" t="n">
        <v>2888.55</v>
      </c>
      <c r="K626" s="31" t="n">
        <f aca="false">ROUND(I626*J626,2)</f>
        <v>2888.55</v>
      </c>
      <c r="L626" s="33" t="s">
        <v>601</v>
      </c>
      <c r="M626" s="23" t="s">
        <v>123</v>
      </c>
      <c r="N626" s="23" t="s">
        <v>48</v>
      </c>
      <c r="O626" s="23"/>
    </row>
    <row r="627" customFormat="false" ht="15" hidden="false" customHeight="true" outlineLevel="0" collapsed="false">
      <c r="A627" s="3" t="s">
        <v>602</v>
      </c>
      <c r="B627" s="3" t="s">
        <v>140</v>
      </c>
      <c r="C627" s="3" t="s">
        <v>603</v>
      </c>
      <c r="M627" s="23"/>
      <c r="N627" s="23"/>
      <c r="O627" s="23"/>
    </row>
    <row r="628" customFormat="false" ht="60" hidden="false" customHeight="true" outlineLevel="0" collapsed="false">
      <c r="C628" s="26" t="s">
        <v>604</v>
      </c>
      <c r="M628" s="23"/>
      <c r="N628" s="23"/>
      <c r="O628" s="23"/>
    </row>
    <row r="629" customFormat="false" ht="15" hidden="false" customHeight="true" outlineLevel="0" collapsed="false">
      <c r="C629" s="27" t="s">
        <v>605</v>
      </c>
      <c r="D629" s="28" t="n">
        <v>1</v>
      </c>
      <c r="E629" s="28" t="n">
        <v>12</v>
      </c>
      <c r="H629" s="29" t="n">
        <f aca="false">IF(COUNT(D629:G629)=0,0,D629*IF(E629="",1,E629)*IF(F629="",1,F629)*IF(G629="",1,G629))</f>
        <v>12</v>
      </c>
      <c r="M629" s="23"/>
      <c r="N629" s="23"/>
      <c r="O629" s="23"/>
    </row>
    <row r="630" customFormat="false" ht="15" hidden="false" customHeight="true" outlineLevel="0" collapsed="false">
      <c r="C630" s="27" t="s">
        <v>606</v>
      </c>
      <c r="D630" s="28" t="n">
        <v>1</v>
      </c>
      <c r="E630" s="28" t="n">
        <v>9</v>
      </c>
      <c r="H630" s="29" t="n">
        <f aca="false">IF(COUNT(D630:G630)=0,0,D630*IF(E630="",1,E630)*IF(F630="",1,F630)*IF(G630="",1,G630))</f>
        <v>9</v>
      </c>
      <c r="M630" s="23"/>
      <c r="N630" s="23"/>
      <c r="O630" s="23"/>
    </row>
    <row r="631" customFormat="false" ht="15" hidden="false" customHeight="true" outlineLevel="0" collapsed="false">
      <c r="H631" s="30"/>
      <c r="I631" s="31" t="n">
        <f aca="false">ROUND(SUM(H629:H630),2)</f>
        <v>21</v>
      </c>
      <c r="J631" s="32" t="n">
        <v>59.37</v>
      </c>
      <c r="K631" s="31" t="n">
        <f aca="false">ROUND(I631*J631,2)</f>
        <v>1246.77</v>
      </c>
      <c r="L631" s="33" t="s">
        <v>212</v>
      </c>
      <c r="M631" s="23" t="s">
        <v>123</v>
      </c>
      <c r="N631" s="23" t="s">
        <v>48</v>
      </c>
      <c r="O631" s="23"/>
    </row>
    <row r="632" customFormat="false" ht="15" hidden="false" customHeight="true" outlineLevel="0" collapsed="false">
      <c r="C632" s="34" t="s">
        <v>607</v>
      </c>
      <c r="K632" s="14" t="n">
        <f aca="false">SUMIFS($K$5:$K$631,$M$5:$M$631,"P",$N$5:$N$631,"13")</f>
        <v>52569.01</v>
      </c>
      <c r="M632" s="23"/>
      <c r="N632" s="23"/>
      <c r="O632" s="23"/>
    </row>
    <row r="633" customFormat="false" ht="15" hidden="false" customHeight="true" outlineLevel="0" collapsed="false">
      <c r="M633" s="23"/>
      <c r="N633" s="23"/>
      <c r="O633" s="23"/>
    </row>
    <row r="634" customFormat="false" ht="15" hidden="false" customHeight="true" outlineLevel="0" collapsed="false">
      <c r="A634" s="24" t="s">
        <v>50</v>
      </c>
      <c r="B634" s="25"/>
      <c r="C634" s="24" t="s">
        <v>51</v>
      </c>
      <c r="D634" s="25"/>
      <c r="E634" s="25"/>
      <c r="F634" s="25"/>
      <c r="G634" s="25"/>
      <c r="H634" s="25"/>
      <c r="I634" s="25"/>
      <c r="J634" s="25"/>
      <c r="K634" s="25"/>
      <c r="L634" s="25"/>
      <c r="M634" s="23" t="s">
        <v>115</v>
      </c>
      <c r="N634" s="23" t="s">
        <v>50</v>
      </c>
      <c r="O634" s="23"/>
    </row>
    <row r="635" customFormat="false" ht="15" hidden="false" customHeight="true" outlineLevel="0" collapsed="false">
      <c r="A635" s="3" t="s">
        <v>608</v>
      </c>
      <c r="B635" s="3" t="s">
        <v>117</v>
      </c>
      <c r="C635" s="3" t="s">
        <v>609</v>
      </c>
      <c r="M635" s="23"/>
      <c r="N635" s="23"/>
      <c r="O635" s="23"/>
    </row>
    <row r="636" customFormat="false" ht="24" hidden="false" customHeight="true" outlineLevel="0" collapsed="false">
      <c r="C636" s="26" t="s">
        <v>610</v>
      </c>
      <c r="M636" s="23"/>
      <c r="N636" s="23"/>
      <c r="O636" s="23"/>
    </row>
    <row r="637" customFormat="false" ht="15" hidden="false" customHeight="true" outlineLevel="0" collapsed="false">
      <c r="C637" s="27" t="s">
        <v>382</v>
      </c>
      <c r="D637" s="28" t="n">
        <v>1</v>
      </c>
      <c r="E637" s="28" t="n">
        <v>10.49</v>
      </c>
      <c r="H637" s="29" t="n">
        <f aca="false">IF(COUNT(D637:G637)=0,0,D637*IF(E637="",1,E637)*IF(F637="",1,F637)*IF(G637="",1,G637))</f>
        <v>10.49</v>
      </c>
      <c r="M637" s="23"/>
      <c r="N637" s="23"/>
      <c r="O637" s="23"/>
    </row>
    <row r="638" customFormat="false" ht="15" hidden="false" customHeight="true" outlineLevel="0" collapsed="false">
      <c r="C638" s="27" t="s">
        <v>383</v>
      </c>
      <c r="D638" s="28" t="n">
        <v>1</v>
      </c>
      <c r="E638" s="28" t="n">
        <v>9.12</v>
      </c>
      <c r="H638" s="29" t="n">
        <f aca="false">IF(COUNT(D638:G638)=0,0,D638*IF(E638="",1,E638)*IF(F638="",1,F638)*IF(G638="",1,G638))</f>
        <v>9.12</v>
      </c>
      <c r="M638" s="23"/>
      <c r="N638" s="23"/>
      <c r="O638" s="23"/>
    </row>
    <row r="639" customFormat="false" ht="18.75" hidden="false" customHeight="true" outlineLevel="0" collapsed="false">
      <c r="H639" s="30"/>
      <c r="I639" s="31" t="n">
        <f aca="false">ROUND(SUM(H637:H638),2)</f>
        <v>19.61</v>
      </c>
      <c r="J639" s="32" t="n">
        <v>430</v>
      </c>
      <c r="K639" s="31" t="n">
        <f aca="false">ROUND(I639*J639,2)</f>
        <v>8432.3</v>
      </c>
      <c r="L639" s="33" t="s">
        <v>238</v>
      </c>
      <c r="M639" s="23" t="s">
        <v>123</v>
      </c>
      <c r="N639" s="23" t="s">
        <v>50</v>
      </c>
      <c r="O639" s="23"/>
    </row>
    <row r="640" customFormat="false" ht="15" hidden="false" customHeight="true" outlineLevel="0" collapsed="false">
      <c r="A640" s="3" t="s">
        <v>611</v>
      </c>
      <c r="B640" s="3" t="s">
        <v>129</v>
      </c>
      <c r="C640" s="3" t="s">
        <v>612</v>
      </c>
      <c r="M640" s="23"/>
      <c r="N640" s="23"/>
      <c r="O640" s="23"/>
    </row>
    <row r="641" customFormat="false" ht="24" hidden="false" customHeight="true" outlineLevel="0" collapsed="false">
      <c r="C641" s="26" t="s">
        <v>613</v>
      </c>
      <c r="M641" s="23"/>
      <c r="N641" s="23"/>
      <c r="O641" s="23"/>
    </row>
    <row r="642" customFormat="false" ht="15" hidden="false" customHeight="true" outlineLevel="0" collapsed="false">
      <c r="C642" s="27" t="s">
        <v>614</v>
      </c>
      <c r="D642" s="28" t="n">
        <v>1</v>
      </c>
      <c r="H642" s="29" t="n">
        <f aca="false">IF(COUNT(D642:G642)=0,0,D642*IF(E642="",1,E642)*IF(F642="",1,F642)*IF(G642="",1,G642))</f>
        <v>1</v>
      </c>
      <c r="M642" s="23"/>
      <c r="N642" s="23"/>
      <c r="O642" s="23"/>
    </row>
    <row r="643" customFormat="false" ht="15" hidden="false" customHeight="true" outlineLevel="0" collapsed="false">
      <c r="C643" s="27" t="s">
        <v>615</v>
      </c>
      <c r="D643" s="28" t="n">
        <v>1</v>
      </c>
      <c r="H643" s="29" t="n">
        <f aca="false">IF(COUNT(D643:G643)=0,0,D643*IF(E643="",1,E643)*IF(F643="",1,F643)*IF(G643="",1,G643))</f>
        <v>1</v>
      </c>
      <c r="M643" s="23"/>
      <c r="N643" s="23"/>
      <c r="O643" s="23"/>
    </row>
    <row r="644" customFormat="false" ht="15" hidden="false" customHeight="true" outlineLevel="0" collapsed="false">
      <c r="C644" s="27" t="s">
        <v>616</v>
      </c>
      <c r="D644" s="28" t="n">
        <v>0</v>
      </c>
      <c r="H644" s="29" t="n">
        <f aca="false">IF(COUNT(D644:G644)=0,0,D644*IF(E644="",1,E644)*IF(F644="",1,F644)*IF(G644="",1,G644))</f>
        <v>0</v>
      </c>
      <c r="M644" s="23"/>
      <c r="N644" s="23"/>
      <c r="O644" s="23"/>
    </row>
    <row r="645" customFormat="false" ht="18.75" hidden="false" customHeight="true" outlineLevel="0" collapsed="false">
      <c r="H645" s="30"/>
      <c r="I645" s="31" t="n">
        <f aca="false">ROUND(SUM(H642:H644),2)</f>
        <v>2</v>
      </c>
      <c r="J645" s="32" t="n">
        <v>780</v>
      </c>
      <c r="K645" s="31" t="n">
        <f aca="false">ROUND(I645*J645,2)</f>
        <v>1560</v>
      </c>
      <c r="L645" s="33" t="s">
        <v>238</v>
      </c>
      <c r="M645" s="23" t="s">
        <v>123</v>
      </c>
      <c r="N645" s="23" t="s">
        <v>50</v>
      </c>
      <c r="O645" s="23"/>
    </row>
    <row r="646" customFormat="false" ht="15" hidden="false" customHeight="true" outlineLevel="0" collapsed="false">
      <c r="A646" s="3" t="s">
        <v>617</v>
      </c>
      <c r="B646" s="3" t="s">
        <v>140</v>
      </c>
      <c r="C646" s="3" t="s">
        <v>618</v>
      </c>
      <c r="M646" s="23"/>
      <c r="N646" s="23"/>
      <c r="O646" s="23"/>
    </row>
    <row r="647" customFormat="false" ht="36" hidden="false" customHeight="true" outlineLevel="0" collapsed="false">
      <c r="C647" s="26" t="s">
        <v>619</v>
      </c>
      <c r="M647" s="23"/>
      <c r="N647" s="23"/>
      <c r="O647" s="23"/>
    </row>
    <row r="648" customFormat="false" ht="15" hidden="false" customHeight="true" outlineLevel="0" collapsed="false">
      <c r="C648" s="27" t="s">
        <v>316</v>
      </c>
      <c r="D648" s="28" t="n">
        <v>1</v>
      </c>
      <c r="E648" s="35" t="n">
        <f aca="false">'Mediciones BIM'!E55</f>
        <v>24.08</v>
      </c>
      <c r="H648" s="29" t="n">
        <f aca="false">IF(COUNT(D648:G648)=0,0,D648*IF(E648="",1,E648)*IF(F648="",1,F648)*IF(G648="",1,G648))</f>
        <v>24.08</v>
      </c>
      <c r="M648" s="23"/>
      <c r="N648" s="23"/>
      <c r="O648" s="23"/>
    </row>
    <row r="649" customFormat="false" ht="15" hidden="false" customHeight="true" outlineLevel="0" collapsed="false">
      <c r="C649" s="27"/>
      <c r="D649" s="28"/>
      <c r="E649" s="28"/>
      <c r="H649" s="29" t="n">
        <f aca="false">IF(COUNT(D649:G649)=0,0,D649*IF(E649="",1,E649)*IF(F649="",1,F649)*IF(G649="",1,G649))</f>
        <v>0</v>
      </c>
      <c r="M649" s="23"/>
      <c r="N649" s="23"/>
      <c r="O649" s="23"/>
    </row>
    <row r="650" customFormat="false" ht="15" hidden="false" customHeight="true" outlineLevel="0" collapsed="false">
      <c r="C650" s="27"/>
      <c r="D650" s="28"/>
      <c r="E650" s="28"/>
      <c r="H650" s="29" t="n">
        <f aca="false">IF(COUNT(D650:G650)=0,0,D650*IF(E650="",1,E650)*IF(F650="",1,F650)*IF(G650="",1,G650))</f>
        <v>0</v>
      </c>
      <c r="M650" s="23"/>
      <c r="N650" s="23"/>
      <c r="O650" s="23"/>
    </row>
    <row r="651" customFormat="false" ht="18.75" hidden="false" customHeight="true" outlineLevel="0" collapsed="false">
      <c r="H651" s="30"/>
      <c r="I651" s="31" t="n">
        <f aca="false">ROUND(SUM(H648:H650),2)</f>
        <v>24.08</v>
      </c>
      <c r="J651" s="32" t="n">
        <v>215</v>
      </c>
      <c r="K651" s="31" t="n">
        <f aca="false">ROUND(I651*J651,2)</f>
        <v>5177.2</v>
      </c>
      <c r="L651" s="33" t="s">
        <v>238</v>
      </c>
      <c r="M651" s="23" t="s">
        <v>123</v>
      </c>
      <c r="N651" s="23" t="s">
        <v>50</v>
      </c>
      <c r="O651" s="23"/>
    </row>
    <row r="652" customFormat="false" ht="15" hidden="false" customHeight="true" outlineLevel="0" collapsed="false">
      <c r="A652" s="3" t="s">
        <v>620</v>
      </c>
      <c r="B652" s="3" t="s">
        <v>129</v>
      </c>
      <c r="C652" s="3" t="s">
        <v>621</v>
      </c>
      <c r="M652" s="23"/>
      <c r="N652" s="23"/>
      <c r="O652" s="23"/>
    </row>
    <row r="653" customFormat="false" ht="24" hidden="false" customHeight="true" outlineLevel="0" collapsed="false">
      <c r="C653" s="26" t="s">
        <v>622</v>
      </c>
      <c r="M653" s="23"/>
      <c r="N653" s="23"/>
      <c r="O653" s="23"/>
    </row>
    <row r="654" customFormat="false" ht="15" hidden="false" customHeight="true" outlineLevel="0" collapsed="false">
      <c r="C654" s="27" t="s">
        <v>304</v>
      </c>
      <c r="D654" s="28" t="n">
        <v>1</v>
      </c>
      <c r="E654" s="36" t="n">
        <f aca="false">'Mediciones BIM'!E56</f>
        <v>7</v>
      </c>
      <c r="H654" s="29" t="n">
        <f aca="false">IF(COUNT(D654:G654)=0,0,D654*IF(E654="",1,E654)*IF(F654="",1,F654)*IF(G654="",1,G654))</f>
        <v>7</v>
      </c>
      <c r="M654" s="23"/>
      <c r="N654" s="23"/>
      <c r="O654" s="23"/>
    </row>
    <row r="655" customFormat="false" ht="18.75" hidden="false" customHeight="true" outlineLevel="0" collapsed="false">
      <c r="H655" s="30"/>
      <c r="I655" s="31" t="n">
        <f aca="false">ROUND(SUM(H654:H654),2)</f>
        <v>7</v>
      </c>
      <c r="J655" s="32" t="n">
        <v>480</v>
      </c>
      <c r="K655" s="31" t="n">
        <f aca="false">ROUND(I655*J655,2)</f>
        <v>3360</v>
      </c>
      <c r="L655" s="33" t="s">
        <v>238</v>
      </c>
      <c r="M655" s="23" t="s">
        <v>123</v>
      </c>
      <c r="N655" s="23" t="s">
        <v>50</v>
      </c>
      <c r="O655" s="23"/>
    </row>
    <row r="656" customFormat="false" ht="15" hidden="false" customHeight="true" outlineLevel="0" collapsed="false">
      <c r="A656" s="3" t="s">
        <v>623</v>
      </c>
      <c r="B656" s="3" t="s">
        <v>140</v>
      </c>
      <c r="C656" s="3" t="s">
        <v>624</v>
      </c>
      <c r="M656" s="23"/>
      <c r="N656" s="23"/>
      <c r="O656" s="23"/>
    </row>
    <row r="657" customFormat="false" ht="12" hidden="false" customHeight="true" outlineLevel="0" collapsed="false">
      <c r="C657" s="26" t="s">
        <v>625</v>
      </c>
      <c r="M657" s="23"/>
      <c r="N657" s="23"/>
      <c r="O657" s="23"/>
    </row>
    <row r="658" customFormat="false" ht="15" hidden="false" customHeight="true" outlineLevel="0" collapsed="false">
      <c r="C658" s="27" t="s">
        <v>626</v>
      </c>
      <c r="D658" s="28" t="n">
        <v>1</v>
      </c>
      <c r="E658" s="28" t="n">
        <v>12</v>
      </c>
      <c r="H658" s="29" t="n">
        <f aca="false">IF(COUNT(D658:G658)=0,0,D658*IF(E658="",1,E658)*IF(F658="",1,F658)*IF(G658="",1,G658))</f>
        <v>12</v>
      </c>
      <c r="M658" s="23"/>
      <c r="N658" s="23"/>
      <c r="O658" s="23"/>
    </row>
    <row r="659" customFormat="false" ht="18.75" hidden="false" customHeight="true" outlineLevel="0" collapsed="false">
      <c r="H659" s="30"/>
      <c r="I659" s="31" t="n">
        <f aca="false">ROUND(SUM(H658:H658),2)</f>
        <v>12</v>
      </c>
      <c r="J659" s="32" t="n">
        <v>165</v>
      </c>
      <c r="K659" s="31" t="n">
        <f aca="false">ROUND(I659*J659,2)</f>
        <v>1980</v>
      </c>
      <c r="L659" s="33" t="s">
        <v>238</v>
      </c>
      <c r="M659" s="23" t="s">
        <v>123</v>
      </c>
      <c r="N659" s="23" t="s">
        <v>50</v>
      </c>
      <c r="O659" s="23"/>
    </row>
    <row r="660" customFormat="false" ht="18.75" hidden="false" customHeight="true" outlineLevel="0" collapsed="false">
      <c r="A660" s="37" t="s">
        <v>627</v>
      </c>
      <c r="B660" s="3" t="s">
        <v>129</v>
      </c>
      <c r="C660" s="3" t="s">
        <v>628</v>
      </c>
      <c r="M660" s="23"/>
      <c r="N660" s="23"/>
      <c r="O660" s="23"/>
    </row>
    <row r="661" customFormat="false" ht="18.75" hidden="false" customHeight="true" outlineLevel="0" collapsed="false">
      <c r="C661" s="26" t="s">
        <v>629</v>
      </c>
      <c r="M661" s="23"/>
      <c r="N661" s="23"/>
      <c r="O661" s="23"/>
    </row>
    <row r="662" customFormat="false" ht="18.75" hidden="false" customHeight="true" outlineLevel="0" collapsed="false">
      <c r="C662" s="27" t="s">
        <v>630</v>
      </c>
      <c r="D662" s="28" t="n">
        <v>0</v>
      </c>
      <c r="E662" s="28"/>
      <c r="H662" s="29" t="n">
        <f aca="false">IF(COUNT(D662:G662)=0,0,D662*IF(E662="",1,E662)*IF(F662="",1,F662)*IF(G662="",1,G662))</f>
        <v>0</v>
      </c>
      <c r="M662" s="23"/>
      <c r="N662" s="23"/>
      <c r="O662" s="23"/>
    </row>
    <row r="663" customFormat="false" ht="18.75" hidden="false" customHeight="true" outlineLevel="0" collapsed="false">
      <c r="H663" s="30"/>
      <c r="I663" s="31" t="n">
        <f aca="false">ROUND(SUM(H662:H662),2)</f>
        <v>0</v>
      </c>
      <c r="J663" s="32" t="n">
        <v>1450</v>
      </c>
      <c r="K663" s="31" t="n">
        <f aca="false">ROUND(I663*J663,2)</f>
        <v>0</v>
      </c>
      <c r="L663" s="33" t="s">
        <v>631</v>
      </c>
      <c r="M663" s="23" t="s">
        <v>123</v>
      </c>
      <c r="N663" s="23" t="s">
        <v>50</v>
      </c>
      <c r="O663" s="23"/>
    </row>
    <row r="664" customFormat="false" ht="15" hidden="false" customHeight="true" outlineLevel="0" collapsed="false">
      <c r="C664" s="34" t="s">
        <v>632</v>
      </c>
      <c r="K664" s="14" t="n">
        <f aca="false">SUMIFS($K$5:$K$663,$M$5:$M$663,"P",$N$5:$N$663,"14")</f>
        <v>20509.5</v>
      </c>
      <c r="M664" s="23"/>
      <c r="N664" s="23"/>
      <c r="O664" s="23"/>
    </row>
    <row r="665" customFormat="false" ht="15" hidden="false" customHeight="true" outlineLevel="0" collapsed="false">
      <c r="M665" s="23"/>
      <c r="N665" s="23"/>
      <c r="O665" s="23"/>
    </row>
    <row r="666" customFormat="false" ht="15" hidden="false" customHeight="true" outlineLevel="0" collapsed="false">
      <c r="A666" s="24" t="s">
        <v>52</v>
      </c>
      <c r="B666" s="25"/>
      <c r="C666" s="24" t="s">
        <v>53</v>
      </c>
      <c r="D666" s="25"/>
      <c r="E666" s="25"/>
      <c r="F666" s="25"/>
      <c r="G666" s="25"/>
      <c r="H666" s="25"/>
      <c r="I666" s="25"/>
      <c r="J666" s="25"/>
      <c r="K666" s="25"/>
      <c r="L666" s="25"/>
      <c r="M666" s="23" t="s">
        <v>115</v>
      </c>
      <c r="N666" s="23" t="s">
        <v>52</v>
      </c>
      <c r="O666" s="23"/>
    </row>
    <row r="667" customFormat="false" ht="15" hidden="false" customHeight="true" outlineLevel="0" collapsed="false">
      <c r="A667" s="3" t="s">
        <v>633</v>
      </c>
      <c r="B667" s="3" t="s">
        <v>117</v>
      </c>
      <c r="C667" s="3" t="s">
        <v>634</v>
      </c>
      <c r="M667" s="23"/>
      <c r="N667" s="23"/>
      <c r="O667" s="23"/>
    </row>
    <row r="668" customFormat="false" ht="96" hidden="false" customHeight="true" outlineLevel="0" collapsed="false">
      <c r="C668" s="26" t="s">
        <v>635</v>
      </c>
      <c r="M668" s="23"/>
      <c r="N668" s="23"/>
      <c r="O668" s="23"/>
    </row>
    <row r="669" customFormat="false" ht="15" hidden="false" customHeight="true" outlineLevel="0" collapsed="false">
      <c r="C669" s="27" t="s">
        <v>316</v>
      </c>
      <c r="D669" s="28" t="n">
        <v>1</v>
      </c>
      <c r="E669" s="35" t="n">
        <f aca="false">'Mediciones BIM'!E57</f>
        <v>1038.62</v>
      </c>
      <c r="H669" s="29" t="n">
        <f aca="false">IF(COUNT(D669:G669)=0,0,D669*IF(E669="",1,E669)*IF(F669="",1,F669)*IF(G669="",1,G669))</f>
        <v>1038.62</v>
      </c>
      <c r="M669" s="23"/>
      <c r="N669" s="23"/>
      <c r="O669" s="23"/>
    </row>
    <row r="670" customFormat="false" ht="15" hidden="false" customHeight="true" outlineLevel="0" collapsed="false">
      <c r="C670" s="27"/>
      <c r="D670" s="28"/>
      <c r="E670" s="28"/>
      <c r="H670" s="29" t="n">
        <f aca="false">IF(COUNT(D670:G670)=0,0,D670*IF(E670="",1,E670)*IF(F670="",1,F670)*IF(G670="",1,G670))</f>
        <v>0</v>
      </c>
      <c r="M670" s="23"/>
      <c r="N670" s="23"/>
      <c r="O670" s="23"/>
    </row>
    <row r="671" customFormat="false" ht="15" hidden="false" customHeight="true" outlineLevel="0" collapsed="false">
      <c r="H671" s="30"/>
      <c r="I671" s="31" t="n">
        <f aca="false">ROUND(SUM(H669:H670),2)</f>
        <v>1038.62</v>
      </c>
      <c r="J671" s="32" t="n">
        <v>6.37</v>
      </c>
      <c r="K671" s="31" t="n">
        <f aca="false">ROUND(I671*J671,2)</f>
        <v>6616.01</v>
      </c>
      <c r="L671" s="33" t="s">
        <v>212</v>
      </c>
      <c r="M671" s="23" t="s">
        <v>123</v>
      </c>
      <c r="N671" s="23" t="s">
        <v>52</v>
      </c>
      <c r="O671" s="23"/>
    </row>
    <row r="672" customFormat="false" ht="15" hidden="false" customHeight="true" outlineLevel="0" collapsed="false">
      <c r="A672" s="3" t="s">
        <v>636</v>
      </c>
      <c r="B672" s="3" t="s">
        <v>421</v>
      </c>
      <c r="C672" s="3" t="s">
        <v>637</v>
      </c>
      <c r="M672" s="23"/>
      <c r="N672" s="23"/>
      <c r="O672" s="23"/>
    </row>
    <row r="673" customFormat="false" ht="36" hidden="false" customHeight="true" outlineLevel="0" collapsed="false">
      <c r="C673" s="26" t="s">
        <v>638</v>
      </c>
      <c r="M673" s="23"/>
      <c r="N673" s="23"/>
      <c r="O673" s="23"/>
    </row>
    <row r="674" customFormat="false" ht="15" hidden="false" customHeight="true" outlineLevel="0" collapsed="false">
      <c r="C674" s="27" t="s">
        <v>316</v>
      </c>
      <c r="D674" s="28" t="n">
        <v>1</v>
      </c>
      <c r="E674" s="35" t="n">
        <f aca="false">'Mediciones BIM'!E58</f>
        <v>316.1</v>
      </c>
      <c r="H674" s="29" t="n">
        <f aca="false">IF(COUNT(D674:G674)=0,0,D674*IF(E674="",1,E674)*IF(F674="",1,F674)*IF(G674="",1,G674))</f>
        <v>316.1</v>
      </c>
      <c r="M674" s="23"/>
      <c r="N674" s="23"/>
      <c r="O674" s="23"/>
    </row>
    <row r="675" customFormat="false" ht="15" hidden="false" customHeight="true" outlineLevel="0" collapsed="false">
      <c r="H675" s="30"/>
      <c r="I675" s="31" t="n">
        <f aca="false">ROUND(SUM(H674:H674),2)</f>
        <v>316.1</v>
      </c>
      <c r="J675" s="32" t="n">
        <v>7.55</v>
      </c>
      <c r="K675" s="31" t="n">
        <f aca="false">ROUND(I675*J675,2)</f>
        <v>2386.56</v>
      </c>
      <c r="L675" s="33" t="s">
        <v>212</v>
      </c>
      <c r="M675" s="23" t="s">
        <v>123</v>
      </c>
      <c r="N675" s="23" t="s">
        <v>52</v>
      </c>
      <c r="O675" s="23"/>
    </row>
    <row r="676" customFormat="false" ht="15" hidden="false" customHeight="true" outlineLevel="0" collapsed="false">
      <c r="C676" s="34" t="s">
        <v>639</v>
      </c>
      <c r="K676" s="14" t="n">
        <f aca="false">SUMIFS($K$5:$K$675,$M$5:$M$675,"P",$N$5:$N$675,"15")</f>
        <v>9002.57</v>
      </c>
      <c r="M676" s="23"/>
      <c r="N676" s="23"/>
      <c r="O676" s="23"/>
    </row>
    <row r="677" customFormat="false" ht="15" hidden="false" customHeight="true" outlineLevel="0" collapsed="false">
      <c r="M677" s="23"/>
      <c r="N677" s="23"/>
      <c r="O677" s="23"/>
    </row>
    <row r="678" customFormat="false" ht="15" hidden="false" customHeight="true" outlineLevel="0" collapsed="false">
      <c r="A678" s="24" t="s">
        <v>54</v>
      </c>
      <c r="B678" s="25"/>
      <c r="C678" s="24" t="s">
        <v>55</v>
      </c>
      <c r="D678" s="25"/>
      <c r="E678" s="25"/>
      <c r="F678" s="25"/>
      <c r="G678" s="25"/>
      <c r="H678" s="25"/>
      <c r="I678" s="25"/>
      <c r="J678" s="25"/>
      <c r="K678" s="25"/>
      <c r="L678" s="25"/>
      <c r="M678" s="23" t="s">
        <v>115</v>
      </c>
      <c r="N678" s="23" t="s">
        <v>54</v>
      </c>
      <c r="O678" s="23"/>
    </row>
    <row r="679" customFormat="false" ht="15" hidden="false" customHeight="true" outlineLevel="0" collapsed="false">
      <c r="A679" s="3" t="s">
        <v>640</v>
      </c>
      <c r="C679" s="3" t="s">
        <v>641</v>
      </c>
      <c r="M679" s="23" t="s">
        <v>291</v>
      </c>
      <c r="N679" s="23" t="s">
        <v>54</v>
      </c>
      <c r="O679" s="23" t="s">
        <v>640</v>
      </c>
    </row>
    <row r="680" customFormat="false" ht="15" hidden="false" customHeight="true" outlineLevel="0" collapsed="false">
      <c r="A680" s="3" t="s">
        <v>642</v>
      </c>
      <c r="B680" s="3" t="s">
        <v>643</v>
      </c>
      <c r="C680" s="3" t="s">
        <v>644</v>
      </c>
      <c r="M680" s="23"/>
      <c r="N680" s="23"/>
      <c r="O680" s="23"/>
    </row>
    <row r="681" customFormat="false" ht="288" hidden="false" customHeight="true" outlineLevel="0" collapsed="false">
      <c r="C681" s="26" t="s">
        <v>645</v>
      </c>
      <c r="M681" s="23"/>
      <c r="N681" s="23"/>
      <c r="O681" s="23"/>
    </row>
    <row r="682" customFormat="false" ht="15" hidden="false" customHeight="true" outlineLevel="0" collapsed="false">
      <c r="C682" s="27" t="s">
        <v>194</v>
      </c>
      <c r="D682" s="28" t="n">
        <v>1</v>
      </c>
      <c r="H682" s="29" t="n">
        <f aca="false">IF(COUNT(D682:G682)=0,0,D682*IF(E682="",1,E682)*IF(F682="",1,F682)*IF(G682="",1,G682))</f>
        <v>1</v>
      </c>
      <c r="M682" s="23"/>
      <c r="N682" s="23"/>
      <c r="O682" s="23"/>
    </row>
    <row r="683" customFormat="false" ht="15" hidden="false" customHeight="true" outlineLevel="0" collapsed="false">
      <c r="H683" s="30"/>
      <c r="I683" s="31" t="n">
        <f aca="false">ROUND(SUM(H682:H682),2)</f>
        <v>1</v>
      </c>
      <c r="J683" s="32" t="n">
        <v>974.39</v>
      </c>
      <c r="K683" s="31" t="n">
        <f aca="false">ROUND(I683*J683,2)</f>
        <v>974.39</v>
      </c>
      <c r="L683" s="33" t="s">
        <v>212</v>
      </c>
      <c r="M683" s="23" t="s">
        <v>123</v>
      </c>
      <c r="N683" s="23" t="s">
        <v>54</v>
      </c>
      <c r="O683" s="23" t="s">
        <v>640</v>
      </c>
    </row>
    <row r="684" customFormat="false" ht="15" hidden="false" customHeight="true" outlineLevel="0" collapsed="false">
      <c r="A684" s="3" t="s">
        <v>646</v>
      </c>
      <c r="B684" s="3" t="s">
        <v>643</v>
      </c>
      <c r="C684" s="3" t="s">
        <v>647</v>
      </c>
      <c r="M684" s="23"/>
      <c r="N684" s="23"/>
      <c r="O684" s="23"/>
    </row>
    <row r="685" customFormat="false" ht="132" hidden="false" customHeight="true" outlineLevel="0" collapsed="false">
      <c r="C685" s="26" t="s">
        <v>648</v>
      </c>
      <c r="M685" s="23"/>
      <c r="N685" s="23"/>
      <c r="O685" s="23"/>
    </row>
    <row r="686" customFormat="false" ht="15" hidden="false" customHeight="true" outlineLevel="0" collapsed="false">
      <c r="C686" s="27" t="s">
        <v>132</v>
      </c>
      <c r="D686" s="28" t="n">
        <v>1</v>
      </c>
      <c r="H686" s="29" t="n">
        <f aca="false">IF(COUNT(D686:G686)=0,0,D686*IF(E686="",1,E686)*IF(F686="",1,F686)*IF(G686="",1,G686))</f>
        <v>1</v>
      </c>
      <c r="M686" s="23"/>
      <c r="N686" s="23"/>
      <c r="O686" s="23"/>
    </row>
    <row r="687" customFormat="false" ht="15" hidden="false" customHeight="true" outlineLevel="0" collapsed="false">
      <c r="H687" s="30"/>
      <c r="I687" s="31" t="n">
        <f aca="false">ROUND(SUM(H686:H686),2)</f>
        <v>1</v>
      </c>
      <c r="J687" s="32" t="n">
        <v>1303.21</v>
      </c>
      <c r="K687" s="31" t="n">
        <f aca="false">ROUND(I687*J687,2)</f>
        <v>1303.21</v>
      </c>
      <c r="L687" s="33" t="s">
        <v>212</v>
      </c>
      <c r="M687" s="23" t="s">
        <v>123</v>
      </c>
      <c r="N687" s="23" t="s">
        <v>54</v>
      </c>
      <c r="O687" s="23" t="s">
        <v>640</v>
      </c>
    </row>
    <row r="688" customFormat="false" ht="15" hidden="false" customHeight="true" outlineLevel="0" collapsed="false">
      <c r="A688" s="3" t="s">
        <v>649</v>
      </c>
      <c r="B688" s="3" t="s">
        <v>650</v>
      </c>
      <c r="C688" s="3" t="s">
        <v>651</v>
      </c>
      <c r="M688" s="23"/>
      <c r="N688" s="23"/>
      <c r="O688" s="23"/>
    </row>
    <row r="689" customFormat="false" ht="168" hidden="false" customHeight="true" outlineLevel="0" collapsed="false">
      <c r="C689" s="26" t="s">
        <v>652</v>
      </c>
      <c r="M689" s="23"/>
      <c r="N689" s="23"/>
      <c r="O689" s="23"/>
    </row>
    <row r="690" customFormat="false" ht="15" hidden="false" customHeight="true" outlineLevel="0" collapsed="false">
      <c r="C690" s="27" t="s">
        <v>653</v>
      </c>
      <c r="D690" s="28" t="n">
        <v>1</v>
      </c>
      <c r="E690" s="28" t="n">
        <v>10</v>
      </c>
      <c r="H690" s="29" t="n">
        <f aca="false">IF(COUNT(D690:G690)=0,0,D690*IF(E690="",1,E690)*IF(F690="",1,F690)*IF(G690="",1,G690))</f>
        <v>10</v>
      </c>
      <c r="M690" s="23"/>
      <c r="N690" s="23"/>
      <c r="O690" s="23"/>
    </row>
    <row r="691" customFormat="false" ht="15" hidden="false" customHeight="true" outlineLevel="0" collapsed="false">
      <c r="H691" s="30"/>
      <c r="I691" s="31" t="n">
        <f aca="false">ROUND(SUM(H690:H690),2)</f>
        <v>10</v>
      </c>
      <c r="J691" s="32" t="n">
        <v>59.77</v>
      </c>
      <c r="K691" s="31" t="n">
        <f aca="false">ROUND(I691*J691,2)</f>
        <v>597.7</v>
      </c>
      <c r="L691" s="33" t="s">
        <v>212</v>
      </c>
      <c r="M691" s="23" t="s">
        <v>123</v>
      </c>
      <c r="N691" s="23" t="s">
        <v>54</v>
      </c>
      <c r="O691" s="23" t="s">
        <v>640</v>
      </c>
    </row>
    <row r="692" customFormat="false" ht="15" hidden="false" customHeight="true" outlineLevel="0" collapsed="false">
      <c r="A692" s="3" t="s">
        <v>654</v>
      </c>
      <c r="B692" s="3" t="s">
        <v>643</v>
      </c>
      <c r="C692" s="3" t="s">
        <v>655</v>
      </c>
      <c r="M692" s="23"/>
      <c r="N692" s="23"/>
      <c r="O692" s="23"/>
    </row>
    <row r="693" customFormat="false" ht="108" hidden="false" customHeight="true" outlineLevel="0" collapsed="false">
      <c r="C693" s="26" t="s">
        <v>656</v>
      </c>
      <c r="M693" s="23"/>
      <c r="N693" s="23"/>
      <c r="O693" s="23"/>
    </row>
    <row r="694" customFormat="false" ht="15" hidden="false" customHeight="true" outlineLevel="0" collapsed="false">
      <c r="C694" s="27" t="s">
        <v>132</v>
      </c>
      <c r="D694" s="28" t="n">
        <v>1</v>
      </c>
      <c r="H694" s="29" t="n">
        <f aca="false">IF(COUNT(D694:G694)=0,0,D694*IF(E694="",1,E694)*IF(F694="",1,F694)*IF(G694="",1,G694))</f>
        <v>1</v>
      </c>
      <c r="M694" s="23"/>
      <c r="N694" s="23"/>
      <c r="O694" s="23"/>
    </row>
    <row r="695" customFormat="false" ht="15" hidden="false" customHeight="true" outlineLevel="0" collapsed="false">
      <c r="H695" s="30"/>
      <c r="I695" s="31" t="n">
        <f aca="false">ROUND(SUM(H694:H694),2)</f>
        <v>1</v>
      </c>
      <c r="J695" s="32" t="n">
        <v>116.6</v>
      </c>
      <c r="K695" s="31" t="n">
        <f aca="false">ROUND(I695*J695,2)</f>
        <v>116.6</v>
      </c>
      <c r="L695" s="33" t="s">
        <v>212</v>
      </c>
      <c r="M695" s="23" t="s">
        <v>123</v>
      </c>
      <c r="N695" s="23" t="s">
        <v>54</v>
      </c>
      <c r="O695" s="23" t="s">
        <v>640</v>
      </c>
    </row>
    <row r="696" customFormat="false" ht="15" hidden="false" customHeight="true" outlineLevel="0" collapsed="false">
      <c r="A696" s="3" t="s">
        <v>657</v>
      </c>
      <c r="B696" s="3" t="s">
        <v>650</v>
      </c>
      <c r="C696" s="3" t="s">
        <v>658</v>
      </c>
      <c r="M696" s="23"/>
      <c r="N696" s="23"/>
      <c r="O696" s="23"/>
    </row>
    <row r="697" customFormat="false" ht="96" hidden="false" customHeight="true" outlineLevel="0" collapsed="false">
      <c r="C697" s="26" t="s">
        <v>659</v>
      </c>
      <c r="M697" s="23"/>
      <c r="N697" s="23"/>
      <c r="O697" s="23"/>
    </row>
    <row r="698" customFormat="false" ht="15" hidden="false" customHeight="true" outlineLevel="0" collapsed="false">
      <c r="C698" s="27" t="s">
        <v>660</v>
      </c>
      <c r="D698" s="28" t="n">
        <v>1</v>
      </c>
      <c r="E698" s="28" t="n">
        <v>110</v>
      </c>
      <c r="H698" s="29" t="n">
        <f aca="false">IF(COUNT(D698:G698)=0,0,D698*IF(E698="",1,E698)*IF(F698="",1,F698)*IF(G698="",1,G698))</f>
        <v>110</v>
      </c>
      <c r="M698" s="23"/>
      <c r="N698" s="23"/>
      <c r="O698" s="23"/>
    </row>
    <row r="699" customFormat="false" ht="15" hidden="false" customHeight="true" outlineLevel="0" collapsed="false">
      <c r="H699" s="30"/>
      <c r="I699" s="31" t="n">
        <f aca="false">ROUND(SUM(H698:H698),2)</f>
        <v>110</v>
      </c>
      <c r="J699" s="32" t="n">
        <v>3.17</v>
      </c>
      <c r="K699" s="31" t="n">
        <f aca="false">ROUND(I699*J699,2)</f>
        <v>348.7</v>
      </c>
      <c r="L699" s="33" t="s">
        <v>212</v>
      </c>
      <c r="M699" s="23" t="s">
        <v>123</v>
      </c>
      <c r="N699" s="23" t="s">
        <v>54</v>
      </c>
      <c r="O699" s="23" t="s">
        <v>640</v>
      </c>
    </row>
    <row r="700" customFormat="false" ht="15" hidden="false" customHeight="true" outlineLevel="0" collapsed="false">
      <c r="A700" s="3" t="s">
        <v>661</v>
      </c>
      <c r="B700" s="3" t="s">
        <v>650</v>
      </c>
      <c r="C700" s="3" t="s">
        <v>662</v>
      </c>
      <c r="M700" s="23"/>
      <c r="N700" s="23"/>
      <c r="O700" s="23"/>
    </row>
    <row r="701" customFormat="false" ht="96" hidden="false" customHeight="true" outlineLevel="0" collapsed="false">
      <c r="C701" s="26" t="s">
        <v>663</v>
      </c>
      <c r="M701" s="23"/>
      <c r="N701" s="23"/>
      <c r="O701" s="23"/>
    </row>
    <row r="702" customFormat="false" ht="15" hidden="false" customHeight="true" outlineLevel="0" collapsed="false">
      <c r="C702" s="27" t="s">
        <v>664</v>
      </c>
      <c r="D702" s="28" t="n">
        <v>1</v>
      </c>
      <c r="E702" s="28" t="n">
        <v>160</v>
      </c>
      <c r="H702" s="29" t="n">
        <f aca="false">IF(COUNT(D702:G702)=0,0,D702*IF(E702="",1,E702)*IF(F702="",1,F702)*IF(G702="",1,G702))</f>
        <v>160</v>
      </c>
      <c r="M702" s="23"/>
      <c r="N702" s="23"/>
      <c r="O702" s="23"/>
    </row>
    <row r="703" customFormat="false" ht="15" hidden="false" customHeight="true" outlineLevel="0" collapsed="false">
      <c r="H703" s="30"/>
      <c r="I703" s="31" t="n">
        <f aca="false">ROUND(SUM(H702:H702),2)</f>
        <v>160</v>
      </c>
      <c r="J703" s="32" t="n">
        <v>3.74</v>
      </c>
      <c r="K703" s="31" t="n">
        <f aca="false">ROUND(I703*J703,2)</f>
        <v>598.4</v>
      </c>
      <c r="L703" s="33" t="s">
        <v>212</v>
      </c>
      <c r="M703" s="23" t="s">
        <v>123</v>
      </c>
      <c r="N703" s="23" t="s">
        <v>54</v>
      </c>
      <c r="O703" s="23" t="s">
        <v>640</v>
      </c>
    </row>
    <row r="704" customFormat="false" ht="15" hidden="false" customHeight="true" outlineLevel="0" collapsed="false">
      <c r="A704" s="3" t="s">
        <v>665</v>
      </c>
      <c r="B704" s="3" t="s">
        <v>650</v>
      </c>
      <c r="C704" s="3" t="s">
        <v>666</v>
      </c>
      <c r="M704" s="23"/>
      <c r="N704" s="23"/>
      <c r="O704" s="23"/>
    </row>
    <row r="705" customFormat="false" ht="96" hidden="false" customHeight="true" outlineLevel="0" collapsed="false">
      <c r="C705" s="26" t="s">
        <v>667</v>
      </c>
      <c r="M705" s="23"/>
      <c r="N705" s="23"/>
      <c r="O705" s="23"/>
    </row>
    <row r="706" customFormat="false" ht="15" hidden="false" customHeight="true" outlineLevel="0" collapsed="false">
      <c r="C706" s="27" t="s">
        <v>668</v>
      </c>
      <c r="D706" s="28" t="n">
        <v>1</v>
      </c>
      <c r="E706" s="28" t="n">
        <v>50</v>
      </c>
      <c r="H706" s="29" t="n">
        <f aca="false">IF(COUNT(D706:G706)=0,0,D706*IF(E706="",1,E706)*IF(F706="",1,F706)*IF(G706="",1,G706))</f>
        <v>50</v>
      </c>
      <c r="M706" s="23"/>
      <c r="N706" s="23"/>
      <c r="O706" s="23"/>
    </row>
    <row r="707" customFormat="false" ht="15" hidden="false" customHeight="true" outlineLevel="0" collapsed="false">
      <c r="H707" s="30"/>
      <c r="I707" s="31" t="n">
        <f aca="false">ROUND(SUM(H706:H706),2)</f>
        <v>50</v>
      </c>
      <c r="J707" s="32" t="n">
        <v>4.1</v>
      </c>
      <c r="K707" s="31" t="n">
        <f aca="false">ROUND(I707*J707,2)</f>
        <v>205</v>
      </c>
      <c r="L707" s="33" t="s">
        <v>212</v>
      </c>
      <c r="M707" s="23" t="s">
        <v>123</v>
      </c>
      <c r="N707" s="23" t="s">
        <v>54</v>
      </c>
      <c r="O707" s="23" t="s">
        <v>640</v>
      </c>
    </row>
    <row r="708" customFormat="false" ht="15" hidden="false" customHeight="true" outlineLevel="0" collapsed="false">
      <c r="A708" s="3" t="s">
        <v>669</v>
      </c>
      <c r="B708" s="3" t="s">
        <v>650</v>
      </c>
      <c r="C708" s="3" t="s">
        <v>670</v>
      </c>
      <c r="M708" s="23"/>
      <c r="N708" s="23"/>
      <c r="O708" s="23"/>
    </row>
    <row r="709" customFormat="false" ht="96" hidden="false" customHeight="true" outlineLevel="0" collapsed="false">
      <c r="C709" s="26" t="s">
        <v>671</v>
      </c>
      <c r="M709" s="23"/>
      <c r="N709" s="23"/>
      <c r="O709" s="23"/>
    </row>
    <row r="710" customFormat="false" ht="15" hidden="false" customHeight="true" outlineLevel="0" collapsed="false">
      <c r="C710" s="27" t="s">
        <v>672</v>
      </c>
      <c r="D710" s="28" t="n">
        <v>1</v>
      </c>
      <c r="E710" s="28" t="n">
        <v>25</v>
      </c>
      <c r="H710" s="29" t="n">
        <f aca="false">IF(COUNT(D710:G710)=0,0,D710*IF(E710="",1,E710)*IF(F710="",1,F710)*IF(G710="",1,G710))</f>
        <v>25</v>
      </c>
      <c r="M710" s="23"/>
      <c r="N710" s="23"/>
      <c r="O710" s="23"/>
    </row>
    <row r="711" customFormat="false" ht="15" hidden="false" customHeight="true" outlineLevel="0" collapsed="false">
      <c r="H711" s="30"/>
      <c r="I711" s="31" t="n">
        <f aca="false">ROUND(SUM(H710:H710),2)</f>
        <v>25</v>
      </c>
      <c r="J711" s="32" t="n">
        <v>4.83</v>
      </c>
      <c r="K711" s="31" t="n">
        <f aca="false">ROUND(I711*J711,2)</f>
        <v>120.75</v>
      </c>
      <c r="L711" s="33" t="s">
        <v>212</v>
      </c>
      <c r="M711" s="23" t="s">
        <v>123</v>
      </c>
      <c r="N711" s="23" t="s">
        <v>54</v>
      </c>
      <c r="O711" s="23" t="s">
        <v>640</v>
      </c>
    </row>
    <row r="712" customFormat="false" ht="15" hidden="false" customHeight="true" outlineLevel="0" collapsed="false">
      <c r="A712" s="3" t="s">
        <v>673</v>
      </c>
      <c r="B712" s="3" t="s">
        <v>643</v>
      </c>
      <c r="C712" s="3" t="s">
        <v>674</v>
      </c>
      <c r="M712" s="23"/>
      <c r="N712" s="23"/>
      <c r="O712" s="23"/>
    </row>
    <row r="713" customFormat="false" ht="96" hidden="false" customHeight="true" outlineLevel="0" collapsed="false">
      <c r="C713" s="26" t="s">
        <v>675</v>
      </c>
      <c r="M713" s="23"/>
      <c r="N713" s="23"/>
      <c r="O713" s="23"/>
    </row>
    <row r="714" customFormat="false" ht="15" hidden="false" customHeight="true" outlineLevel="0" collapsed="false">
      <c r="C714" s="27" t="s">
        <v>676</v>
      </c>
      <c r="D714" s="28" t="n">
        <v>16</v>
      </c>
      <c r="H714" s="29" t="n">
        <f aca="false">IF(COUNT(D714:G714)=0,0,D714*IF(E714="",1,E714)*IF(F714="",1,F714)*IF(G714="",1,G714))</f>
        <v>16</v>
      </c>
      <c r="M714" s="23"/>
      <c r="N714" s="23"/>
      <c r="O714" s="23"/>
    </row>
    <row r="715" customFormat="false" ht="15" hidden="false" customHeight="true" outlineLevel="0" collapsed="false">
      <c r="H715" s="30"/>
      <c r="I715" s="31" t="n">
        <f aca="false">ROUND(SUM(H714:H714),2)</f>
        <v>16</v>
      </c>
      <c r="J715" s="32" t="n">
        <v>14.16</v>
      </c>
      <c r="K715" s="31" t="n">
        <f aca="false">ROUND(I715*J715,2)</f>
        <v>226.56</v>
      </c>
      <c r="L715" s="33" t="s">
        <v>212</v>
      </c>
      <c r="M715" s="23" t="s">
        <v>123</v>
      </c>
      <c r="N715" s="23" t="s">
        <v>54</v>
      </c>
      <c r="O715" s="23" t="s">
        <v>640</v>
      </c>
    </row>
    <row r="716" customFormat="false" ht="15" hidden="false" customHeight="true" outlineLevel="0" collapsed="false">
      <c r="A716" s="3" t="s">
        <v>677</v>
      </c>
      <c r="B716" s="3" t="s">
        <v>643</v>
      </c>
      <c r="C716" s="3" t="s">
        <v>678</v>
      </c>
      <c r="M716" s="23"/>
      <c r="N716" s="23"/>
      <c r="O716" s="23"/>
    </row>
    <row r="717" customFormat="false" ht="204" hidden="false" customHeight="true" outlineLevel="0" collapsed="false">
      <c r="C717" s="26" t="s">
        <v>679</v>
      </c>
      <c r="M717" s="23"/>
      <c r="N717" s="23"/>
      <c r="O717" s="23"/>
    </row>
    <row r="718" customFormat="false" ht="15" hidden="false" customHeight="true" outlineLevel="0" collapsed="false">
      <c r="C718" s="27" t="s">
        <v>680</v>
      </c>
      <c r="D718" s="28" t="n">
        <v>1</v>
      </c>
      <c r="H718" s="29" t="n">
        <f aca="false">IF(COUNT(D718:G718)=0,0,D718*IF(E718="",1,E718)*IF(F718="",1,F718)*IF(G718="",1,G718))</f>
        <v>1</v>
      </c>
      <c r="M718" s="23"/>
      <c r="N718" s="23"/>
      <c r="O718" s="23"/>
    </row>
    <row r="719" customFormat="false" ht="15" hidden="false" customHeight="true" outlineLevel="0" collapsed="false">
      <c r="C719" s="27" t="s">
        <v>681</v>
      </c>
      <c r="D719" s="28" t="n">
        <v>1</v>
      </c>
      <c r="H719" s="29" t="n">
        <f aca="false">IF(COUNT(D719:G719)=0,0,D719*IF(E719="",1,E719)*IF(F719="",1,F719)*IF(G719="",1,G719))</f>
        <v>1</v>
      </c>
      <c r="M719" s="23"/>
      <c r="N719" s="23"/>
      <c r="O719" s="23"/>
    </row>
    <row r="720" customFormat="false" ht="15" hidden="false" customHeight="true" outlineLevel="0" collapsed="false">
      <c r="H720" s="30"/>
      <c r="I720" s="31" t="n">
        <f aca="false">ROUND(SUM(H718:H719),2)</f>
        <v>2</v>
      </c>
      <c r="J720" s="32" t="n">
        <v>183.66</v>
      </c>
      <c r="K720" s="31" t="n">
        <f aca="false">ROUND(I720*J720,2)</f>
        <v>367.32</v>
      </c>
      <c r="L720" s="33" t="s">
        <v>212</v>
      </c>
      <c r="M720" s="23" t="s">
        <v>123</v>
      </c>
      <c r="N720" s="23" t="s">
        <v>54</v>
      </c>
      <c r="O720" s="23" t="s">
        <v>640</v>
      </c>
    </row>
    <row r="721" customFormat="false" ht="15" hidden="false" customHeight="true" outlineLevel="0" collapsed="false">
      <c r="A721" s="3" t="s">
        <v>682</v>
      </c>
      <c r="B721" s="3" t="s">
        <v>643</v>
      </c>
      <c r="C721" s="3" t="s">
        <v>683</v>
      </c>
      <c r="M721" s="23"/>
      <c r="N721" s="23"/>
      <c r="O721" s="23"/>
    </row>
    <row r="722" customFormat="false" ht="192" hidden="false" customHeight="true" outlineLevel="0" collapsed="false">
      <c r="C722" s="26" t="s">
        <v>684</v>
      </c>
      <c r="M722" s="23"/>
      <c r="N722" s="23"/>
      <c r="O722" s="23"/>
    </row>
    <row r="723" customFormat="false" ht="15" hidden="false" customHeight="true" outlineLevel="0" collapsed="false">
      <c r="C723" s="27" t="s">
        <v>685</v>
      </c>
      <c r="D723" s="28" t="n">
        <v>1</v>
      </c>
      <c r="H723" s="29" t="n">
        <f aca="false">IF(COUNT(D723:G723)=0,0,D723*IF(E723="",1,E723)*IF(F723="",1,F723)*IF(G723="",1,G723))</f>
        <v>1</v>
      </c>
      <c r="M723" s="23"/>
      <c r="N723" s="23"/>
      <c r="O723" s="23"/>
    </row>
    <row r="724" customFormat="false" ht="15" hidden="false" customHeight="true" outlineLevel="0" collapsed="false">
      <c r="H724" s="30"/>
      <c r="I724" s="31" t="n">
        <f aca="false">ROUND(SUM(H723:H723),2)</f>
        <v>1</v>
      </c>
      <c r="J724" s="32" t="n">
        <v>183.66</v>
      </c>
      <c r="K724" s="31" t="n">
        <f aca="false">ROUND(I724*J724,2)</f>
        <v>183.66</v>
      </c>
      <c r="L724" s="33" t="s">
        <v>212</v>
      </c>
      <c r="M724" s="23" t="s">
        <v>123</v>
      </c>
      <c r="N724" s="23" t="s">
        <v>54</v>
      </c>
      <c r="O724" s="23" t="s">
        <v>640</v>
      </c>
    </row>
    <row r="725" customFormat="false" ht="15" hidden="false" customHeight="true" outlineLevel="0" collapsed="false">
      <c r="A725" s="3" t="s">
        <v>686</v>
      </c>
      <c r="B725" s="3" t="s">
        <v>643</v>
      </c>
      <c r="C725" s="3" t="s">
        <v>687</v>
      </c>
      <c r="M725" s="23"/>
      <c r="N725" s="23"/>
      <c r="O725" s="23"/>
    </row>
    <row r="726" customFormat="false" ht="204" hidden="false" customHeight="true" outlineLevel="0" collapsed="false">
      <c r="C726" s="26" t="s">
        <v>688</v>
      </c>
      <c r="M726" s="23"/>
      <c r="N726" s="23"/>
      <c r="O726" s="23"/>
    </row>
    <row r="727" customFormat="false" ht="15" hidden="false" customHeight="true" outlineLevel="0" collapsed="false">
      <c r="C727" s="27" t="s">
        <v>689</v>
      </c>
      <c r="D727" s="28" t="n">
        <v>1</v>
      </c>
      <c r="H727" s="29" t="n">
        <f aca="false">IF(COUNT(D727:G727)=0,0,D727*IF(E727="",1,E727)*IF(F727="",1,F727)*IF(G727="",1,G727))</f>
        <v>1</v>
      </c>
      <c r="M727" s="23"/>
      <c r="N727" s="23"/>
      <c r="O727" s="23"/>
    </row>
    <row r="728" customFormat="false" ht="15" hidden="false" customHeight="true" outlineLevel="0" collapsed="false">
      <c r="C728" s="27" t="s">
        <v>690</v>
      </c>
      <c r="D728" s="28" t="n">
        <v>1</v>
      </c>
      <c r="H728" s="29" t="n">
        <f aca="false">IF(COUNT(D728:G728)=0,0,D728*IF(E728="",1,E728)*IF(F728="",1,F728)*IF(G728="",1,G728))</f>
        <v>1</v>
      </c>
      <c r="M728" s="23"/>
      <c r="N728" s="23"/>
      <c r="O728" s="23"/>
    </row>
    <row r="729" customFormat="false" ht="15" hidden="false" customHeight="true" outlineLevel="0" collapsed="false">
      <c r="H729" s="30"/>
      <c r="I729" s="31" t="n">
        <f aca="false">ROUND(SUM(H727:H728),2)</f>
        <v>2</v>
      </c>
      <c r="J729" s="32" t="n">
        <v>268.14</v>
      </c>
      <c r="K729" s="31" t="n">
        <f aca="false">ROUND(I729*J729,2)</f>
        <v>536.28</v>
      </c>
      <c r="L729" s="33" t="s">
        <v>212</v>
      </c>
      <c r="M729" s="23" t="s">
        <v>123</v>
      </c>
      <c r="N729" s="23" t="s">
        <v>54</v>
      </c>
      <c r="O729" s="23" t="s">
        <v>640</v>
      </c>
    </row>
    <row r="730" customFormat="false" ht="15" hidden="false" customHeight="true" outlineLevel="0" collapsed="false">
      <c r="A730" s="3" t="s">
        <v>691</v>
      </c>
      <c r="B730" s="3" t="s">
        <v>643</v>
      </c>
      <c r="C730" s="3" t="s">
        <v>687</v>
      </c>
      <c r="M730" s="23"/>
      <c r="N730" s="23"/>
      <c r="O730" s="23"/>
    </row>
    <row r="731" customFormat="false" ht="204" hidden="false" customHeight="true" outlineLevel="0" collapsed="false">
      <c r="C731" s="26" t="s">
        <v>692</v>
      </c>
      <c r="M731" s="23"/>
      <c r="N731" s="23"/>
      <c r="O731" s="23"/>
    </row>
    <row r="732" customFormat="false" ht="15" hidden="false" customHeight="true" outlineLevel="0" collapsed="false">
      <c r="C732" s="27" t="s">
        <v>693</v>
      </c>
      <c r="D732" s="28" t="n">
        <v>2</v>
      </c>
      <c r="H732" s="29" t="n">
        <f aca="false">IF(COUNT(D732:G732)=0,0,D732*IF(E732="",1,E732)*IF(F732="",1,F732)*IF(G732="",1,G732))</f>
        <v>2</v>
      </c>
      <c r="M732" s="23"/>
      <c r="N732" s="23"/>
      <c r="O732" s="23"/>
    </row>
    <row r="733" customFormat="false" ht="15" hidden="false" customHeight="true" outlineLevel="0" collapsed="false">
      <c r="H733" s="30"/>
      <c r="I733" s="31" t="n">
        <f aca="false">ROUND(SUM(H732:H732),2)</f>
        <v>2</v>
      </c>
      <c r="J733" s="32" t="n">
        <v>227.73</v>
      </c>
      <c r="K733" s="31" t="n">
        <f aca="false">ROUND(I733*J733,2)</f>
        <v>455.46</v>
      </c>
      <c r="L733" s="33" t="s">
        <v>212</v>
      </c>
      <c r="M733" s="23" t="s">
        <v>123</v>
      </c>
      <c r="N733" s="23" t="s">
        <v>54</v>
      </c>
      <c r="O733" s="23" t="s">
        <v>640</v>
      </c>
    </row>
    <row r="734" customFormat="false" ht="15" hidden="false" customHeight="true" outlineLevel="0" collapsed="false">
      <c r="A734" s="3" t="s">
        <v>694</v>
      </c>
      <c r="B734" s="3" t="s">
        <v>643</v>
      </c>
      <c r="C734" s="3" t="s">
        <v>695</v>
      </c>
      <c r="M734" s="23"/>
      <c r="N734" s="23"/>
      <c r="O734" s="23"/>
    </row>
    <row r="735" customFormat="false" ht="132" hidden="false" customHeight="true" outlineLevel="0" collapsed="false">
      <c r="C735" s="26" t="s">
        <v>696</v>
      </c>
      <c r="M735" s="23"/>
      <c r="N735" s="23"/>
      <c r="O735" s="23"/>
    </row>
    <row r="736" customFormat="false" ht="15" hidden="false" customHeight="true" outlineLevel="0" collapsed="false">
      <c r="C736" s="27" t="s">
        <v>697</v>
      </c>
      <c r="D736" s="28" t="n">
        <v>3</v>
      </c>
      <c r="H736" s="29" t="n">
        <f aca="false">IF(COUNT(D736:G736)=0,0,D736*IF(E736="",1,E736)*IF(F736="",1,F736)*IF(G736="",1,G736))</f>
        <v>3</v>
      </c>
      <c r="M736" s="23"/>
      <c r="N736" s="23"/>
      <c r="O736" s="23"/>
    </row>
    <row r="737" customFormat="false" ht="15" hidden="false" customHeight="true" outlineLevel="0" collapsed="false">
      <c r="H737" s="30"/>
      <c r="I737" s="31" t="n">
        <f aca="false">ROUND(SUM(H736:H736),2)</f>
        <v>3</v>
      </c>
      <c r="J737" s="32" t="n">
        <v>70.82</v>
      </c>
      <c r="K737" s="31" t="n">
        <f aca="false">ROUND(I737*J737,2)</f>
        <v>212.46</v>
      </c>
      <c r="L737" s="33" t="s">
        <v>212</v>
      </c>
      <c r="M737" s="23" t="s">
        <v>123</v>
      </c>
      <c r="N737" s="23" t="s">
        <v>54</v>
      </c>
      <c r="O737" s="23" t="s">
        <v>640</v>
      </c>
    </row>
    <row r="738" customFormat="false" ht="15" hidden="false" customHeight="true" outlineLevel="0" collapsed="false">
      <c r="A738" s="3" t="s">
        <v>698</v>
      </c>
      <c r="B738" s="3" t="s">
        <v>643</v>
      </c>
      <c r="C738" s="3" t="s">
        <v>699</v>
      </c>
      <c r="M738" s="23"/>
      <c r="N738" s="23"/>
      <c r="O738" s="23"/>
    </row>
    <row r="739" customFormat="false" ht="120" hidden="false" customHeight="true" outlineLevel="0" collapsed="false">
      <c r="C739" s="26" t="s">
        <v>700</v>
      </c>
      <c r="M739" s="23"/>
      <c r="N739" s="23"/>
      <c r="O739" s="23"/>
    </row>
    <row r="740" customFormat="false" ht="15" hidden="false" customHeight="true" outlineLevel="0" collapsed="false">
      <c r="C740" s="27" t="s">
        <v>132</v>
      </c>
      <c r="D740" s="28" t="n">
        <v>1</v>
      </c>
      <c r="H740" s="29" t="n">
        <f aca="false">IF(COUNT(D740:G740)=0,0,D740*IF(E740="",1,E740)*IF(F740="",1,F740)*IF(G740="",1,G740))</f>
        <v>1</v>
      </c>
      <c r="M740" s="23"/>
      <c r="N740" s="23"/>
      <c r="O740" s="23"/>
    </row>
    <row r="741" customFormat="false" ht="15" hidden="false" customHeight="true" outlineLevel="0" collapsed="false">
      <c r="H741" s="30"/>
      <c r="I741" s="31" t="n">
        <f aca="false">ROUND(SUM(H740:H740),2)</f>
        <v>1</v>
      </c>
      <c r="J741" s="32" t="n">
        <v>40.97</v>
      </c>
      <c r="K741" s="31" t="n">
        <f aca="false">ROUND(I741*J741,2)</f>
        <v>40.97</v>
      </c>
      <c r="L741" s="33" t="s">
        <v>212</v>
      </c>
      <c r="M741" s="23" t="s">
        <v>123</v>
      </c>
      <c r="N741" s="23" t="s">
        <v>54</v>
      </c>
      <c r="O741" s="23" t="s">
        <v>640</v>
      </c>
    </row>
    <row r="742" customFormat="false" ht="15" hidden="false" customHeight="true" outlineLevel="0" collapsed="false">
      <c r="A742" s="3" t="s">
        <v>701</v>
      </c>
      <c r="B742" s="3" t="s">
        <v>643</v>
      </c>
      <c r="C742" s="3" t="s">
        <v>702</v>
      </c>
      <c r="M742" s="23"/>
      <c r="N742" s="23"/>
      <c r="O742" s="23"/>
    </row>
    <row r="743" customFormat="false" ht="144" hidden="false" customHeight="true" outlineLevel="0" collapsed="false">
      <c r="C743" s="26" t="s">
        <v>703</v>
      </c>
      <c r="M743" s="23"/>
      <c r="N743" s="23"/>
      <c r="O743" s="23"/>
    </row>
    <row r="744" customFormat="false" ht="15" hidden="false" customHeight="true" outlineLevel="0" collapsed="false">
      <c r="C744" s="27" t="s">
        <v>704</v>
      </c>
      <c r="D744" s="28" t="n">
        <v>4</v>
      </c>
      <c r="H744" s="29" t="n">
        <f aca="false">IF(COUNT(D744:G744)=0,0,D744*IF(E744="",1,E744)*IF(F744="",1,F744)*IF(G744="",1,G744))</f>
        <v>4</v>
      </c>
      <c r="M744" s="23"/>
      <c r="N744" s="23"/>
      <c r="O744" s="23"/>
    </row>
    <row r="745" customFormat="false" ht="15" hidden="false" customHeight="true" outlineLevel="0" collapsed="false">
      <c r="H745" s="30"/>
      <c r="I745" s="31" t="n">
        <f aca="false">ROUND(SUM(H744:H744),2)</f>
        <v>4</v>
      </c>
      <c r="J745" s="32" t="n">
        <v>121.22</v>
      </c>
      <c r="K745" s="31" t="n">
        <f aca="false">ROUND(I745*J745,2)</f>
        <v>484.88</v>
      </c>
      <c r="L745" s="33" t="s">
        <v>212</v>
      </c>
      <c r="M745" s="23" t="s">
        <v>123</v>
      </c>
      <c r="N745" s="23" t="s">
        <v>54</v>
      </c>
      <c r="O745" s="23" t="s">
        <v>640</v>
      </c>
    </row>
    <row r="746" customFormat="false" ht="15" hidden="false" customHeight="true" outlineLevel="0" collapsed="false">
      <c r="A746" s="3" t="s">
        <v>705</v>
      </c>
      <c r="B746" s="3" t="s">
        <v>643</v>
      </c>
      <c r="C746" s="3" t="s">
        <v>706</v>
      </c>
      <c r="M746" s="23"/>
      <c r="N746" s="23"/>
      <c r="O746" s="23"/>
    </row>
    <row r="747" customFormat="false" ht="144" hidden="false" customHeight="true" outlineLevel="0" collapsed="false">
      <c r="C747" s="26" t="s">
        <v>707</v>
      </c>
      <c r="M747" s="23"/>
      <c r="N747" s="23"/>
      <c r="O747" s="23"/>
    </row>
    <row r="748" customFormat="false" ht="15" hidden="false" customHeight="true" outlineLevel="0" collapsed="false">
      <c r="C748" s="27" t="s">
        <v>704</v>
      </c>
      <c r="D748" s="28" t="n">
        <v>5</v>
      </c>
      <c r="H748" s="29" t="n">
        <f aca="false">IF(COUNT(D748:G748)=0,0,D748*IF(E748="",1,E748)*IF(F748="",1,F748)*IF(G748="",1,G748))</f>
        <v>5</v>
      </c>
      <c r="M748" s="23"/>
      <c r="N748" s="23"/>
      <c r="O748" s="23"/>
    </row>
    <row r="749" customFormat="false" ht="15" hidden="false" customHeight="true" outlineLevel="0" collapsed="false">
      <c r="H749" s="30"/>
      <c r="I749" s="31" t="n">
        <f aca="false">ROUND(SUM(H748:H748),2)</f>
        <v>5</v>
      </c>
      <c r="J749" s="32" t="n">
        <v>144.47</v>
      </c>
      <c r="K749" s="31" t="n">
        <f aca="false">ROUND(I749*J749,2)</f>
        <v>722.35</v>
      </c>
      <c r="L749" s="33" t="s">
        <v>212</v>
      </c>
      <c r="M749" s="23" t="s">
        <v>123</v>
      </c>
      <c r="N749" s="23" t="s">
        <v>54</v>
      </c>
      <c r="O749" s="23" t="s">
        <v>640</v>
      </c>
    </row>
    <row r="750" customFormat="false" ht="15" hidden="false" customHeight="true" outlineLevel="0" collapsed="false">
      <c r="A750" s="3" t="s">
        <v>708</v>
      </c>
      <c r="B750" s="3" t="s">
        <v>643</v>
      </c>
      <c r="C750" s="3" t="s">
        <v>709</v>
      </c>
      <c r="M750" s="23"/>
      <c r="N750" s="23"/>
      <c r="O750" s="23"/>
    </row>
    <row r="751" customFormat="false" ht="132" hidden="false" customHeight="true" outlineLevel="0" collapsed="false">
      <c r="C751" s="26" t="s">
        <v>710</v>
      </c>
      <c r="M751" s="23"/>
      <c r="N751" s="23"/>
      <c r="O751" s="23"/>
    </row>
    <row r="752" customFormat="false" ht="15" hidden="false" customHeight="true" outlineLevel="0" collapsed="false">
      <c r="C752" s="27" t="s">
        <v>711</v>
      </c>
      <c r="D752" s="28" t="n">
        <v>2</v>
      </c>
      <c r="H752" s="29" t="n">
        <f aca="false">IF(COUNT(D752:G752)=0,0,D752*IF(E752="",1,E752)*IF(F752="",1,F752)*IF(G752="",1,G752))</f>
        <v>2</v>
      </c>
      <c r="M752" s="23"/>
      <c r="N752" s="23"/>
      <c r="O752" s="23"/>
    </row>
    <row r="753" customFormat="false" ht="15" hidden="false" customHeight="true" outlineLevel="0" collapsed="false">
      <c r="H753" s="30"/>
      <c r="I753" s="31" t="n">
        <f aca="false">ROUND(SUM(H752:H752),2)</f>
        <v>2</v>
      </c>
      <c r="J753" s="32" t="n">
        <v>212.46</v>
      </c>
      <c r="K753" s="31" t="n">
        <f aca="false">ROUND(I753*J753,2)</f>
        <v>424.92</v>
      </c>
      <c r="L753" s="33" t="s">
        <v>212</v>
      </c>
      <c r="M753" s="23" t="s">
        <v>123</v>
      </c>
      <c r="N753" s="23" t="s">
        <v>54</v>
      </c>
      <c r="O753" s="23" t="s">
        <v>640</v>
      </c>
    </row>
    <row r="754" customFormat="false" ht="15" hidden="false" customHeight="true" outlineLevel="0" collapsed="false">
      <c r="A754" s="3" t="s">
        <v>712</v>
      </c>
      <c r="B754" s="3" t="s">
        <v>129</v>
      </c>
      <c r="C754" s="3" t="s">
        <v>713</v>
      </c>
      <c r="M754" s="23"/>
      <c r="N754" s="23"/>
      <c r="O754" s="23"/>
    </row>
    <row r="755" customFormat="false" ht="24" hidden="false" customHeight="true" outlineLevel="0" collapsed="false">
      <c r="C755" s="26" t="s">
        <v>714</v>
      </c>
      <c r="M755" s="23"/>
      <c r="N755" s="23"/>
      <c r="O755" s="23"/>
    </row>
    <row r="756" customFormat="false" ht="15" hidden="false" customHeight="true" outlineLevel="0" collapsed="false">
      <c r="C756" s="27" t="s">
        <v>715</v>
      </c>
      <c r="D756" s="28" t="n">
        <v>3</v>
      </c>
      <c r="H756" s="29" t="n">
        <f aca="false">IF(COUNT(D756:G756)=0,0,D756*IF(E756="",1,E756)*IF(F756="",1,F756)*IF(G756="",1,G756))</f>
        <v>3</v>
      </c>
      <c r="M756" s="23"/>
      <c r="N756" s="23"/>
      <c r="O756" s="23"/>
    </row>
    <row r="757" customFormat="false" ht="18.75" hidden="false" customHeight="true" outlineLevel="0" collapsed="false">
      <c r="H757" s="30"/>
      <c r="I757" s="31" t="n">
        <f aca="false">ROUND(SUM(H756:H756),2)</f>
        <v>3</v>
      </c>
      <c r="J757" s="32" t="n">
        <v>210</v>
      </c>
      <c r="K757" s="31" t="n">
        <f aca="false">ROUND(I757*J757,2)</f>
        <v>630</v>
      </c>
      <c r="L757" s="33" t="s">
        <v>238</v>
      </c>
      <c r="M757" s="23" t="s">
        <v>123</v>
      </c>
      <c r="N757" s="23" t="s">
        <v>54</v>
      </c>
      <c r="O757" s="23" t="s">
        <v>640</v>
      </c>
    </row>
    <row r="758" customFormat="false" ht="15" hidden="false" customHeight="true" outlineLevel="0" collapsed="false">
      <c r="A758" s="3" t="s">
        <v>716</v>
      </c>
      <c r="C758" s="3" t="s">
        <v>717</v>
      </c>
      <c r="M758" s="23" t="s">
        <v>291</v>
      </c>
      <c r="N758" s="23" t="s">
        <v>54</v>
      </c>
      <c r="O758" s="23" t="s">
        <v>716</v>
      </c>
    </row>
    <row r="759" customFormat="false" ht="15" hidden="false" customHeight="true" outlineLevel="0" collapsed="false">
      <c r="A759" s="3" t="s">
        <v>718</v>
      </c>
      <c r="B759" s="3" t="s">
        <v>643</v>
      </c>
      <c r="C759" s="3" t="s">
        <v>719</v>
      </c>
      <c r="M759" s="23"/>
      <c r="N759" s="23"/>
      <c r="O759" s="23"/>
    </row>
    <row r="760" customFormat="false" ht="36" hidden="false" customHeight="true" outlineLevel="0" collapsed="false">
      <c r="C760" s="26" t="s">
        <v>720</v>
      </c>
      <c r="M760" s="23"/>
      <c r="N760" s="23"/>
      <c r="O760" s="23"/>
    </row>
    <row r="761" customFormat="false" ht="15" hidden="false" customHeight="true" outlineLevel="0" collapsed="false">
      <c r="C761" s="27" t="s">
        <v>721</v>
      </c>
      <c r="D761" s="28" t="n">
        <v>1</v>
      </c>
      <c r="H761" s="29" t="n">
        <f aca="false">IF(COUNT(D761:G761)=0,0,D761*IF(E761="",1,E761)*IF(F761="",1,F761)*IF(G761="",1,G761))</f>
        <v>1</v>
      </c>
      <c r="M761" s="23"/>
      <c r="N761" s="23"/>
      <c r="O761" s="23"/>
    </row>
    <row r="762" customFormat="false" ht="15" hidden="false" customHeight="true" outlineLevel="0" collapsed="false">
      <c r="H762" s="30"/>
      <c r="I762" s="31" t="n">
        <f aca="false">ROUND(SUM(H761:H761),2)</f>
        <v>1</v>
      </c>
      <c r="J762" s="32" t="n">
        <v>54.93</v>
      </c>
      <c r="K762" s="31" t="n">
        <f aca="false">ROUND(I762*J762,2)</f>
        <v>54.93</v>
      </c>
      <c r="L762" s="33" t="s">
        <v>212</v>
      </c>
      <c r="M762" s="23" t="s">
        <v>123</v>
      </c>
      <c r="N762" s="23" t="s">
        <v>54</v>
      </c>
      <c r="O762" s="23" t="s">
        <v>716</v>
      </c>
    </row>
    <row r="763" customFormat="false" ht="15" hidden="false" customHeight="true" outlineLevel="0" collapsed="false">
      <c r="A763" s="3" t="s">
        <v>722</v>
      </c>
      <c r="B763" s="3" t="s">
        <v>643</v>
      </c>
      <c r="C763" s="3" t="s">
        <v>723</v>
      </c>
      <c r="M763" s="23"/>
      <c r="N763" s="23"/>
      <c r="O763" s="23"/>
    </row>
    <row r="764" customFormat="false" ht="36" hidden="false" customHeight="true" outlineLevel="0" collapsed="false">
      <c r="C764" s="26" t="s">
        <v>724</v>
      </c>
      <c r="M764" s="23"/>
      <c r="N764" s="23"/>
      <c r="O764" s="23"/>
    </row>
    <row r="765" customFormat="false" ht="15" hidden="false" customHeight="true" outlineLevel="0" collapsed="false">
      <c r="C765" s="27" t="s">
        <v>725</v>
      </c>
      <c r="D765" s="28" t="n">
        <v>1</v>
      </c>
      <c r="H765" s="29" t="n">
        <f aca="false">IF(COUNT(D765:G765)=0,0,D765*IF(E765="",1,E765)*IF(F765="",1,F765)*IF(G765="",1,G765))</f>
        <v>1</v>
      </c>
      <c r="M765" s="23"/>
      <c r="N765" s="23"/>
      <c r="O765" s="23"/>
    </row>
    <row r="766" customFormat="false" ht="15" hidden="false" customHeight="true" outlineLevel="0" collapsed="false">
      <c r="H766" s="30"/>
      <c r="I766" s="31" t="n">
        <f aca="false">ROUND(SUM(H765:H765),2)</f>
        <v>1</v>
      </c>
      <c r="J766" s="32" t="n">
        <v>74.06</v>
      </c>
      <c r="K766" s="31" t="n">
        <f aca="false">ROUND(I766*J766,2)</f>
        <v>74.06</v>
      </c>
      <c r="L766" s="33" t="s">
        <v>212</v>
      </c>
      <c r="M766" s="23" t="s">
        <v>123</v>
      </c>
      <c r="N766" s="23" t="s">
        <v>54</v>
      </c>
      <c r="O766" s="23" t="s">
        <v>716</v>
      </c>
    </row>
    <row r="767" customFormat="false" ht="15" hidden="false" customHeight="true" outlineLevel="0" collapsed="false">
      <c r="A767" s="3" t="s">
        <v>726</v>
      </c>
      <c r="B767" s="3" t="s">
        <v>643</v>
      </c>
      <c r="C767" s="3" t="s">
        <v>727</v>
      </c>
      <c r="M767" s="23"/>
      <c r="N767" s="23"/>
      <c r="O767" s="23"/>
    </row>
    <row r="768" customFormat="false" ht="36" hidden="false" customHeight="true" outlineLevel="0" collapsed="false">
      <c r="C768" s="26" t="s">
        <v>728</v>
      </c>
      <c r="M768" s="23"/>
      <c r="N768" s="23"/>
      <c r="O768" s="23"/>
    </row>
    <row r="769" customFormat="false" ht="15" hidden="false" customHeight="true" outlineLevel="0" collapsed="false">
      <c r="C769" s="27" t="s">
        <v>729</v>
      </c>
      <c r="D769" s="28" t="n">
        <v>2</v>
      </c>
      <c r="H769" s="29" t="n">
        <f aca="false">IF(COUNT(D769:G769)=0,0,D769*IF(E769="",1,E769)*IF(F769="",1,F769)*IF(G769="",1,G769))</f>
        <v>2</v>
      </c>
      <c r="M769" s="23"/>
      <c r="N769" s="23"/>
      <c r="O769" s="23"/>
    </row>
    <row r="770" customFormat="false" ht="15" hidden="false" customHeight="true" outlineLevel="0" collapsed="false">
      <c r="H770" s="30"/>
      <c r="I770" s="31" t="n">
        <f aca="false">ROUND(SUM(H769:H769),2)</f>
        <v>2</v>
      </c>
      <c r="J770" s="32" t="n">
        <v>10.25</v>
      </c>
      <c r="K770" s="31" t="n">
        <f aca="false">ROUND(I770*J770,2)</f>
        <v>20.5</v>
      </c>
      <c r="L770" s="33" t="s">
        <v>212</v>
      </c>
      <c r="M770" s="23" t="s">
        <v>123</v>
      </c>
      <c r="N770" s="23" t="s">
        <v>54</v>
      </c>
      <c r="O770" s="23" t="s">
        <v>716</v>
      </c>
    </row>
    <row r="771" customFormat="false" ht="15" hidden="false" customHeight="true" outlineLevel="0" collapsed="false">
      <c r="A771" s="3" t="s">
        <v>730</v>
      </c>
      <c r="C771" s="3" t="s">
        <v>731</v>
      </c>
      <c r="M771" s="23" t="s">
        <v>291</v>
      </c>
      <c r="N771" s="23" t="s">
        <v>54</v>
      </c>
      <c r="O771" s="23" t="s">
        <v>730</v>
      </c>
    </row>
    <row r="772" customFormat="false" ht="15" hidden="false" customHeight="true" outlineLevel="0" collapsed="false">
      <c r="A772" s="3" t="s">
        <v>732</v>
      </c>
      <c r="B772" s="3" t="s">
        <v>129</v>
      </c>
      <c r="C772" s="3" t="s">
        <v>733</v>
      </c>
      <c r="M772" s="23"/>
      <c r="N772" s="23"/>
      <c r="O772" s="23"/>
    </row>
    <row r="773" customFormat="false" ht="48" hidden="false" customHeight="true" outlineLevel="0" collapsed="false">
      <c r="C773" s="26" t="s">
        <v>734</v>
      </c>
      <c r="M773" s="23"/>
      <c r="N773" s="23"/>
      <c r="O773" s="23"/>
    </row>
    <row r="774" customFormat="false" ht="15" hidden="false" customHeight="true" outlineLevel="0" collapsed="false">
      <c r="C774" s="27" t="s">
        <v>735</v>
      </c>
      <c r="D774" s="28" t="n">
        <v>1</v>
      </c>
      <c r="H774" s="29" t="n">
        <f aca="false">IF(COUNT(D774:G774)=0,0,D774*IF(E774="",1,E774)*IF(F774="",1,F774)*IF(G774="",1,G774))</f>
        <v>1</v>
      </c>
      <c r="M774" s="23"/>
      <c r="N774" s="23"/>
      <c r="O774" s="23"/>
    </row>
    <row r="775" customFormat="false" ht="18.75" hidden="false" customHeight="true" outlineLevel="0" collapsed="false">
      <c r="H775" s="30"/>
      <c r="I775" s="31" t="n">
        <f aca="false">ROUND(SUM(H774:H774),2)</f>
        <v>1</v>
      </c>
      <c r="J775" s="32" t="n">
        <v>9200</v>
      </c>
      <c r="K775" s="31" t="n">
        <f aca="false">ROUND(I775*J775,2)</f>
        <v>9200</v>
      </c>
      <c r="L775" s="33" t="s">
        <v>238</v>
      </c>
      <c r="M775" s="23" t="s">
        <v>123</v>
      </c>
      <c r="N775" s="23" t="s">
        <v>54</v>
      </c>
      <c r="O775" s="23" t="s">
        <v>730</v>
      </c>
    </row>
    <row r="776" customFormat="false" ht="15" hidden="false" customHeight="true" outlineLevel="0" collapsed="false">
      <c r="A776" s="3" t="s">
        <v>736</v>
      </c>
      <c r="B776" s="3" t="s">
        <v>643</v>
      </c>
      <c r="C776" s="3" t="s">
        <v>737</v>
      </c>
      <c r="M776" s="23"/>
      <c r="N776" s="23"/>
      <c r="O776" s="23"/>
    </row>
    <row r="777" customFormat="false" ht="36" hidden="false" customHeight="true" outlineLevel="0" collapsed="false">
      <c r="C777" s="26" t="s">
        <v>738</v>
      </c>
      <c r="M777" s="23"/>
      <c r="N777" s="23"/>
      <c r="O777" s="23"/>
    </row>
    <row r="778" customFormat="false" ht="15" hidden="false" customHeight="true" outlineLevel="0" collapsed="false">
      <c r="C778" s="27" t="s">
        <v>739</v>
      </c>
      <c r="D778" s="28" t="n">
        <v>1</v>
      </c>
      <c r="H778" s="29" t="n">
        <f aca="false">IF(COUNT(D778:G778)=0,0,D778*IF(E778="",1,E778)*IF(F778="",1,F778)*IF(G778="",1,G778))</f>
        <v>1</v>
      </c>
      <c r="M778" s="23"/>
      <c r="N778" s="23"/>
      <c r="O778" s="23"/>
    </row>
    <row r="779" customFormat="false" ht="15" hidden="false" customHeight="true" outlineLevel="0" collapsed="false">
      <c r="H779" s="30"/>
      <c r="I779" s="31" t="n">
        <f aca="false">ROUND(SUM(H778:H778),2)</f>
        <v>1</v>
      </c>
      <c r="J779" s="32" t="n">
        <v>128.56</v>
      </c>
      <c r="K779" s="31" t="n">
        <f aca="false">ROUND(I779*J779,2)</f>
        <v>128.56</v>
      </c>
      <c r="L779" s="33" t="s">
        <v>212</v>
      </c>
      <c r="M779" s="23" t="s">
        <v>123</v>
      </c>
      <c r="N779" s="23" t="s">
        <v>54</v>
      </c>
      <c r="O779" s="23" t="s">
        <v>730</v>
      </c>
    </row>
    <row r="780" customFormat="false" ht="15" hidden="false" customHeight="true" outlineLevel="0" collapsed="false">
      <c r="A780" s="3" t="s">
        <v>740</v>
      </c>
      <c r="B780" s="3" t="s">
        <v>643</v>
      </c>
      <c r="C780" s="3" t="s">
        <v>741</v>
      </c>
      <c r="M780" s="23"/>
      <c r="N780" s="23"/>
      <c r="O780" s="23"/>
    </row>
    <row r="781" customFormat="false" ht="24" hidden="false" customHeight="true" outlineLevel="0" collapsed="false">
      <c r="C781" s="26" t="s">
        <v>742</v>
      </c>
      <c r="M781" s="23"/>
      <c r="N781" s="23"/>
      <c r="O781" s="23"/>
    </row>
    <row r="782" customFormat="false" ht="15" hidden="false" customHeight="true" outlineLevel="0" collapsed="false">
      <c r="C782" s="27" t="s">
        <v>739</v>
      </c>
      <c r="D782" s="28" t="n">
        <v>1</v>
      </c>
      <c r="H782" s="29" t="n">
        <f aca="false">IF(COUNT(D782:G782)=0,0,D782*IF(E782="",1,E782)*IF(F782="",1,F782)*IF(G782="",1,G782))</f>
        <v>1</v>
      </c>
      <c r="M782" s="23"/>
      <c r="N782" s="23"/>
      <c r="O782" s="23"/>
    </row>
    <row r="783" customFormat="false" ht="15" hidden="false" customHeight="true" outlineLevel="0" collapsed="false">
      <c r="H783" s="30"/>
      <c r="I783" s="31" t="n">
        <f aca="false">ROUND(SUM(H782:H782),2)</f>
        <v>1</v>
      </c>
      <c r="J783" s="32" t="n">
        <v>33.06</v>
      </c>
      <c r="K783" s="31" t="n">
        <f aca="false">ROUND(I783*J783,2)</f>
        <v>33.06</v>
      </c>
      <c r="L783" s="33" t="s">
        <v>212</v>
      </c>
      <c r="M783" s="23" t="s">
        <v>123</v>
      </c>
      <c r="N783" s="23" t="s">
        <v>54</v>
      </c>
      <c r="O783" s="23" t="s">
        <v>730</v>
      </c>
    </row>
    <row r="784" customFormat="false" ht="15" hidden="false" customHeight="true" outlineLevel="0" collapsed="false">
      <c r="A784" s="3" t="s">
        <v>743</v>
      </c>
      <c r="B784" s="3" t="s">
        <v>643</v>
      </c>
      <c r="C784" s="3" t="s">
        <v>744</v>
      </c>
      <c r="M784" s="23"/>
      <c r="N784" s="23"/>
      <c r="O784" s="23"/>
    </row>
    <row r="785" customFormat="false" ht="24" hidden="false" customHeight="true" outlineLevel="0" collapsed="false">
      <c r="C785" s="26" t="s">
        <v>745</v>
      </c>
      <c r="M785" s="23"/>
      <c r="N785" s="23"/>
      <c r="O785" s="23"/>
    </row>
    <row r="786" customFormat="false" ht="15" hidden="false" customHeight="true" outlineLevel="0" collapsed="false">
      <c r="C786" s="27" t="s">
        <v>739</v>
      </c>
      <c r="D786" s="28" t="n">
        <v>1</v>
      </c>
      <c r="H786" s="29" t="n">
        <f aca="false">IF(COUNT(D786:G786)=0,0,D786*IF(E786="",1,E786)*IF(F786="",1,F786)*IF(G786="",1,G786))</f>
        <v>1</v>
      </c>
      <c r="M786" s="23"/>
      <c r="N786" s="23"/>
      <c r="O786" s="23"/>
    </row>
    <row r="787" customFormat="false" ht="15" hidden="false" customHeight="true" outlineLevel="0" collapsed="false">
      <c r="H787" s="30"/>
      <c r="I787" s="31" t="n">
        <f aca="false">ROUND(SUM(H786:H786),2)</f>
        <v>1</v>
      </c>
      <c r="J787" s="32" t="n">
        <v>80.8</v>
      </c>
      <c r="K787" s="31" t="n">
        <f aca="false">ROUND(I787*J787,2)</f>
        <v>80.8</v>
      </c>
      <c r="L787" s="33" t="s">
        <v>212</v>
      </c>
      <c r="M787" s="23" t="s">
        <v>123</v>
      </c>
      <c r="N787" s="23" t="s">
        <v>54</v>
      </c>
      <c r="O787" s="23" t="s">
        <v>730</v>
      </c>
    </row>
    <row r="788" customFormat="false" ht="15" hidden="false" customHeight="true" outlineLevel="0" collapsed="false">
      <c r="A788" s="3" t="s">
        <v>746</v>
      </c>
      <c r="B788" s="3" t="s">
        <v>643</v>
      </c>
      <c r="C788" s="3" t="s">
        <v>747</v>
      </c>
      <c r="M788" s="23"/>
      <c r="N788" s="23"/>
      <c r="O788" s="23"/>
    </row>
    <row r="789" customFormat="false" ht="36" hidden="false" customHeight="true" outlineLevel="0" collapsed="false">
      <c r="C789" s="26" t="s">
        <v>748</v>
      </c>
      <c r="M789" s="23"/>
      <c r="N789" s="23"/>
      <c r="O789" s="23"/>
    </row>
    <row r="790" customFormat="false" ht="15" hidden="false" customHeight="true" outlineLevel="0" collapsed="false">
      <c r="C790" s="27" t="s">
        <v>739</v>
      </c>
      <c r="D790" s="28" t="n">
        <v>1</v>
      </c>
      <c r="H790" s="29" t="n">
        <f aca="false">IF(COUNT(D790:G790)=0,0,D790*IF(E790="",1,E790)*IF(F790="",1,F790)*IF(G790="",1,G790))</f>
        <v>1</v>
      </c>
      <c r="M790" s="23"/>
      <c r="N790" s="23"/>
      <c r="O790" s="23"/>
    </row>
    <row r="791" customFormat="false" ht="15" hidden="false" customHeight="true" outlineLevel="0" collapsed="false">
      <c r="H791" s="30"/>
      <c r="I791" s="31" t="n">
        <f aca="false">ROUND(SUM(H790:H790),2)</f>
        <v>1</v>
      </c>
      <c r="J791" s="32" t="n">
        <v>239.51</v>
      </c>
      <c r="K791" s="31" t="n">
        <f aca="false">ROUND(I791*J791,2)</f>
        <v>239.51</v>
      </c>
      <c r="L791" s="33" t="s">
        <v>212</v>
      </c>
      <c r="M791" s="23" t="s">
        <v>123</v>
      </c>
      <c r="N791" s="23" t="s">
        <v>54</v>
      </c>
      <c r="O791" s="23" t="s">
        <v>730</v>
      </c>
    </row>
    <row r="792" customFormat="false" ht="15" hidden="false" customHeight="true" outlineLevel="0" collapsed="false">
      <c r="A792" s="3" t="s">
        <v>749</v>
      </c>
      <c r="B792" s="3" t="s">
        <v>643</v>
      </c>
      <c r="C792" s="3" t="s">
        <v>750</v>
      </c>
      <c r="M792" s="23"/>
      <c r="N792" s="23"/>
      <c r="O792" s="23"/>
    </row>
    <row r="793" customFormat="false" ht="12" hidden="false" customHeight="true" outlineLevel="0" collapsed="false">
      <c r="C793" s="26" t="s">
        <v>751</v>
      </c>
      <c r="M793" s="23"/>
      <c r="N793" s="23"/>
      <c r="O793" s="23"/>
    </row>
    <row r="794" customFormat="false" ht="15" hidden="false" customHeight="true" outlineLevel="0" collapsed="false">
      <c r="C794" s="27" t="s">
        <v>739</v>
      </c>
      <c r="D794" s="28" t="n">
        <v>1</v>
      </c>
      <c r="H794" s="29" t="n">
        <f aca="false">IF(COUNT(D794:G794)=0,0,D794*IF(E794="",1,E794)*IF(F794="",1,F794)*IF(G794="",1,G794))</f>
        <v>1</v>
      </c>
      <c r="M794" s="23"/>
      <c r="N794" s="23"/>
      <c r="O794" s="23"/>
    </row>
    <row r="795" customFormat="false" ht="15" hidden="false" customHeight="true" outlineLevel="0" collapsed="false">
      <c r="H795" s="30"/>
      <c r="I795" s="31" t="n">
        <f aca="false">ROUND(SUM(H794:H794),2)</f>
        <v>1</v>
      </c>
      <c r="J795" s="32" t="n">
        <v>33.06</v>
      </c>
      <c r="K795" s="31" t="n">
        <f aca="false">ROUND(I795*J795,2)</f>
        <v>33.06</v>
      </c>
      <c r="L795" s="33" t="s">
        <v>212</v>
      </c>
      <c r="M795" s="23" t="s">
        <v>123</v>
      </c>
      <c r="N795" s="23" t="s">
        <v>54</v>
      </c>
      <c r="O795" s="23" t="s">
        <v>730</v>
      </c>
    </row>
    <row r="796" customFormat="false" ht="15" hidden="false" customHeight="true" outlineLevel="0" collapsed="false">
      <c r="A796" s="3" t="s">
        <v>752</v>
      </c>
      <c r="B796" s="3" t="s">
        <v>643</v>
      </c>
      <c r="C796" s="3" t="s">
        <v>753</v>
      </c>
      <c r="M796" s="23"/>
      <c r="N796" s="23"/>
      <c r="O796" s="23"/>
    </row>
    <row r="797" customFormat="false" ht="240" hidden="false" customHeight="true" outlineLevel="0" collapsed="false">
      <c r="C797" s="26" t="s">
        <v>754</v>
      </c>
      <c r="M797" s="23"/>
      <c r="N797" s="23"/>
      <c r="O797" s="23"/>
    </row>
    <row r="798" customFormat="false" ht="15" hidden="false" customHeight="true" outlineLevel="0" collapsed="false">
      <c r="C798" s="27" t="s">
        <v>739</v>
      </c>
      <c r="D798" s="28" t="n">
        <v>1</v>
      </c>
      <c r="H798" s="29" t="n">
        <f aca="false">IF(COUNT(D798:G798)=0,0,D798*IF(E798="",1,E798)*IF(F798="",1,F798)*IF(G798="",1,G798))</f>
        <v>1</v>
      </c>
      <c r="M798" s="23"/>
      <c r="N798" s="23"/>
      <c r="O798" s="23"/>
    </row>
    <row r="799" customFormat="false" ht="15" hidden="false" customHeight="true" outlineLevel="0" collapsed="false">
      <c r="H799" s="30"/>
      <c r="I799" s="31" t="n">
        <f aca="false">ROUND(SUM(H798:H798),2)</f>
        <v>1</v>
      </c>
      <c r="J799" s="32" t="n">
        <v>257.12</v>
      </c>
      <c r="K799" s="31" t="n">
        <f aca="false">ROUND(I799*J799,2)</f>
        <v>257.12</v>
      </c>
      <c r="L799" s="33" t="s">
        <v>212</v>
      </c>
      <c r="M799" s="23" t="s">
        <v>123</v>
      </c>
      <c r="N799" s="23" t="s">
        <v>54</v>
      </c>
      <c r="O799" s="23" t="s">
        <v>730</v>
      </c>
    </row>
    <row r="800" customFormat="false" ht="15" hidden="false" customHeight="true" outlineLevel="0" collapsed="false">
      <c r="A800" s="3" t="s">
        <v>755</v>
      </c>
      <c r="B800" s="3" t="s">
        <v>643</v>
      </c>
      <c r="C800" s="3" t="s">
        <v>756</v>
      </c>
      <c r="M800" s="23"/>
      <c r="N800" s="23"/>
      <c r="O800" s="23"/>
    </row>
    <row r="801" customFormat="false" ht="72" hidden="false" customHeight="true" outlineLevel="0" collapsed="false">
      <c r="C801" s="26" t="s">
        <v>757</v>
      </c>
      <c r="M801" s="23"/>
      <c r="N801" s="23"/>
      <c r="O801" s="23"/>
    </row>
    <row r="802" customFormat="false" ht="15" hidden="false" customHeight="true" outlineLevel="0" collapsed="false">
      <c r="C802" s="27" t="s">
        <v>739</v>
      </c>
      <c r="D802" s="28" t="n">
        <v>1</v>
      </c>
      <c r="H802" s="29" t="n">
        <f aca="false">IF(COUNT(D802:G802)=0,0,D802*IF(E802="",1,E802)*IF(F802="",1,F802)*IF(G802="",1,G802))</f>
        <v>1</v>
      </c>
      <c r="M802" s="23"/>
      <c r="N802" s="23"/>
      <c r="O802" s="23"/>
    </row>
    <row r="803" customFormat="false" ht="15" hidden="false" customHeight="true" outlineLevel="0" collapsed="false">
      <c r="H803" s="30"/>
      <c r="I803" s="31" t="n">
        <f aca="false">ROUND(SUM(H802:H802),2)</f>
        <v>1</v>
      </c>
      <c r="J803" s="32" t="n">
        <v>165.3</v>
      </c>
      <c r="K803" s="31" t="n">
        <f aca="false">ROUND(I803*J803,2)</f>
        <v>165.3</v>
      </c>
      <c r="L803" s="33" t="s">
        <v>212</v>
      </c>
      <c r="M803" s="23" t="s">
        <v>123</v>
      </c>
      <c r="N803" s="23" t="s">
        <v>54</v>
      </c>
      <c r="O803" s="23" t="s">
        <v>730</v>
      </c>
    </row>
    <row r="804" customFormat="false" ht="15" hidden="false" customHeight="true" outlineLevel="0" collapsed="false">
      <c r="A804" s="3" t="s">
        <v>758</v>
      </c>
      <c r="B804" s="3" t="s">
        <v>643</v>
      </c>
      <c r="C804" s="3" t="s">
        <v>759</v>
      </c>
      <c r="M804" s="23"/>
      <c r="N804" s="23"/>
      <c r="O804" s="23"/>
    </row>
    <row r="805" customFormat="false" ht="48" hidden="false" customHeight="true" outlineLevel="0" collapsed="false">
      <c r="C805" s="26" t="s">
        <v>760</v>
      </c>
      <c r="M805" s="23"/>
      <c r="N805" s="23"/>
      <c r="O805" s="23"/>
    </row>
    <row r="806" customFormat="false" ht="15" hidden="false" customHeight="true" outlineLevel="0" collapsed="false">
      <c r="C806" s="27" t="s">
        <v>739</v>
      </c>
      <c r="D806" s="28" t="n">
        <v>1</v>
      </c>
      <c r="H806" s="29" t="n">
        <f aca="false">IF(COUNT(D806:G806)=0,0,D806*IF(E806="",1,E806)*IF(F806="",1,F806)*IF(G806="",1,G806))</f>
        <v>1</v>
      </c>
      <c r="M806" s="23"/>
      <c r="N806" s="23"/>
      <c r="O806" s="23"/>
    </row>
    <row r="807" customFormat="false" ht="15" hidden="false" customHeight="true" outlineLevel="0" collapsed="false">
      <c r="H807" s="30"/>
      <c r="I807" s="31" t="n">
        <f aca="false">ROUND(SUM(H806:H806),2)</f>
        <v>1</v>
      </c>
      <c r="J807" s="32" t="n">
        <v>190.27</v>
      </c>
      <c r="K807" s="31" t="n">
        <f aca="false">ROUND(I807*J807,2)</f>
        <v>190.27</v>
      </c>
      <c r="L807" s="33" t="s">
        <v>212</v>
      </c>
      <c r="M807" s="23" t="s">
        <v>123</v>
      </c>
      <c r="N807" s="23" t="s">
        <v>54</v>
      </c>
      <c r="O807" s="23" t="s">
        <v>730</v>
      </c>
    </row>
    <row r="808" customFormat="false" ht="15" hidden="false" customHeight="true" outlineLevel="0" collapsed="false">
      <c r="A808" s="3" t="s">
        <v>761</v>
      </c>
      <c r="B808" s="3" t="s">
        <v>643</v>
      </c>
      <c r="C808" s="3" t="s">
        <v>762</v>
      </c>
      <c r="M808" s="23"/>
      <c r="N808" s="23"/>
      <c r="O808" s="23"/>
    </row>
    <row r="809" customFormat="false" ht="48" hidden="false" customHeight="true" outlineLevel="0" collapsed="false">
      <c r="C809" s="26" t="s">
        <v>763</v>
      </c>
      <c r="M809" s="23"/>
      <c r="N809" s="23"/>
      <c r="O809" s="23"/>
    </row>
    <row r="810" customFormat="false" ht="15" hidden="false" customHeight="true" outlineLevel="0" collapsed="false">
      <c r="C810" s="27" t="s">
        <v>739</v>
      </c>
      <c r="D810" s="28" t="n">
        <v>1</v>
      </c>
      <c r="H810" s="29" t="n">
        <f aca="false">IF(COUNT(D810:G810)=0,0,D810*IF(E810="",1,E810)*IF(F810="",1,F810)*IF(G810="",1,G810))</f>
        <v>1</v>
      </c>
      <c r="M810" s="23"/>
      <c r="N810" s="23"/>
      <c r="O810" s="23"/>
    </row>
    <row r="811" customFormat="false" ht="15" hidden="false" customHeight="true" outlineLevel="0" collapsed="false">
      <c r="H811" s="30"/>
      <c r="I811" s="31" t="n">
        <f aca="false">ROUND(SUM(H810:H810),2)</f>
        <v>1</v>
      </c>
      <c r="J811" s="32" t="n">
        <v>238.88</v>
      </c>
      <c r="K811" s="31" t="n">
        <f aca="false">ROUND(I811*J811,2)</f>
        <v>238.88</v>
      </c>
      <c r="L811" s="33" t="s">
        <v>212</v>
      </c>
      <c r="M811" s="23" t="s">
        <v>123</v>
      </c>
      <c r="N811" s="23" t="s">
        <v>54</v>
      </c>
      <c r="O811" s="23" t="s">
        <v>730</v>
      </c>
    </row>
    <row r="812" customFormat="false" ht="15" hidden="false" customHeight="true" outlineLevel="0" collapsed="false">
      <c r="A812" s="3" t="s">
        <v>764</v>
      </c>
      <c r="B812" s="3" t="s">
        <v>643</v>
      </c>
      <c r="C812" s="3" t="s">
        <v>765</v>
      </c>
      <c r="M812" s="23"/>
      <c r="N812" s="23"/>
      <c r="O812" s="23"/>
    </row>
    <row r="813" customFormat="false" ht="24" hidden="false" customHeight="true" outlineLevel="0" collapsed="false">
      <c r="C813" s="26" t="s">
        <v>766</v>
      </c>
      <c r="M813" s="23"/>
      <c r="N813" s="23"/>
      <c r="O813" s="23"/>
    </row>
    <row r="814" customFormat="false" ht="15" hidden="false" customHeight="true" outlineLevel="0" collapsed="false">
      <c r="C814" s="27" t="s">
        <v>739</v>
      </c>
      <c r="D814" s="28" t="n">
        <v>1</v>
      </c>
      <c r="H814" s="29" t="n">
        <f aca="false">IF(COUNT(D814:G814)=0,0,D814*IF(E814="",1,E814)*IF(F814="",1,F814)*IF(G814="",1,G814))</f>
        <v>1</v>
      </c>
      <c r="M814" s="23"/>
      <c r="N814" s="23"/>
      <c r="O814" s="23"/>
    </row>
    <row r="815" customFormat="false" ht="15" hidden="false" customHeight="true" outlineLevel="0" collapsed="false">
      <c r="H815" s="30"/>
      <c r="I815" s="31" t="n">
        <f aca="false">ROUND(SUM(H814:H814),2)</f>
        <v>1</v>
      </c>
      <c r="J815" s="32" t="n">
        <v>130.14</v>
      </c>
      <c r="K815" s="31" t="n">
        <f aca="false">ROUND(I815*J815,2)</f>
        <v>130.14</v>
      </c>
      <c r="L815" s="33" t="s">
        <v>212</v>
      </c>
      <c r="M815" s="23" t="s">
        <v>123</v>
      </c>
      <c r="N815" s="23" t="s">
        <v>54</v>
      </c>
      <c r="O815" s="23" t="s">
        <v>730</v>
      </c>
    </row>
    <row r="816" customFormat="false" ht="15" hidden="false" customHeight="true" outlineLevel="0" collapsed="false">
      <c r="A816" s="3" t="s">
        <v>767</v>
      </c>
      <c r="B816" s="3" t="s">
        <v>643</v>
      </c>
      <c r="C816" s="3" t="s">
        <v>768</v>
      </c>
      <c r="M816" s="23"/>
      <c r="N816" s="23"/>
      <c r="O816" s="23"/>
    </row>
    <row r="817" customFormat="false" ht="24" hidden="false" customHeight="true" outlineLevel="0" collapsed="false">
      <c r="C817" s="26" t="s">
        <v>769</v>
      </c>
      <c r="M817" s="23"/>
      <c r="N817" s="23"/>
      <c r="O817" s="23"/>
    </row>
    <row r="818" customFormat="false" ht="15" hidden="false" customHeight="true" outlineLevel="0" collapsed="false">
      <c r="C818" s="27" t="s">
        <v>739</v>
      </c>
      <c r="D818" s="28" t="n">
        <v>1</v>
      </c>
      <c r="H818" s="29" t="n">
        <f aca="false">IF(COUNT(D818:G818)=0,0,D818*IF(E818="",1,E818)*IF(F818="",1,F818)*IF(G818="",1,G818))</f>
        <v>1</v>
      </c>
      <c r="M818" s="23"/>
      <c r="N818" s="23"/>
      <c r="O818" s="23"/>
    </row>
    <row r="819" customFormat="false" ht="15" hidden="false" customHeight="true" outlineLevel="0" collapsed="false">
      <c r="H819" s="30"/>
      <c r="I819" s="31" t="n">
        <f aca="false">ROUND(SUM(H818:H818),2)</f>
        <v>1</v>
      </c>
      <c r="J819" s="32" t="n">
        <v>140.49</v>
      </c>
      <c r="K819" s="31" t="n">
        <f aca="false">ROUND(I819*J819,2)</f>
        <v>140.49</v>
      </c>
      <c r="L819" s="33" t="s">
        <v>212</v>
      </c>
      <c r="M819" s="23" t="s">
        <v>123</v>
      </c>
      <c r="N819" s="23" t="s">
        <v>54</v>
      </c>
      <c r="O819" s="23" t="s">
        <v>730</v>
      </c>
    </row>
    <row r="820" customFormat="false" ht="15" hidden="false" customHeight="true" outlineLevel="0" collapsed="false">
      <c r="A820" s="3" t="s">
        <v>770</v>
      </c>
      <c r="B820" s="3" t="s">
        <v>650</v>
      </c>
      <c r="C820" s="3" t="s">
        <v>771</v>
      </c>
      <c r="M820" s="23"/>
      <c r="N820" s="23"/>
      <c r="O820" s="23"/>
    </row>
    <row r="821" customFormat="false" ht="96" hidden="false" customHeight="true" outlineLevel="0" collapsed="false">
      <c r="C821" s="26" t="s">
        <v>772</v>
      </c>
      <c r="M821" s="23"/>
      <c r="N821" s="23"/>
      <c r="O821" s="23"/>
    </row>
    <row r="822" customFormat="false" ht="15" hidden="false" customHeight="true" outlineLevel="0" collapsed="false">
      <c r="C822" s="27" t="s">
        <v>739</v>
      </c>
      <c r="D822" s="28" t="n">
        <v>23</v>
      </c>
      <c r="H822" s="29" t="n">
        <f aca="false">IF(COUNT(D822:G822)=0,0,D822*IF(E822="",1,E822)*IF(F822="",1,F822)*IF(G822="",1,G822))</f>
        <v>23</v>
      </c>
      <c r="M822" s="23"/>
      <c r="N822" s="23"/>
      <c r="O822" s="23"/>
    </row>
    <row r="823" customFormat="false" ht="15" hidden="false" customHeight="true" outlineLevel="0" collapsed="false">
      <c r="H823" s="30"/>
      <c r="I823" s="31" t="n">
        <f aca="false">ROUND(SUM(H822:H822),2)</f>
        <v>23</v>
      </c>
      <c r="J823" s="32" t="n">
        <v>5.51</v>
      </c>
      <c r="K823" s="31" t="n">
        <f aca="false">ROUND(I823*J823,2)</f>
        <v>126.73</v>
      </c>
      <c r="L823" s="33" t="s">
        <v>212</v>
      </c>
      <c r="M823" s="23" t="s">
        <v>123</v>
      </c>
      <c r="N823" s="23" t="s">
        <v>54</v>
      </c>
      <c r="O823" s="23" t="s">
        <v>730</v>
      </c>
    </row>
    <row r="824" customFormat="false" ht="15" hidden="false" customHeight="true" outlineLevel="0" collapsed="false">
      <c r="A824" s="3" t="s">
        <v>773</v>
      </c>
      <c r="B824" s="3" t="s">
        <v>643</v>
      </c>
      <c r="C824" s="3" t="s">
        <v>774</v>
      </c>
      <c r="M824" s="23"/>
      <c r="N824" s="23"/>
      <c r="O824" s="23"/>
    </row>
    <row r="825" customFormat="false" ht="36" hidden="false" customHeight="true" outlineLevel="0" collapsed="false">
      <c r="C825" s="26" t="s">
        <v>775</v>
      </c>
      <c r="M825" s="23"/>
      <c r="N825" s="23"/>
      <c r="O825" s="23"/>
    </row>
    <row r="826" customFormat="false" ht="15" hidden="false" customHeight="true" outlineLevel="0" collapsed="false">
      <c r="C826" s="27" t="s">
        <v>739</v>
      </c>
      <c r="D826" s="28" t="n">
        <v>1</v>
      </c>
      <c r="H826" s="29" t="n">
        <f aca="false">IF(COUNT(D826:G826)=0,0,D826*IF(E826="",1,E826)*IF(F826="",1,F826)*IF(G826="",1,G826))</f>
        <v>1</v>
      </c>
      <c r="M826" s="23"/>
      <c r="N826" s="23"/>
      <c r="O826" s="23"/>
    </row>
    <row r="827" customFormat="false" ht="15" hidden="false" customHeight="true" outlineLevel="0" collapsed="false">
      <c r="H827" s="30"/>
      <c r="I827" s="31" t="n">
        <f aca="false">ROUND(SUM(H826:H826),2)</f>
        <v>1</v>
      </c>
      <c r="J827" s="32" t="n">
        <v>142.75</v>
      </c>
      <c r="K827" s="31" t="n">
        <f aca="false">ROUND(I827*J827,2)</f>
        <v>142.75</v>
      </c>
      <c r="L827" s="33" t="s">
        <v>212</v>
      </c>
      <c r="M827" s="23" t="s">
        <v>123</v>
      </c>
      <c r="N827" s="23" t="s">
        <v>54</v>
      </c>
      <c r="O827" s="23" t="s">
        <v>730</v>
      </c>
    </row>
    <row r="828" customFormat="false" ht="15" hidden="false" customHeight="true" outlineLevel="0" collapsed="false">
      <c r="A828" s="3" t="s">
        <v>776</v>
      </c>
      <c r="B828" s="3" t="s">
        <v>643</v>
      </c>
      <c r="C828" s="3" t="s">
        <v>777</v>
      </c>
      <c r="M828" s="23"/>
      <c r="N828" s="23"/>
      <c r="O828" s="23"/>
    </row>
    <row r="829" customFormat="false" ht="24" hidden="false" customHeight="true" outlineLevel="0" collapsed="false">
      <c r="C829" s="26" t="s">
        <v>778</v>
      </c>
      <c r="M829" s="23"/>
      <c r="N829" s="23"/>
      <c r="O829" s="23"/>
    </row>
    <row r="830" customFormat="false" ht="15" hidden="false" customHeight="true" outlineLevel="0" collapsed="false">
      <c r="C830" s="27" t="s">
        <v>739</v>
      </c>
      <c r="D830" s="28" t="n">
        <v>1</v>
      </c>
      <c r="H830" s="29" t="n">
        <f aca="false">IF(COUNT(D830:G830)=0,0,D830*IF(E830="",1,E830)*IF(F830="",1,F830)*IF(G830="",1,G830))</f>
        <v>1</v>
      </c>
      <c r="M830" s="23"/>
      <c r="N830" s="23"/>
      <c r="O830" s="23"/>
    </row>
    <row r="831" customFormat="false" ht="15" hidden="false" customHeight="true" outlineLevel="0" collapsed="false">
      <c r="H831" s="30"/>
      <c r="I831" s="31" t="n">
        <f aca="false">ROUND(SUM(H830:H830),2)</f>
        <v>1</v>
      </c>
      <c r="J831" s="32" t="n">
        <v>135.9</v>
      </c>
      <c r="K831" s="31" t="n">
        <f aca="false">ROUND(I831*J831,2)</f>
        <v>135.9</v>
      </c>
      <c r="L831" s="33" t="s">
        <v>212</v>
      </c>
      <c r="M831" s="23" t="s">
        <v>123</v>
      </c>
      <c r="N831" s="23" t="s">
        <v>54</v>
      </c>
      <c r="O831" s="23" t="s">
        <v>730</v>
      </c>
    </row>
    <row r="832" customFormat="false" ht="15" hidden="false" customHeight="true" outlineLevel="0" collapsed="false">
      <c r="A832" s="3" t="s">
        <v>779</v>
      </c>
      <c r="B832" s="3" t="s">
        <v>643</v>
      </c>
      <c r="C832" s="3" t="s">
        <v>780</v>
      </c>
      <c r="M832" s="23"/>
      <c r="N832" s="23"/>
      <c r="O832" s="23"/>
    </row>
    <row r="833" customFormat="false" ht="24" hidden="false" customHeight="true" outlineLevel="0" collapsed="false">
      <c r="C833" s="26" t="s">
        <v>781</v>
      </c>
      <c r="M833" s="23"/>
      <c r="N833" s="23"/>
      <c r="O833" s="23"/>
    </row>
    <row r="834" customFormat="false" ht="15" hidden="false" customHeight="true" outlineLevel="0" collapsed="false">
      <c r="C834" s="27" t="s">
        <v>739</v>
      </c>
      <c r="D834" s="28" t="n">
        <v>1</v>
      </c>
      <c r="H834" s="29" t="n">
        <f aca="false">IF(COUNT(D834:G834)=0,0,D834*IF(E834="",1,E834)*IF(F834="",1,F834)*IF(G834="",1,G834))</f>
        <v>1</v>
      </c>
      <c r="M834" s="23"/>
      <c r="N834" s="23"/>
      <c r="O834" s="23"/>
    </row>
    <row r="835" customFormat="false" ht="15" hidden="false" customHeight="true" outlineLevel="0" collapsed="false">
      <c r="H835" s="30"/>
      <c r="I835" s="31" t="n">
        <f aca="false">ROUND(SUM(H834:H834),2)</f>
        <v>1</v>
      </c>
      <c r="J835" s="32" t="n">
        <v>135.9</v>
      </c>
      <c r="K835" s="31" t="n">
        <f aca="false">ROUND(I835*J835,2)</f>
        <v>135.9</v>
      </c>
      <c r="L835" s="33" t="s">
        <v>212</v>
      </c>
      <c r="M835" s="23" t="s">
        <v>123</v>
      </c>
      <c r="N835" s="23" t="s">
        <v>54</v>
      </c>
      <c r="O835" s="23" t="s">
        <v>730</v>
      </c>
    </row>
    <row r="836" customFormat="false" ht="15" hidden="false" customHeight="true" outlineLevel="0" collapsed="false">
      <c r="A836" s="3" t="s">
        <v>782</v>
      </c>
      <c r="B836" s="3" t="s">
        <v>117</v>
      </c>
      <c r="C836" s="3" t="s">
        <v>783</v>
      </c>
      <c r="M836" s="23"/>
      <c r="N836" s="23"/>
      <c r="O836" s="23"/>
    </row>
    <row r="837" customFormat="false" ht="36" hidden="false" customHeight="true" outlineLevel="0" collapsed="false">
      <c r="C837" s="26" t="s">
        <v>784</v>
      </c>
      <c r="M837" s="23"/>
      <c r="N837" s="23"/>
      <c r="O837" s="23"/>
    </row>
    <row r="838" customFormat="false" ht="15" hidden="false" customHeight="true" outlineLevel="0" collapsed="false">
      <c r="C838" s="27" t="s">
        <v>785</v>
      </c>
      <c r="D838" s="28" t="n">
        <v>1</v>
      </c>
      <c r="E838" s="28" t="n">
        <v>176</v>
      </c>
      <c r="H838" s="29" t="n">
        <f aca="false">IF(COUNT(D838:G838)=0,0,D838*IF(E838="",1,E838)*IF(F838="",1,F838)*IF(G838="",1,G838))</f>
        <v>176</v>
      </c>
      <c r="M838" s="23"/>
      <c r="N838" s="23"/>
      <c r="O838" s="23"/>
    </row>
    <row r="839" customFormat="false" ht="15" hidden="false" customHeight="true" outlineLevel="0" collapsed="false">
      <c r="C839" s="27" t="s">
        <v>786</v>
      </c>
      <c r="D839" s="28" t="n">
        <v>1</v>
      </c>
      <c r="E839" s="28" t="n">
        <v>12.3</v>
      </c>
      <c r="H839" s="29" t="n">
        <f aca="false">IF(COUNT(D839:G839)=0,0,D839*IF(E839="",1,E839)*IF(F839="",1,F839)*IF(G839="",1,G839))</f>
        <v>12.3</v>
      </c>
      <c r="M839" s="23"/>
      <c r="N839" s="23"/>
      <c r="O839" s="23"/>
    </row>
    <row r="840" customFormat="false" ht="15" hidden="false" customHeight="true" outlineLevel="0" collapsed="false">
      <c r="H840" s="30"/>
      <c r="I840" s="31" t="n">
        <f aca="false">ROUND(SUM(H838:H839),2)</f>
        <v>188.3</v>
      </c>
      <c r="J840" s="32" t="n">
        <v>24.21</v>
      </c>
      <c r="K840" s="31" t="n">
        <f aca="false">ROUND(I840*J840,2)</f>
        <v>4558.74</v>
      </c>
      <c r="L840" s="33" t="s">
        <v>212</v>
      </c>
      <c r="M840" s="23" t="s">
        <v>123</v>
      </c>
      <c r="N840" s="23" t="s">
        <v>54</v>
      </c>
      <c r="O840" s="23" t="s">
        <v>730</v>
      </c>
    </row>
    <row r="841" customFormat="false" ht="15" hidden="false" customHeight="true" outlineLevel="0" collapsed="false">
      <c r="A841" s="3" t="s">
        <v>787</v>
      </c>
      <c r="B841" s="3" t="s">
        <v>129</v>
      </c>
      <c r="C841" s="3" t="s">
        <v>788</v>
      </c>
      <c r="M841" s="23"/>
      <c r="N841" s="23"/>
      <c r="O841" s="23"/>
    </row>
    <row r="842" customFormat="false" ht="24" hidden="false" customHeight="true" outlineLevel="0" collapsed="false">
      <c r="C842" s="26" t="s">
        <v>789</v>
      </c>
      <c r="M842" s="23"/>
      <c r="N842" s="23"/>
      <c r="O842" s="23"/>
    </row>
    <row r="843" customFormat="false" ht="15" hidden="false" customHeight="true" outlineLevel="0" collapsed="false">
      <c r="C843" s="27" t="s">
        <v>790</v>
      </c>
      <c r="D843" s="28" t="n">
        <v>3</v>
      </c>
      <c r="H843" s="29" t="n">
        <f aca="false">IF(COUNT(D843:G843)=0,0,D843*IF(E843="",1,E843)*IF(F843="",1,F843)*IF(G843="",1,G843))</f>
        <v>3</v>
      </c>
      <c r="M843" s="23"/>
      <c r="N843" s="23"/>
      <c r="O843" s="23"/>
    </row>
    <row r="844" customFormat="false" ht="18.75" hidden="false" customHeight="true" outlineLevel="0" collapsed="false">
      <c r="H844" s="30"/>
      <c r="I844" s="31" t="n">
        <f aca="false">ROUND(SUM(H843:H843),2)</f>
        <v>3</v>
      </c>
      <c r="J844" s="32" t="n">
        <v>520</v>
      </c>
      <c r="K844" s="31" t="n">
        <f aca="false">ROUND(I844*J844,2)</f>
        <v>1560</v>
      </c>
      <c r="L844" s="33" t="s">
        <v>238</v>
      </c>
      <c r="M844" s="23" t="s">
        <v>123</v>
      </c>
      <c r="N844" s="23" t="s">
        <v>54</v>
      </c>
      <c r="O844" s="23" t="s">
        <v>730</v>
      </c>
    </row>
    <row r="845" customFormat="false" ht="15" hidden="false" customHeight="true" outlineLevel="0" collapsed="false">
      <c r="A845" s="3" t="s">
        <v>791</v>
      </c>
      <c r="B845" s="3" t="s">
        <v>643</v>
      </c>
      <c r="C845" s="3" t="s">
        <v>792</v>
      </c>
      <c r="M845" s="23"/>
      <c r="N845" s="23"/>
      <c r="O845" s="23"/>
    </row>
    <row r="846" customFormat="false" ht="12" hidden="false" customHeight="true" outlineLevel="0" collapsed="false">
      <c r="C846" s="26" t="s">
        <v>793</v>
      </c>
      <c r="M846" s="23"/>
      <c r="N846" s="23"/>
      <c r="O846" s="23"/>
    </row>
    <row r="847" customFormat="false" ht="15" hidden="false" customHeight="true" outlineLevel="0" collapsed="false">
      <c r="C847" s="27" t="s">
        <v>794</v>
      </c>
      <c r="D847" s="28" t="n">
        <v>6</v>
      </c>
      <c r="H847" s="29" t="n">
        <f aca="false">IF(COUNT(D847:G847)=0,0,D847*IF(E847="",1,E847)*IF(F847="",1,F847)*IF(G847="",1,G847))</f>
        <v>6</v>
      </c>
      <c r="M847" s="23"/>
      <c r="N847" s="23"/>
      <c r="O847" s="23"/>
    </row>
    <row r="848" customFormat="false" ht="15" hidden="false" customHeight="true" outlineLevel="0" collapsed="false">
      <c r="H848" s="30"/>
      <c r="I848" s="31" t="n">
        <f aca="false">ROUND(SUM(H847:H847),2)</f>
        <v>6</v>
      </c>
      <c r="J848" s="32" t="n">
        <v>80.8</v>
      </c>
      <c r="K848" s="31" t="n">
        <f aca="false">ROUND(I848*J848,2)</f>
        <v>484.8</v>
      </c>
      <c r="L848" s="33" t="s">
        <v>212</v>
      </c>
      <c r="M848" s="23" t="s">
        <v>123</v>
      </c>
      <c r="N848" s="23" t="s">
        <v>54</v>
      </c>
      <c r="O848" s="23" t="s">
        <v>730</v>
      </c>
    </row>
    <row r="849" customFormat="false" ht="15" hidden="false" customHeight="true" outlineLevel="0" collapsed="false">
      <c r="A849" s="3" t="s">
        <v>795</v>
      </c>
      <c r="B849" s="3" t="s">
        <v>643</v>
      </c>
      <c r="C849" s="3" t="s">
        <v>796</v>
      </c>
      <c r="M849" s="23"/>
      <c r="N849" s="23"/>
      <c r="O849" s="23"/>
    </row>
    <row r="850" customFormat="false" ht="48" hidden="false" customHeight="true" outlineLevel="0" collapsed="false">
      <c r="C850" s="26" t="s">
        <v>797</v>
      </c>
      <c r="M850" s="23"/>
      <c r="N850" s="23"/>
      <c r="O850" s="23"/>
    </row>
    <row r="851" customFormat="false" ht="15" hidden="false" customHeight="true" outlineLevel="0" collapsed="false">
      <c r="C851" s="27" t="s">
        <v>132</v>
      </c>
      <c r="D851" s="28" t="n">
        <v>1</v>
      </c>
      <c r="H851" s="29" t="n">
        <f aca="false">IF(COUNT(D851:G851)=0,0,D851*IF(E851="",1,E851)*IF(F851="",1,F851)*IF(G851="",1,G851))</f>
        <v>1</v>
      </c>
      <c r="M851" s="23"/>
      <c r="N851" s="23"/>
      <c r="O851" s="23"/>
    </row>
    <row r="852" customFormat="false" ht="15" hidden="false" customHeight="true" outlineLevel="0" collapsed="false">
      <c r="H852" s="30"/>
      <c r="I852" s="31" t="n">
        <f aca="false">ROUND(SUM(H851:H851),2)</f>
        <v>1</v>
      </c>
      <c r="J852" s="32" t="n">
        <v>33.06</v>
      </c>
      <c r="K852" s="31" t="n">
        <f aca="false">ROUND(I852*J852,2)</f>
        <v>33.06</v>
      </c>
      <c r="L852" s="33" t="s">
        <v>212</v>
      </c>
      <c r="M852" s="23" t="s">
        <v>123</v>
      </c>
      <c r="N852" s="23" t="s">
        <v>54</v>
      </c>
      <c r="O852" s="23" t="s">
        <v>730</v>
      </c>
    </row>
    <row r="853" customFormat="false" ht="15" hidden="false" customHeight="true" outlineLevel="0" collapsed="false">
      <c r="A853" s="3" t="s">
        <v>798</v>
      </c>
      <c r="C853" s="3" t="s">
        <v>799</v>
      </c>
      <c r="M853" s="23" t="s">
        <v>291</v>
      </c>
      <c r="N853" s="23" t="s">
        <v>54</v>
      </c>
      <c r="O853" s="23" t="s">
        <v>798</v>
      </c>
    </row>
    <row r="854" customFormat="false" ht="15" hidden="false" customHeight="true" outlineLevel="0" collapsed="false">
      <c r="A854" s="3" t="s">
        <v>800</v>
      </c>
      <c r="B854" s="3" t="s">
        <v>129</v>
      </c>
      <c r="C854" s="3" t="s">
        <v>801</v>
      </c>
      <c r="M854" s="23"/>
      <c r="N854" s="23"/>
      <c r="O854" s="23"/>
    </row>
    <row r="855" customFormat="false" ht="24" hidden="false" customHeight="true" outlineLevel="0" collapsed="false">
      <c r="C855" s="26" t="s">
        <v>802</v>
      </c>
      <c r="M855" s="23"/>
      <c r="N855" s="23"/>
      <c r="O855" s="23"/>
    </row>
    <row r="856" customFormat="false" ht="15" hidden="false" customHeight="true" outlineLevel="0" collapsed="false">
      <c r="C856" s="27" t="s">
        <v>803</v>
      </c>
      <c r="D856" s="28" t="n">
        <v>10</v>
      </c>
      <c r="H856" s="29" t="n">
        <f aca="false">IF(COUNT(D856:G856)=0,0,D856*IF(E856="",1,E856)*IF(F856="",1,F856)*IF(G856="",1,G856))</f>
        <v>10</v>
      </c>
      <c r="M856" s="23"/>
      <c r="N856" s="23"/>
      <c r="O856" s="23"/>
    </row>
    <row r="857" customFormat="false" ht="18.75" hidden="false" customHeight="true" outlineLevel="0" collapsed="false">
      <c r="H857" s="30"/>
      <c r="I857" s="31" t="n">
        <f aca="false">ROUND(SUM(H856:H856),2)</f>
        <v>10</v>
      </c>
      <c r="J857" s="32" t="n">
        <v>38</v>
      </c>
      <c r="K857" s="31" t="n">
        <f aca="false">ROUND(I857*J857,2)</f>
        <v>380</v>
      </c>
      <c r="L857" s="33" t="s">
        <v>804</v>
      </c>
      <c r="M857" s="23" t="s">
        <v>123</v>
      </c>
      <c r="N857" s="23" t="s">
        <v>54</v>
      </c>
      <c r="O857" s="23" t="s">
        <v>798</v>
      </c>
    </row>
    <row r="858" customFormat="false" ht="15" hidden="false" customHeight="true" outlineLevel="0" collapsed="false">
      <c r="A858" s="3" t="s">
        <v>805</v>
      </c>
      <c r="B858" s="3" t="s">
        <v>129</v>
      </c>
      <c r="C858" s="3" t="s">
        <v>806</v>
      </c>
      <c r="M858" s="23"/>
      <c r="N858" s="23"/>
      <c r="O858" s="23"/>
    </row>
    <row r="859" customFormat="false" ht="24" hidden="false" customHeight="true" outlineLevel="0" collapsed="false">
      <c r="C859" s="26" t="s">
        <v>807</v>
      </c>
      <c r="M859" s="23"/>
      <c r="N859" s="23"/>
      <c r="O859" s="23"/>
    </row>
    <row r="860" customFormat="false" ht="15" hidden="false" customHeight="true" outlineLevel="0" collapsed="false">
      <c r="C860" s="27" t="s">
        <v>808</v>
      </c>
      <c r="D860" s="28" t="n">
        <v>10</v>
      </c>
      <c r="H860" s="29" t="n">
        <f aca="false">IF(COUNT(D860:G860)=0,0,D860*IF(E860="",1,E860)*IF(F860="",1,F860)*IF(G860="",1,G860))</f>
        <v>10</v>
      </c>
      <c r="M860" s="23"/>
      <c r="N860" s="23"/>
      <c r="O860" s="23"/>
    </row>
    <row r="861" customFormat="false" ht="18.75" hidden="false" customHeight="true" outlineLevel="0" collapsed="false">
      <c r="H861" s="30"/>
      <c r="I861" s="31" t="n">
        <f aca="false">ROUND(SUM(H860:H860),2)</f>
        <v>10</v>
      </c>
      <c r="J861" s="32" t="n">
        <v>265</v>
      </c>
      <c r="K861" s="31" t="n">
        <f aca="false">ROUND(I861*J861,2)</f>
        <v>2650</v>
      </c>
      <c r="L861" s="33" t="s">
        <v>809</v>
      </c>
      <c r="M861" s="23" t="s">
        <v>123</v>
      </c>
      <c r="N861" s="23" t="s">
        <v>54</v>
      </c>
      <c r="O861" s="23" t="s">
        <v>798</v>
      </c>
    </row>
    <row r="862" customFormat="false" ht="15" hidden="false" customHeight="true" outlineLevel="0" collapsed="false">
      <c r="A862" s="3" t="s">
        <v>810</v>
      </c>
      <c r="B862" s="3" t="s">
        <v>129</v>
      </c>
      <c r="C862" s="3" t="s">
        <v>811</v>
      </c>
      <c r="M862" s="23"/>
      <c r="N862" s="23"/>
      <c r="O862" s="23"/>
    </row>
    <row r="863" customFormat="false" ht="24" hidden="false" customHeight="true" outlineLevel="0" collapsed="false">
      <c r="C863" s="26" t="s">
        <v>812</v>
      </c>
      <c r="M863" s="23"/>
      <c r="N863" s="23"/>
      <c r="O863" s="23"/>
    </row>
    <row r="864" customFormat="false" ht="15" hidden="false" customHeight="true" outlineLevel="0" collapsed="false">
      <c r="C864" s="27" t="s">
        <v>813</v>
      </c>
      <c r="D864" s="28" t="n">
        <v>9</v>
      </c>
      <c r="H864" s="29" t="n">
        <f aca="false">IF(COUNT(D864:G864)=0,0,D864*IF(E864="",1,E864)*IF(F864="",1,F864)*IF(G864="",1,G864))</f>
        <v>9</v>
      </c>
      <c r="M864" s="23"/>
      <c r="N864" s="23"/>
      <c r="O864" s="23"/>
    </row>
    <row r="865" customFormat="false" ht="18.75" hidden="false" customHeight="true" outlineLevel="0" collapsed="false">
      <c r="H865" s="30"/>
      <c r="I865" s="31" t="n">
        <f aca="false">ROUND(SUM(H864:H864),2)</f>
        <v>9</v>
      </c>
      <c r="J865" s="32" t="n">
        <v>42</v>
      </c>
      <c r="K865" s="31" t="n">
        <f aca="false">ROUND(I865*J865,2)</f>
        <v>378</v>
      </c>
      <c r="L865" s="33" t="s">
        <v>238</v>
      </c>
      <c r="M865" s="23" t="s">
        <v>123</v>
      </c>
      <c r="N865" s="23" t="s">
        <v>54</v>
      </c>
      <c r="O865" s="23" t="s">
        <v>798</v>
      </c>
    </row>
    <row r="866" customFormat="false" ht="15" hidden="false" customHeight="true" outlineLevel="0" collapsed="false">
      <c r="A866" s="3" t="s">
        <v>814</v>
      </c>
      <c r="B866" s="3" t="s">
        <v>650</v>
      </c>
      <c r="C866" s="3" t="s">
        <v>815</v>
      </c>
      <c r="M866" s="23"/>
      <c r="N866" s="23"/>
      <c r="O866" s="23"/>
    </row>
    <row r="867" customFormat="false" ht="156" hidden="false" customHeight="true" outlineLevel="0" collapsed="false">
      <c r="C867" s="26" t="s">
        <v>816</v>
      </c>
      <c r="M867" s="23"/>
      <c r="N867" s="23"/>
      <c r="O867" s="23"/>
    </row>
    <row r="868" customFormat="false" ht="15" hidden="false" customHeight="true" outlineLevel="0" collapsed="false">
      <c r="C868" s="27" t="s">
        <v>817</v>
      </c>
      <c r="D868" s="28" t="n">
        <v>1</v>
      </c>
      <c r="E868" s="28" t="n">
        <v>20</v>
      </c>
      <c r="H868" s="29" t="n">
        <f aca="false">IF(COUNT(D868:G868)=0,0,D868*IF(E868="",1,E868)*IF(F868="",1,F868)*IF(G868="",1,G868))</f>
        <v>20</v>
      </c>
      <c r="M868" s="23"/>
      <c r="N868" s="23"/>
      <c r="O868" s="23"/>
    </row>
    <row r="869" customFormat="false" ht="15" hidden="false" customHeight="true" outlineLevel="0" collapsed="false">
      <c r="H869" s="30"/>
      <c r="I869" s="31" t="n">
        <f aca="false">ROUND(SUM(H868:H868),2)</f>
        <v>20</v>
      </c>
      <c r="J869" s="32" t="n">
        <v>13.22</v>
      </c>
      <c r="K869" s="31" t="n">
        <f aca="false">ROUND(I869*J869,2)</f>
        <v>264.4</v>
      </c>
      <c r="L869" s="33" t="s">
        <v>212</v>
      </c>
      <c r="M869" s="23" t="s">
        <v>123</v>
      </c>
      <c r="N869" s="23" t="s">
        <v>54</v>
      </c>
      <c r="O869" s="23" t="s">
        <v>798</v>
      </c>
    </row>
    <row r="870" customFormat="false" ht="15" hidden="false" customHeight="true" outlineLevel="0" collapsed="false">
      <c r="A870" s="3" t="s">
        <v>818</v>
      </c>
      <c r="B870" s="3" t="s">
        <v>650</v>
      </c>
      <c r="C870" s="3" t="s">
        <v>819</v>
      </c>
      <c r="M870" s="23"/>
      <c r="N870" s="23"/>
      <c r="O870" s="23"/>
    </row>
    <row r="871" customFormat="false" ht="156" hidden="false" customHeight="true" outlineLevel="0" collapsed="false">
      <c r="C871" s="26" t="s">
        <v>820</v>
      </c>
      <c r="M871" s="23"/>
      <c r="N871" s="23"/>
      <c r="O871" s="23"/>
    </row>
    <row r="872" customFormat="false" ht="15" hidden="false" customHeight="true" outlineLevel="0" collapsed="false">
      <c r="C872" s="27" t="s">
        <v>821</v>
      </c>
      <c r="D872" s="28" t="n">
        <v>1</v>
      </c>
      <c r="E872" s="28" t="n">
        <v>12</v>
      </c>
      <c r="H872" s="29" t="n">
        <f aca="false">IF(COUNT(D872:G872)=0,0,D872*IF(E872="",1,E872)*IF(F872="",1,F872)*IF(G872="",1,G872))</f>
        <v>12</v>
      </c>
      <c r="M872" s="23"/>
      <c r="N872" s="23"/>
      <c r="O872" s="23"/>
    </row>
    <row r="873" customFormat="false" ht="15" hidden="false" customHeight="true" outlineLevel="0" collapsed="false">
      <c r="H873" s="30"/>
      <c r="I873" s="31" t="n">
        <f aca="false">ROUND(SUM(H872:H872),2)</f>
        <v>12</v>
      </c>
      <c r="J873" s="32" t="n">
        <v>16.15</v>
      </c>
      <c r="K873" s="31" t="n">
        <f aca="false">ROUND(I873*J873,2)</f>
        <v>193.8</v>
      </c>
      <c r="L873" s="33" t="s">
        <v>212</v>
      </c>
      <c r="M873" s="23" t="s">
        <v>123</v>
      </c>
      <c r="N873" s="23" t="s">
        <v>54</v>
      </c>
      <c r="O873" s="23" t="s">
        <v>798</v>
      </c>
    </row>
    <row r="874" customFormat="false" ht="15" hidden="false" customHeight="true" outlineLevel="0" collapsed="false">
      <c r="A874" s="3" t="s">
        <v>822</v>
      </c>
      <c r="B874" s="3" t="s">
        <v>643</v>
      </c>
      <c r="C874" s="3" t="s">
        <v>823</v>
      </c>
      <c r="M874" s="23"/>
      <c r="N874" s="23"/>
      <c r="O874" s="23"/>
    </row>
    <row r="875" customFormat="false" ht="96" hidden="false" customHeight="true" outlineLevel="0" collapsed="false">
      <c r="C875" s="26" t="s">
        <v>824</v>
      </c>
      <c r="M875" s="23"/>
      <c r="N875" s="23"/>
      <c r="O875" s="23"/>
    </row>
    <row r="876" customFormat="false" ht="15" hidden="false" customHeight="true" outlineLevel="0" collapsed="false">
      <c r="C876" s="27" t="s">
        <v>825</v>
      </c>
      <c r="D876" s="28" t="n">
        <v>3</v>
      </c>
      <c r="H876" s="29" t="n">
        <f aca="false">IF(COUNT(D876:G876)=0,0,D876*IF(E876="",1,E876)*IF(F876="",1,F876)*IF(G876="",1,G876))</f>
        <v>3</v>
      </c>
      <c r="M876" s="23"/>
      <c r="N876" s="23"/>
      <c r="O876" s="23"/>
    </row>
    <row r="877" customFormat="false" ht="15" hidden="false" customHeight="true" outlineLevel="0" collapsed="false">
      <c r="H877" s="30"/>
      <c r="I877" s="31" t="n">
        <f aca="false">ROUND(SUM(H876:H876),2)</f>
        <v>3</v>
      </c>
      <c r="J877" s="32" t="n">
        <v>55.1</v>
      </c>
      <c r="K877" s="31" t="n">
        <f aca="false">ROUND(I877*J877,2)</f>
        <v>165.3</v>
      </c>
      <c r="L877" s="33" t="s">
        <v>212</v>
      </c>
      <c r="M877" s="23" t="s">
        <v>123</v>
      </c>
      <c r="N877" s="23" t="s">
        <v>54</v>
      </c>
      <c r="O877" s="23" t="s">
        <v>798</v>
      </c>
    </row>
    <row r="878" customFormat="false" ht="15" hidden="false" customHeight="true" outlineLevel="0" collapsed="false">
      <c r="A878" s="3" t="s">
        <v>826</v>
      </c>
      <c r="C878" s="3" t="s">
        <v>827</v>
      </c>
      <c r="M878" s="23" t="s">
        <v>291</v>
      </c>
      <c r="N878" s="23" t="s">
        <v>54</v>
      </c>
      <c r="O878" s="23" t="s">
        <v>826</v>
      </c>
    </row>
    <row r="879" customFormat="false" ht="15" hidden="false" customHeight="true" outlineLevel="0" collapsed="false">
      <c r="A879" s="3" t="s">
        <v>828</v>
      </c>
      <c r="B879" s="3" t="s">
        <v>650</v>
      </c>
      <c r="C879" s="3" t="s">
        <v>829</v>
      </c>
      <c r="M879" s="23"/>
      <c r="N879" s="23"/>
      <c r="O879" s="23"/>
    </row>
    <row r="880" customFormat="false" ht="36" hidden="false" customHeight="true" outlineLevel="0" collapsed="false">
      <c r="C880" s="26" t="s">
        <v>830</v>
      </c>
      <c r="M880" s="23"/>
      <c r="N880" s="23"/>
      <c r="O880" s="23"/>
    </row>
    <row r="881" customFormat="false" ht="15" hidden="false" customHeight="true" outlineLevel="0" collapsed="false">
      <c r="C881" s="27" t="s">
        <v>739</v>
      </c>
      <c r="D881" s="28" t="n">
        <v>10</v>
      </c>
      <c r="H881" s="29" t="n">
        <f aca="false">IF(COUNT(D881:G881)=0,0,D881*IF(E881="",1,E881)*IF(F881="",1,F881)*IF(G881="",1,G881))</f>
        <v>10</v>
      </c>
      <c r="M881" s="23"/>
      <c r="N881" s="23"/>
      <c r="O881" s="23"/>
    </row>
    <row r="882" customFormat="false" ht="15" hidden="false" customHeight="true" outlineLevel="0" collapsed="false">
      <c r="H882" s="30"/>
      <c r="I882" s="31" t="n">
        <f aca="false">ROUND(SUM(H881:H881),2)</f>
        <v>10</v>
      </c>
      <c r="J882" s="32" t="n">
        <v>15.9</v>
      </c>
      <c r="K882" s="31" t="n">
        <f aca="false">ROUND(I882*J882,2)</f>
        <v>159</v>
      </c>
      <c r="L882" s="33" t="s">
        <v>212</v>
      </c>
      <c r="M882" s="23" t="s">
        <v>123</v>
      </c>
      <c r="N882" s="23" t="s">
        <v>54</v>
      </c>
      <c r="O882" s="23" t="s">
        <v>826</v>
      </c>
    </row>
    <row r="883" customFormat="false" ht="15" hidden="false" customHeight="true" outlineLevel="0" collapsed="false">
      <c r="A883" s="3" t="s">
        <v>831</v>
      </c>
      <c r="B883" s="3" t="s">
        <v>650</v>
      </c>
      <c r="C883" s="3" t="s">
        <v>832</v>
      </c>
      <c r="M883" s="23"/>
      <c r="N883" s="23"/>
      <c r="O883" s="23"/>
    </row>
    <row r="884" customFormat="false" ht="60" hidden="false" customHeight="true" outlineLevel="0" collapsed="false">
      <c r="C884" s="26" t="s">
        <v>833</v>
      </c>
      <c r="M884" s="23"/>
      <c r="N884" s="23"/>
      <c r="O884" s="23"/>
    </row>
    <row r="885" customFormat="false" ht="15" hidden="false" customHeight="true" outlineLevel="0" collapsed="false">
      <c r="C885" s="27" t="s">
        <v>739</v>
      </c>
      <c r="D885" s="28" t="n">
        <v>15</v>
      </c>
      <c r="H885" s="29" t="n">
        <f aca="false">IF(COUNT(D885:G885)=0,0,D885*IF(E885="",1,E885)*IF(F885="",1,F885)*IF(G885="",1,G885))</f>
        <v>15</v>
      </c>
      <c r="M885" s="23"/>
      <c r="N885" s="23"/>
      <c r="O885" s="23"/>
    </row>
    <row r="886" customFormat="false" ht="15" hidden="false" customHeight="true" outlineLevel="0" collapsed="false">
      <c r="H886" s="30"/>
      <c r="I886" s="31" t="n">
        <f aca="false">ROUND(SUM(H885:H885),2)</f>
        <v>15</v>
      </c>
      <c r="J886" s="32" t="n">
        <v>8.14</v>
      </c>
      <c r="K886" s="31" t="n">
        <f aca="false">ROUND(I886*J886,2)</f>
        <v>122.1</v>
      </c>
      <c r="L886" s="33" t="s">
        <v>212</v>
      </c>
      <c r="M886" s="23" t="s">
        <v>123</v>
      </c>
      <c r="N886" s="23" t="s">
        <v>54</v>
      </c>
      <c r="O886" s="23" t="s">
        <v>826</v>
      </c>
    </row>
    <row r="887" customFormat="false" ht="15" hidden="false" customHeight="true" outlineLevel="0" collapsed="false">
      <c r="A887" s="3" t="s">
        <v>834</v>
      </c>
      <c r="B887" s="3" t="s">
        <v>643</v>
      </c>
      <c r="C887" s="3" t="s">
        <v>835</v>
      </c>
      <c r="M887" s="23"/>
      <c r="N887" s="23"/>
      <c r="O887" s="23"/>
    </row>
    <row r="888" customFormat="false" ht="48" hidden="false" customHeight="true" outlineLevel="0" collapsed="false">
      <c r="C888" s="26" t="s">
        <v>836</v>
      </c>
      <c r="M888" s="23"/>
      <c r="N888" s="23"/>
      <c r="O888" s="23"/>
    </row>
    <row r="889" customFormat="false" ht="15" hidden="false" customHeight="true" outlineLevel="0" collapsed="false">
      <c r="C889" s="27" t="s">
        <v>739</v>
      </c>
      <c r="D889" s="28" t="n">
        <v>4</v>
      </c>
      <c r="H889" s="29" t="n">
        <f aca="false">IF(COUNT(D889:G889)=0,0,D889*IF(E889="",1,E889)*IF(F889="",1,F889)*IF(G889="",1,G889))</f>
        <v>4</v>
      </c>
      <c r="M889" s="23"/>
      <c r="N889" s="23"/>
      <c r="O889" s="23"/>
    </row>
    <row r="890" customFormat="false" ht="15" hidden="false" customHeight="true" outlineLevel="0" collapsed="false">
      <c r="H890" s="30"/>
      <c r="I890" s="31" t="n">
        <f aca="false">ROUND(SUM(H889:H889),2)</f>
        <v>4</v>
      </c>
      <c r="J890" s="32" t="n">
        <v>19.93</v>
      </c>
      <c r="K890" s="31" t="n">
        <f aca="false">ROUND(I890*J890,2)</f>
        <v>79.72</v>
      </c>
      <c r="L890" s="33" t="s">
        <v>212</v>
      </c>
      <c r="M890" s="23" t="s">
        <v>123</v>
      </c>
      <c r="N890" s="23" t="s">
        <v>54</v>
      </c>
      <c r="O890" s="23" t="s">
        <v>826</v>
      </c>
    </row>
    <row r="891" customFormat="false" ht="15" hidden="false" customHeight="true" outlineLevel="0" collapsed="false">
      <c r="A891" s="3" t="s">
        <v>837</v>
      </c>
      <c r="B891" s="3" t="s">
        <v>643</v>
      </c>
      <c r="C891" s="3" t="s">
        <v>838</v>
      </c>
      <c r="M891" s="23"/>
      <c r="N891" s="23"/>
      <c r="O891" s="23"/>
    </row>
    <row r="892" customFormat="false" ht="48" hidden="false" customHeight="true" outlineLevel="0" collapsed="false">
      <c r="C892" s="26" t="s">
        <v>839</v>
      </c>
      <c r="M892" s="23"/>
      <c r="N892" s="23"/>
      <c r="O892" s="23"/>
    </row>
    <row r="893" customFormat="false" ht="15" hidden="false" customHeight="true" outlineLevel="0" collapsed="false">
      <c r="C893" s="27" t="s">
        <v>739</v>
      </c>
      <c r="D893" s="28" t="n">
        <v>1</v>
      </c>
      <c r="H893" s="29" t="n">
        <f aca="false">IF(COUNT(D893:G893)=0,0,D893*IF(E893="",1,E893)*IF(F893="",1,F893)*IF(G893="",1,G893))</f>
        <v>1</v>
      </c>
      <c r="M893" s="23"/>
      <c r="N893" s="23"/>
      <c r="O893" s="23"/>
    </row>
    <row r="894" customFormat="false" ht="15" hidden="false" customHeight="true" outlineLevel="0" collapsed="false">
      <c r="H894" s="30"/>
      <c r="I894" s="31" t="n">
        <f aca="false">ROUND(SUM(H893:H893),2)</f>
        <v>1</v>
      </c>
      <c r="J894" s="32" t="n">
        <v>26.43</v>
      </c>
      <c r="K894" s="31" t="n">
        <f aca="false">ROUND(I894*J894,2)</f>
        <v>26.43</v>
      </c>
      <c r="L894" s="33" t="s">
        <v>212</v>
      </c>
      <c r="M894" s="23" t="s">
        <v>123</v>
      </c>
      <c r="N894" s="23" t="s">
        <v>54</v>
      </c>
      <c r="O894" s="23" t="s">
        <v>826</v>
      </c>
    </row>
    <row r="895" customFormat="false" ht="15" hidden="false" customHeight="true" outlineLevel="0" collapsed="false">
      <c r="A895" s="3" t="s">
        <v>840</v>
      </c>
      <c r="B895" s="3" t="s">
        <v>643</v>
      </c>
      <c r="C895" s="3" t="s">
        <v>841</v>
      </c>
      <c r="M895" s="23"/>
      <c r="N895" s="23"/>
      <c r="O895" s="23"/>
    </row>
    <row r="896" customFormat="false" ht="36" hidden="false" customHeight="true" outlineLevel="0" collapsed="false">
      <c r="C896" s="26" t="s">
        <v>842</v>
      </c>
      <c r="M896" s="23"/>
      <c r="N896" s="23"/>
      <c r="O896" s="23"/>
    </row>
    <row r="897" customFormat="false" ht="15" hidden="false" customHeight="true" outlineLevel="0" collapsed="false">
      <c r="C897" s="27" t="s">
        <v>739</v>
      </c>
      <c r="D897" s="28" t="n">
        <v>1</v>
      </c>
      <c r="H897" s="29" t="n">
        <f aca="false">IF(COUNT(D897:G897)=0,0,D897*IF(E897="",1,E897)*IF(F897="",1,F897)*IF(G897="",1,G897))</f>
        <v>1</v>
      </c>
      <c r="M897" s="23"/>
      <c r="N897" s="23"/>
      <c r="O897" s="23"/>
    </row>
    <row r="898" customFormat="false" ht="15" hidden="false" customHeight="true" outlineLevel="0" collapsed="false">
      <c r="H898" s="30"/>
      <c r="I898" s="31" t="n">
        <f aca="false">ROUND(SUM(H897:H897),2)</f>
        <v>1</v>
      </c>
      <c r="J898" s="32" t="n">
        <v>222.21</v>
      </c>
      <c r="K898" s="31" t="n">
        <f aca="false">ROUND(I898*J898,2)</f>
        <v>222.21</v>
      </c>
      <c r="L898" s="33" t="s">
        <v>212</v>
      </c>
      <c r="M898" s="23" t="s">
        <v>123</v>
      </c>
      <c r="N898" s="23" t="s">
        <v>54</v>
      </c>
      <c r="O898" s="23" t="s">
        <v>826</v>
      </c>
    </row>
    <row r="899" customFormat="false" ht="15" hidden="false" customHeight="true" outlineLevel="0" collapsed="false">
      <c r="A899" s="3" t="s">
        <v>843</v>
      </c>
      <c r="B899" s="3" t="s">
        <v>643</v>
      </c>
      <c r="C899" s="3" t="s">
        <v>844</v>
      </c>
      <c r="M899" s="23"/>
      <c r="N899" s="23"/>
      <c r="O899" s="23"/>
    </row>
    <row r="900" customFormat="false" ht="216" hidden="false" customHeight="true" outlineLevel="0" collapsed="false">
      <c r="C900" s="26" t="s">
        <v>845</v>
      </c>
      <c r="M900" s="23"/>
      <c r="N900" s="23"/>
      <c r="O900" s="23"/>
    </row>
    <row r="901" customFormat="false" ht="15" hidden="false" customHeight="true" outlineLevel="0" collapsed="false">
      <c r="C901" s="27" t="s">
        <v>739</v>
      </c>
      <c r="D901" s="28" t="n">
        <v>1</v>
      </c>
      <c r="H901" s="29" t="n">
        <f aca="false">IF(COUNT(D901:G901)=0,0,D901*IF(E901="",1,E901)*IF(F901="",1,F901)*IF(G901="",1,G901))</f>
        <v>1</v>
      </c>
      <c r="M901" s="23"/>
      <c r="N901" s="23"/>
      <c r="O901" s="23"/>
    </row>
    <row r="902" customFormat="false" ht="15" hidden="false" customHeight="true" outlineLevel="0" collapsed="false">
      <c r="H902" s="30"/>
      <c r="I902" s="31" t="n">
        <f aca="false">ROUND(SUM(H901:H901),2)</f>
        <v>1</v>
      </c>
      <c r="J902" s="32" t="n">
        <v>117.05</v>
      </c>
      <c r="K902" s="31" t="n">
        <f aca="false">ROUND(I902*J902,2)</f>
        <v>117.05</v>
      </c>
      <c r="L902" s="33" t="s">
        <v>212</v>
      </c>
      <c r="M902" s="23" t="s">
        <v>123</v>
      </c>
      <c r="N902" s="23" t="s">
        <v>54</v>
      </c>
      <c r="O902" s="23" t="s">
        <v>826</v>
      </c>
    </row>
    <row r="903" customFormat="false" ht="15" hidden="false" customHeight="true" outlineLevel="0" collapsed="false">
      <c r="A903" s="3" t="s">
        <v>846</v>
      </c>
      <c r="B903" s="3" t="s">
        <v>650</v>
      </c>
      <c r="C903" s="3" t="s">
        <v>847</v>
      </c>
      <c r="M903" s="23"/>
      <c r="N903" s="23"/>
      <c r="O903" s="23"/>
    </row>
    <row r="904" customFormat="false" ht="48" hidden="false" customHeight="true" outlineLevel="0" collapsed="false">
      <c r="C904" s="26" t="s">
        <v>848</v>
      </c>
      <c r="M904" s="23"/>
      <c r="N904" s="23"/>
      <c r="O904" s="23"/>
    </row>
    <row r="905" customFormat="false" ht="15" hidden="false" customHeight="true" outlineLevel="0" collapsed="false">
      <c r="C905" s="27" t="s">
        <v>739</v>
      </c>
      <c r="D905" s="28" t="n">
        <v>6</v>
      </c>
      <c r="H905" s="29" t="n">
        <f aca="false">IF(COUNT(D905:G905)=0,0,D905*IF(E905="",1,E905)*IF(F905="",1,F905)*IF(G905="",1,G905))</f>
        <v>6</v>
      </c>
      <c r="M905" s="23"/>
      <c r="N905" s="23"/>
      <c r="O905" s="23"/>
    </row>
    <row r="906" customFormat="false" ht="15" hidden="false" customHeight="true" outlineLevel="0" collapsed="false">
      <c r="H906" s="30"/>
      <c r="I906" s="31" t="n">
        <f aca="false">ROUND(SUM(H905:H905),2)</f>
        <v>6</v>
      </c>
      <c r="J906" s="32" t="n">
        <v>16.96</v>
      </c>
      <c r="K906" s="31" t="n">
        <f aca="false">ROUND(I906*J906,2)</f>
        <v>101.76</v>
      </c>
      <c r="L906" s="33" t="s">
        <v>212</v>
      </c>
      <c r="M906" s="23" t="s">
        <v>123</v>
      </c>
      <c r="N906" s="23" t="s">
        <v>54</v>
      </c>
      <c r="O906" s="23" t="s">
        <v>826</v>
      </c>
    </row>
    <row r="907" customFormat="false" ht="15" hidden="false" customHeight="true" outlineLevel="0" collapsed="false">
      <c r="A907" s="3" t="s">
        <v>849</v>
      </c>
      <c r="B907" s="3" t="s">
        <v>129</v>
      </c>
      <c r="C907" s="3" t="s">
        <v>850</v>
      </c>
      <c r="M907" s="23"/>
      <c r="N907" s="23"/>
      <c r="O907" s="23"/>
    </row>
    <row r="908" customFormat="false" ht="36" hidden="false" customHeight="true" outlineLevel="0" collapsed="false">
      <c r="C908" s="26" t="s">
        <v>851</v>
      </c>
      <c r="M908" s="23"/>
      <c r="N908" s="23"/>
      <c r="O908" s="23"/>
    </row>
    <row r="909" customFormat="false" ht="15" hidden="false" customHeight="true" outlineLevel="0" collapsed="false">
      <c r="C909" s="27" t="s">
        <v>852</v>
      </c>
      <c r="D909" s="28" t="n">
        <v>1</v>
      </c>
      <c r="H909" s="29" t="n">
        <f aca="false">IF(COUNT(D909:G909)=0,0,D909*IF(E909="",1,E909)*IF(F909="",1,F909)*IF(G909="",1,G909))</f>
        <v>1</v>
      </c>
      <c r="M909" s="23"/>
      <c r="N909" s="23"/>
      <c r="O909" s="23"/>
    </row>
    <row r="910" customFormat="false" ht="15" hidden="false" customHeight="true" outlineLevel="0" collapsed="false">
      <c r="C910" s="27" t="s">
        <v>853</v>
      </c>
      <c r="D910" s="28" t="n">
        <v>0.5</v>
      </c>
      <c r="H910" s="29" t="n">
        <f aca="false">IF(COUNT(D910:G910)=0,0,D910*IF(E910="",1,E910)*IF(F910="",1,F910)*IF(G910="",1,G910))</f>
        <v>0.5</v>
      </c>
      <c r="M910" s="23"/>
      <c r="N910" s="23"/>
      <c r="O910" s="23"/>
    </row>
    <row r="911" customFormat="false" ht="18.75" hidden="false" customHeight="true" outlineLevel="0" collapsed="false">
      <c r="H911" s="30"/>
      <c r="I911" s="31" t="n">
        <f aca="false">ROUND(SUM(H909:H910),2)</f>
        <v>1.5</v>
      </c>
      <c r="J911" s="32" t="n">
        <v>1250</v>
      </c>
      <c r="K911" s="31" t="n">
        <f aca="false">ROUND(I911*J911,2)</f>
        <v>1875</v>
      </c>
      <c r="L911" s="33" t="s">
        <v>238</v>
      </c>
      <c r="M911" s="23" t="s">
        <v>123</v>
      </c>
      <c r="N911" s="23" t="s">
        <v>54</v>
      </c>
      <c r="O911" s="23" t="s">
        <v>826</v>
      </c>
    </row>
    <row r="912" customFormat="false" ht="15" hidden="false" customHeight="true" outlineLevel="0" collapsed="false">
      <c r="A912" s="3" t="s">
        <v>854</v>
      </c>
      <c r="B912" s="3" t="s">
        <v>650</v>
      </c>
      <c r="C912" s="3" t="s">
        <v>855</v>
      </c>
      <c r="M912" s="23"/>
      <c r="N912" s="23"/>
      <c r="O912" s="23"/>
    </row>
    <row r="913" customFormat="false" ht="48" hidden="false" customHeight="true" outlineLevel="0" collapsed="false">
      <c r="C913" s="26" t="s">
        <v>856</v>
      </c>
      <c r="M913" s="23"/>
      <c r="N913" s="23"/>
      <c r="O913" s="23"/>
    </row>
    <row r="914" customFormat="false" ht="15" hidden="false" customHeight="true" outlineLevel="0" collapsed="false">
      <c r="C914" s="27" t="s">
        <v>739</v>
      </c>
      <c r="D914" s="28" t="n">
        <v>160</v>
      </c>
      <c r="H914" s="29" t="n">
        <f aca="false">IF(COUNT(D914:G914)=0,0,D914*IF(E914="",1,E914)*IF(F914="",1,F914)*IF(G914="",1,G914))</f>
        <v>160</v>
      </c>
      <c r="M914" s="23"/>
      <c r="N914" s="23"/>
      <c r="O914" s="23"/>
    </row>
    <row r="915" customFormat="false" ht="15" hidden="false" customHeight="true" outlineLevel="0" collapsed="false">
      <c r="H915" s="30"/>
      <c r="I915" s="31" t="n">
        <f aca="false">ROUND(SUM(H914:H914),2)</f>
        <v>160</v>
      </c>
      <c r="J915" s="32" t="n">
        <v>0.51</v>
      </c>
      <c r="K915" s="31" t="n">
        <f aca="false">ROUND(I915*J915,2)</f>
        <v>81.6</v>
      </c>
      <c r="L915" s="33" t="s">
        <v>212</v>
      </c>
      <c r="M915" s="23" t="s">
        <v>123</v>
      </c>
      <c r="N915" s="23" t="s">
        <v>54</v>
      </c>
      <c r="O915" s="23" t="s">
        <v>826</v>
      </c>
    </row>
    <row r="916" customFormat="false" ht="15" hidden="false" customHeight="true" outlineLevel="0" collapsed="false">
      <c r="A916" s="3" t="s">
        <v>857</v>
      </c>
      <c r="B916" s="3" t="s">
        <v>129</v>
      </c>
      <c r="C916" s="3" t="s">
        <v>858</v>
      </c>
      <c r="M916" s="23"/>
      <c r="N916" s="23"/>
      <c r="O916" s="23"/>
    </row>
    <row r="917" customFormat="false" ht="48" hidden="false" customHeight="true" outlineLevel="0" collapsed="false">
      <c r="C917" s="26" t="s">
        <v>859</v>
      </c>
      <c r="M917" s="23"/>
      <c r="N917" s="23"/>
      <c r="O917" s="23"/>
    </row>
    <row r="918" customFormat="false" ht="15" hidden="false" customHeight="true" outlineLevel="0" collapsed="false">
      <c r="C918" s="27" t="s">
        <v>739</v>
      </c>
      <c r="D918" s="28" t="n">
        <v>480</v>
      </c>
      <c r="H918" s="29" t="n">
        <f aca="false">IF(COUNT(D918:G918)=0,0,D918*IF(E918="",1,E918)*IF(F918="",1,F918)*IF(G918="",1,G918))</f>
        <v>480</v>
      </c>
      <c r="M918" s="23"/>
      <c r="N918" s="23"/>
      <c r="O918" s="23"/>
    </row>
    <row r="919" customFormat="false" ht="15" hidden="false" customHeight="true" outlineLevel="0" collapsed="false">
      <c r="H919" s="30"/>
      <c r="I919" s="31" t="n">
        <f aca="false">ROUND(SUM(H918:H918),2)</f>
        <v>480</v>
      </c>
      <c r="J919" s="32" t="n">
        <v>0.57</v>
      </c>
      <c r="K919" s="31" t="n">
        <f aca="false">ROUND(I919*J919,2)</f>
        <v>273.6</v>
      </c>
      <c r="L919" s="33" t="s">
        <v>212</v>
      </c>
      <c r="M919" s="23" t="s">
        <v>123</v>
      </c>
      <c r="N919" s="23" t="s">
        <v>54</v>
      </c>
      <c r="O919" s="23" t="s">
        <v>826</v>
      </c>
    </row>
    <row r="920" customFormat="false" ht="15" hidden="false" customHeight="true" outlineLevel="0" collapsed="false">
      <c r="A920" s="3" t="s">
        <v>860</v>
      </c>
      <c r="B920" s="3" t="s">
        <v>650</v>
      </c>
      <c r="C920" s="3" t="s">
        <v>861</v>
      </c>
      <c r="M920" s="23"/>
      <c r="N920" s="23"/>
      <c r="O920" s="23"/>
    </row>
    <row r="921" customFormat="false" ht="48" hidden="false" customHeight="true" outlineLevel="0" collapsed="false">
      <c r="C921" s="26" t="s">
        <v>862</v>
      </c>
      <c r="M921" s="23"/>
      <c r="N921" s="23"/>
      <c r="O921" s="23"/>
    </row>
    <row r="922" customFormat="false" ht="15" hidden="false" customHeight="true" outlineLevel="0" collapsed="false">
      <c r="C922" s="27" t="s">
        <v>739</v>
      </c>
      <c r="D922" s="28" t="n">
        <v>70</v>
      </c>
      <c r="H922" s="29" t="n">
        <f aca="false">IF(COUNT(D922:G922)=0,0,D922*IF(E922="",1,E922)*IF(F922="",1,F922)*IF(G922="",1,G922))</f>
        <v>70</v>
      </c>
      <c r="M922" s="23"/>
      <c r="N922" s="23"/>
      <c r="O922" s="23"/>
    </row>
    <row r="923" customFormat="false" ht="15" hidden="false" customHeight="true" outlineLevel="0" collapsed="false">
      <c r="H923" s="30"/>
      <c r="I923" s="31" t="n">
        <f aca="false">ROUND(SUM(H922:H922),2)</f>
        <v>70</v>
      </c>
      <c r="J923" s="32" t="n">
        <v>0.64</v>
      </c>
      <c r="K923" s="31" t="n">
        <f aca="false">ROUND(I923*J923,2)</f>
        <v>44.8</v>
      </c>
      <c r="L923" s="33" t="s">
        <v>212</v>
      </c>
      <c r="M923" s="23" t="s">
        <v>123</v>
      </c>
      <c r="N923" s="23" t="s">
        <v>54</v>
      </c>
      <c r="O923" s="23" t="s">
        <v>826</v>
      </c>
    </row>
    <row r="924" customFormat="false" ht="15" hidden="false" customHeight="true" outlineLevel="0" collapsed="false">
      <c r="A924" s="3" t="s">
        <v>863</v>
      </c>
      <c r="B924" s="3" t="s">
        <v>650</v>
      </c>
      <c r="C924" s="3" t="s">
        <v>864</v>
      </c>
      <c r="M924" s="23"/>
      <c r="N924" s="23"/>
      <c r="O924" s="23"/>
    </row>
    <row r="925" customFormat="false" ht="48" hidden="false" customHeight="true" outlineLevel="0" collapsed="false">
      <c r="C925" s="26" t="s">
        <v>865</v>
      </c>
      <c r="M925" s="23"/>
      <c r="N925" s="23"/>
      <c r="O925" s="23"/>
    </row>
    <row r="926" customFormat="false" ht="15" hidden="false" customHeight="true" outlineLevel="0" collapsed="false">
      <c r="C926" s="27" t="s">
        <v>739</v>
      </c>
      <c r="D926" s="28" t="n">
        <v>30</v>
      </c>
      <c r="H926" s="29" t="n">
        <f aca="false">IF(COUNT(D926:G926)=0,0,D926*IF(E926="",1,E926)*IF(F926="",1,F926)*IF(G926="",1,G926))</f>
        <v>30</v>
      </c>
      <c r="M926" s="23"/>
      <c r="N926" s="23"/>
      <c r="O926" s="23"/>
    </row>
    <row r="927" customFormat="false" ht="15" hidden="false" customHeight="true" outlineLevel="0" collapsed="false">
      <c r="H927" s="30"/>
      <c r="I927" s="31" t="n">
        <f aca="false">ROUND(SUM(H926:H926),2)</f>
        <v>30</v>
      </c>
      <c r="J927" s="32" t="n">
        <v>0.7</v>
      </c>
      <c r="K927" s="31" t="n">
        <f aca="false">ROUND(I927*J927,2)</f>
        <v>21</v>
      </c>
      <c r="L927" s="33" t="s">
        <v>212</v>
      </c>
      <c r="M927" s="23" t="s">
        <v>123</v>
      </c>
      <c r="N927" s="23" t="s">
        <v>54</v>
      </c>
      <c r="O927" s="23" t="s">
        <v>826</v>
      </c>
    </row>
    <row r="928" customFormat="false" ht="15" hidden="false" customHeight="true" outlineLevel="0" collapsed="false">
      <c r="A928" s="3" t="s">
        <v>866</v>
      </c>
      <c r="B928" s="3" t="s">
        <v>650</v>
      </c>
      <c r="C928" s="3" t="s">
        <v>867</v>
      </c>
      <c r="M928" s="23"/>
      <c r="N928" s="23"/>
      <c r="O928" s="23"/>
    </row>
    <row r="929" customFormat="false" ht="36" hidden="false" customHeight="true" outlineLevel="0" collapsed="false">
      <c r="C929" s="26" t="s">
        <v>868</v>
      </c>
      <c r="M929" s="23"/>
      <c r="N929" s="23"/>
      <c r="O929" s="23"/>
    </row>
    <row r="930" customFormat="false" ht="15" hidden="false" customHeight="true" outlineLevel="0" collapsed="false">
      <c r="C930" s="27" t="s">
        <v>739</v>
      </c>
      <c r="D930" s="28" t="n">
        <v>15</v>
      </c>
      <c r="H930" s="29" t="n">
        <f aca="false">IF(COUNT(D930:G930)=0,0,D930*IF(E930="",1,E930)*IF(F930="",1,F930)*IF(G930="",1,G930))</f>
        <v>15</v>
      </c>
      <c r="M930" s="23"/>
      <c r="N930" s="23"/>
      <c r="O930" s="23"/>
    </row>
    <row r="931" customFormat="false" ht="15" hidden="false" customHeight="true" outlineLevel="0" collapsed="false">
      <c r="H931" s="30"/>
      <c r="I931" s="31" t="n">
        <f aca="false">ROUND(SUM(H930:H930),2)</f>
        <v>15</v>
      </c>
      <c r="J931" s="32" t="n">
        <v>24.42</v>
      </c>
      <c r="K931" s="31" t="n">
        <f aca="false">ROUND(I931*J931,2)</f>
        <v>366.3</v>
      </c>
      <c r="L931" s="33" t="s">
        <v>212</v>
      </c>
      <c r="M931" s="23" t="s">
        <v>123</v>
      </c>
      <c r="N931" s="23" t="s">
        <v>54</v>
      </c>
      <c r="O931" s="23" t="s">
        <v>826</v>
      </c>
    </row>
    <row r="932" customFormat="false" ht="15" hidden="false" customHeight="true" outlineLevel="0" collapsed="false">
      <c r="A932" s="3" t="s">
        <v>869</v>
      </c>
      <c r="B932" s="3" t="s">
        <v>650</v>
      </c>
      <c r="C932" s="3" t="s">
        <v>870</v>
      </c>
      <c r="M932" s="23"/>
      <c r="N932" s="23"/>
      <c r="O932" s="23"/>
    </row>
    <row r="933" customFormat="false" ht="36" hidden="false" customHeight="true" outlineLevel="0" collapsed="false">
      <c r="C933" s="26" t="s">
        <v>871</v>
      </c>
      <c r="M933" s="23"/>
      <c r="N933" s="23"/>
      <c r="O933" s="23"/>
    </row>
    <row r="934" customFormat="false" ht="15" hidden="false" customHeight="true" outlineLevel="0" collapsed="false">
      <c r="C934" s="27" t="s">
        <v>739</v>
      </c>
      <c r="D934" s="28" t="n">
        <v>600</v>
      </c>
      <c r="H934" s="29" t="n">
        <f aca="false">IF(COUNT(D934:G934)=0,0,D934*IF(E934="",1,E934)*IF(F934="",1,F934)*IF(G934="",1,G934))</f>
        <v>600</v>
      </c>
      <c r="M934" s="23"/>
      <c r="N934" s="23"/>
      <c r="O934" s="23"/>
    </row>
    <row r="935" customFormat="false" ht="15" hidden="false" customHeight="true" outlineLevel="0" collapsed="false">
      <c r="H935" s="30"/>
      <c r="I935" s="31" t="n">
        <f aca="false">ROUND(SUM(H934:H934),2)</f>
        <v>600</v>
      </c>
      <c r="J935" s="32" t="n">
        <v>0.95</v>
      </c>
      <c r="K935" s="31" t="n">
        <f aca="false">ROUND(I935*J935,2)</f>
        <v>570</v>
      </c>
      <c r="L935" s="33" t="s">
        <v>212</v>
      </c>
      <c r="M935" s="23" t="s">
        <v>123</v>
      </c>
      <c r="N935" s="23" t="s">
        <v>54</v>
      </c>
      <c r="O935" s="23" t="s">
        <v>826</v>
      </c>
    </row>
    <row r="936" customFormat="false" ht="15" hidden="false" customHeight="true" outlineLevel="0" collapsed="false">
      <c r="A936" s="3" t="s">
        <v>872</v>
      </c>
      <c r="B936" s="3" t="s">
        <v>650</v>
      </c>
      <c r="C936" s="3" t="s">
        <v>873</v>
      </c>
      <c r="M936" s="23"/>
      <c r="N936" s="23"/>
      <c r="O936" s="23"/>
    </row>
    <row r="937" customFormat="false" ht="36" hidden="false" customHeight="true" outlineLevel="0" collapsed="false">
      <c r="C937" s="26" t="s">
        <v>874</v>
      </c>
      <c r="M937" s="23"/>
      <c r="N937" s="23"/>
      <c r="O937" s="23"/>
    </row>
    <row r="938" customFormat="false" ht="15" hidden="false" customHeight="true" outlineLevel="0" collapsed="false">
      <c r="C938" s="27" t="s">
        <v>739</v>
      </c>
      <c r="D938" s="28" t="n">
        <v>1100</v>
      </c>
      <c r="H938" s="29" t="n">
        <f aca="false">IF(COUNT(D938:G938)=0,0,D938*IF(E938="",1,E938)*IF(F938="",1,F938)*IF(G938="",1,G938))</f>
        <v>1100</v>
      </c>
      <c r="M938" s="23"/>
      <c r="N938" s="23"/>
      <c r="O938" s="23"/>
    </row>
    <row r="939" customFormat="false" ht="15" hidden="false" customHeight="true" outlineLevel="0" collapsed="false">
      <c r="H939" s="30"/>
      <c r="I939" s="31" t="n">
        <f aca="false">ROUND(SUM(H938:H938),2)</f>
        <v>1100</v>
      </c>
      <c r="J939" s="32" t="n">
        <v>1.06</v>
      </c>
      <c r="K939" s="31" t="n">
        <f aca="false">ROUND(I939*J939,2)</f>
        <v>1166</v>
      </c>
      <c r="L939" s="33" t="s">
        <v>212</v>
      </c>
      <c r="M939" s="23" t="s">
        <v>123</v>
      </c>
      <c r="N939" s="23" t="s">
        <v>54</v>
      </c>
      <c r="O939" s="23" t="s">
        <v>826</v>
      </c>
    </row>
    <row r="940" customFormat="false" ht="15" hidden="false" customHeight="true" outlineLevel="0" collapsed="false">
      <c r="A940" s="3" t="s">
        <v>875</v>
      </c>
      <c r="B940" s="3" t="s">
        <v>650</v>
      </c>
      <c r="C940" s="3" t="s">
        <v>876</v>
      </c>
      <c r="M940" s="23"/>
      <c r="N940" s="23"/>
      <c r="O940" s="23"/>
    </row>
    <row r="941" customFormat="false" ht="36" hidden="false" customHeight="true" outlineLevel="0" collapsed="false">
      <c r="C941" s="26" t="s">
        <v>877</v>
      </c>
      <c r="M941" s="23"/>
      <c r="N941" s="23"/>
      <c r="O941" s="23"/>
    </row>
    <row r="942" customFormat="false" ht="15" hidden="false" customHeight="true" outlineLevel="0" collapsed="false">
      <c r="C942" s="27" t="s">
        <v>739</v>
      </c>
      <c r="D942" s="28" t="n">
        <v>200</v>
      </c>
      <c r="H942" s="29" t="n">
        <f aca="false">IF(COUNT(D942:G942)=0,0,D942*IF(E942="",1,E942)*IF(F942="",1,F942)*IF(G942="",1,G942))</f>
        <v>200</v>
      </c>
      <c r="M942" s="23"/>
      <c r="N942" s="23"/>
      <c r="O942" s="23"/>
    </row>
    <row r="943" customFormat="false" ht="15" hidden="false" customHeight="true" outlineLevel="0" collapsed="false">
      <c r="H943" s="30"/>
      <c r="I943" s="31" t="n">
        <f aca="false">ROUND(SUM(H942:H942),2)</f>
        <v>200</v>
      </c>
      <c r="J943" s="32" t="n">
        <v>2.12</v>
      </c>
      <c r="K943" s="31" t="n">
        <f aca="false">ROUND(I943*J943,2)</f>
        <v>424</v>
      </c>
      <c r="L943" s="33" t="s">
        <v>212</v>
      </c>
      <c r="M943" s="23" t="s">
        <v>123</v>
      </c>
      <c r="N943" s="23" t="s">
        <v>54</v>
      </c>
      <c r="O943" s="23" t="s">
        <v>826</v>
      </c>
    </row>
    <row r="944" customFormat="false" ht="15" hidden="false" customHeight="true" outlineLevel="0" collapsed="false">
      <c r="A944" s="3" t="s">
        <v>878</v>
      </c>
      <c r="B944" s="3" t="s">
        <v>650</v>
      </c>
      <c r="C944" s="3" t="s">
        <v>879</v>
      </c>
      <c r="M944" s="23"/>
      <c r="N944" s="23"/>
      <c r="O944" s="23"/>
    </row>
    <row r="945" customFormat="false" ht="12" hidden="false" customHeight="true" outlineLevel="0" collapsed="false">
      <c r="C945" s="26"/>
      <c r="M945" s="23"/>
      <c r="N945" s="23"/>
      <c r="O945" s="23"/>
    </row>
    <row r="946" customFormat="false" ht="15" hidden="false" customHeight="true" outlineLevel="0" collapsed="false">
      <c r="C946" s="27" t="s">
        <v>739</v>
      </c>
      <c r="D946" s="28" t="n">
        <v>30</v>
      </c>
      <c r="H946" s="29" t="n">
        <f aca="false">IF(COUNT(D946:G946)=0,0,D946*IF(E946="",1,E946)*IF(F946="",1,F946)*IF(G946="",1,G946))</f>
        <v>30</v>
      </c>
      <c r="M946" s="23"/>
      <c r="N946" s="23"/>
      <c r="O946" s="23"/>
    </row>
    <row r="947" customFormat="false" ht="15" hidden="false" customHeight="true" outlineLevel="0" collapsed="false">
      <c r="H947" s="30"/>
      <c r="I947" s="31" t="n">
        <f aca="false">ROUND(SUM(H946:H946),2)</f>
        <v>30</v>
      </c>
      <c r="J947" s="32" t="n">
        <v>7.08</v>
      </c>
      <c r="K947" s="31" t="n">
        <f aca="false">ROUND(I947*J947,2)</f>
        <v>212.4</v>
      </c>
      <c r="L947" s="33" t="s">
        <v>212</v>
      </c>
      <c r="M947" s="23" t="s">
        <v>123</v>
      </c>
      <c r="N947" s="23" t="s">
        <v>54</v>
      </c>
      <c r="O947" s="23" t="s">
        <v>826</v>
      </c>
    </row>
    <row r="948" customFormat="false" ht="15" hidden="false" customHeight="true" outlineLevel="0" collapsed="false">
      <c r="A948" s="3" t="s">
        <v>880</v>
      </c>
      <c r="B948" s="3" t="s">
        <v>643</v>
      </c>
      <c r="C948" s="3" t="s">
        <v>881</v>
      </c>
      <c r="M948" s="23"/>
      <c r="N948" s="23"/>
      <c r="O948" s="23"/>
    </row>
    <row r="949" customFormat="false" ht="72" hidden="false" customHeight="true" outlineLevel="0" collapsed="false">
      <c r="C949" s="26" t="s">
        <v>882</v>
      </c>
      <c r="M949" s="23"/>
      <c r="N949" s="23"/>
      <c r="O949" s="23"/>
    </row>
    <row r="950" customFormat="false" ht="15" hidden="false" customHeight="true" outlineLevel="0" collapsed="false">
      <c r="C950" s="27" t="s">
        <v>883</v>
      </c>
      <c r="D950" s="28" t="n">
        <v>32</v>
      </c>
      <c r="H950" s="29" t="n">
        <f aca="false">IF(COUNT(D950:G950)=0,0,D950*IF(E950="",1,E950)*IF(F950="",1,F950)*IF(G950="",1,G950))</f>
        <v>32</v>
      </c>
      <c r="M950" s="23"/>
      <c r="N950" s="23"/>
      <c r="O950" s="23"/>
    </row>
    <row r="951" customFormat="false" ht="15" hidden="false" customHeight="true" outlineLevel="0" collapsed="false">
      <c r="H951" s="30"/>
      <c r="I951" s="31" t="n">
        <f aca="false">ROUND(SUM(H950:H950),2)</f>
        <v>32</v>
      </c>
      <c r="J951" s="32" t="n">
        <v>9.54</v>
      </c>
      <c r="K951" s="31" t="n">
        <f aca="false">ROUND(I951*J951,2)</f>
        <v>305.28</v>
      </c>
      <c r="L951" s="33" t="s">
        <v>212</v>
      </c>
      <c r="M951" s="23" t="s">
        <v>123</v>
      </c>
      <c r="N951" s="23" t="s">
        <v>54</v>
      </c>
      <c r="O951" s="23" t="s">
        <v>826</v>
      </c>
    </row>
    <row r="952" customFormat="false" ht="15" hidden="false" customHeight="true" outlineLevel="0" collapsed="false">
      <c r="A952" s="3" t="s">
        <v>884</v>
      </c>
      <c r="B952" s="3" t="s">
        <v>643</v>
      </c>
      <c r="C952" s="3" t="s">
        <v>885</v>
      </c>
      <c r="M952" s="23"/>
      <c r="N952" s="23"/>
      <c r="O952" s="23"/>
    </row>
    <row r="953" customFormat="false" ht="72" hidden="false" customHeight="true" outlineLevel="0" collapsed="false">
      <c r="C953" s="26" t="s">
        <v>886</v>
      </c>
      <c r="M953" s="23"/>
      <c r="N953" s="23"/>
      <c r="O953" s="23"/>
    </row>
    <row r="954" customFormat="false" ht="15" hidden="false" customHeight="true" outlineLevel="0" collapsed="false">
      <c r="C954" s="27" t="s">
        <v>887</v>
      </c>
      <c r="D954" s="28" t="n">
        <v>2</v>
      </c>
      <c r="H954" s="29" t="n">
        <f aca="false">IF(COUNT(D954:G954)=0,0,D954*IF(E954="",1,E954)*IF(F954="",1,F954)*IF(G954="",1,G954))</f>
        <v>2</v>
      </c>
      <c r="M954" s="23"/>
      <c r="N954" s="23"/>
      <c r="O954" s="23"/>
    </row>
    <row r="955" customFormat="false" ht="15" hidden="false" customHeight="true" outlineLevel="0" collapsed="false">
      <c r="H955" s="30"/>
      <c r="I955" s="31" t="n">
        <f aca="false">ROUND(SUM(H954:H954),2)</f>
        <v>2</v>
      </c>
      <c r="J955" s="32" t="n">
        <v>9.54</v>
      </c>
      <c r="K955" s="31" t="n">
        <f aca="false">ROUND(I955*J955,2)</f>
        <v>19.08</v>
      </c>
      <c r="L955" s="33" t="s">
        <v>212</v>
      </c>
      <c r="M955" s="23" t="s">
        <v>123</v>
      </c>
      <c r="N955" s="23" t="s">
        <v>54</v>
      </c>
      <c r="O955" s="23" t="s">
        <v>826</v>
      </c>
    </row>
    <row r="956" customFormat="false" ht="15" hidden="false" customHeight="true" outlineLevel="0" collapsed="false">
      <c r="A956" s="3" t="s">
        <v>888</v>
      </c>
      <c r="B956" s="3" t="s">
        <v>643</v>
      </c>
      <c r="C956" s="3" t="s">
        <v>889</v>
      </c>
      <c r="M956" s="23"/>
      <c r="N956" s="23"/>
      <c r="O956" s="23"/>
    </row>
    <row r="957" customFormat="false" ht="72" hidden="false" customHeight="true" outlineLevel="0" collapsed="false">
      <c r="C957" s="26" t="s">
        <v>890</v>
      </c>
      <c r="M957" s="23"/>
      <c r="N957" s="23"/>
      <c r="O957" s="23"/>
    </row>
    <row r="958" customFormat="false" ht="15" hidden="false" customHeight="true" outlineLevel="0" collapsed="false">
      <c r="C958" s="27" t="s">
        <v>891</v>
      </c>
      <c r="D958" s="28" t="n">
        <v>72</v>
      </c>
      <c r="H958" s="29" t="n">
        <f aca="false">IF(COUNT(D958:G958)=0,0,D958*IF(E958="",1,E958)*IF(F958="",1,F958)*IF(G958="",1,G958))</f>
        <v>72</v>
      </c>
      <c r="M958" s="23"/>
      <c r="N958" s="23"/>
      <c r="O958" s="23"/>
    </row>
    <row r="959" customFormat="false" ht="15" hidden="false" customHeight="true" outlineLevel="0" collapsed="false">
      <c r="H959" s="30"/>
      <c r="I959" s="31" t="n">
        <f aca="false">ROUND(SUM(H958:H958),2)</f>
        <v>72</v>
      </c>
      <c r="J959" s="32" t="n">
        <v>10.07</v>
      </c>
      <c r="K959" s="31" t="n">
        <f aca="false">ROUND(I959*J959,2)</f>
        <v>725.04</v>
      </c>
      <c r="L959" s="33" t="s">
        <v>212</v>
      </c>
      <c r="M959" s="23" t="s">
        <v>123</v>
      </c>
      <c r="N959" s="23" t="s">
        <v>54</v>
      </c>
      <c r="O959" s="23" t="s">
        <v>826</v>
      </c>
    </row>
    <row r="960" customFormat="false" ht="15" hidden="false" customHeight="true" outlineLevel="0" collapsed="false">
      <c r="A960" s="3" t="s">
        <v>892</v>
      </c>
      <c r="B960" s="3" t="s">
        <v>643</v>
      </c>
      <c r="C960" s="3" t="s">
        <v>893</v>
      </c>
      <c r="M960" s="23"/>
      <c r="N960" s="23"/>
      <c r="O960" s="23"/>
    </row>
    <row r="961" customFormat="false" ht="60" hidden="false" customHeight="true" outlineLevel="0" collapsed="false">
      <c r="C961" s="26" t="s">
        <v>894</v>
      </c>
      <c r="M961" s="23"/>
      <c r="N961" s="23"/>
      <c r="O961" s="23"/>
    </row>
    <row r="962" customFormat="false" ht="15" hidden="false" customHeight="true" outlineLevel="0" collapsed="false">
      <c r="C962" s="27" t="s">
        <v>895</v>
      </c>
      <c r="D962" s="28" t="n">
        <v>2</v>
      </c>
      <c r="H962" s="29" t="n">
        <f aca="false">IF(COUNT(D962:G962)=0,0,D962*IF(E962="",1,E962)*IF(F962="",1,F962)*IF(G962="",1,G962))</f>
        <v>2</v>
      </c>
      <c r="M962" s="23"/>
      <c r="N962" s="23"/>
      <c r="O962" s="23"/>
    </row>
    <row r="963" customFormat="false" ht="15" hidden="false" customHeight="true" outlineLevel="0" collapsed="false">
      <c r="H963" s="30"/>
      <c r="I963" s="31" t="n">
        <f aca="false">ROUND(SUM(H962:H962),2)</f>
        <v>2</v>
      </c>
      <c r="J963" s="32" t="n">
        <v>10.6</v>
      </c>
      <c r="K963" s="31" t="n">
        <f aca="false">ROUND(I963*J963,2)</f>
        <v>21.2</v>
      </c>
      <c r="L963" s="33" t="s">
        <v>212</v>
      </c>
      <c r="M963" s="23" t="s">
        <v>123</v>
      </c>
      <c r="N963" s="23" t="s">
        <v>54</v>
      </c>
      <c r="O963" s="23" t="s">
        <v>826</v>
      </c>
    </row>
    <row r="964" customFormat="false" ht="15" hidden="false" customHeight="true" outlineLevel="0" collapsed="false">
      <c r="A964" s="3" t="s">
        <v>896</v>
      </c>
      <c r="B964" s="3" t="s">
        <v>643</v>
      </c>
      <c r="C964" s="3" t="s">
        <v>897</v>
      </c>
      <c r="M964" s="23"/>
      <c r="N964" s="23"/>
      <c r="O964" s="23"/>
    </row>
    <row r="965" customFormat="false" ht="60" hidden="false" customHeight="true" outlineLevel="0" collapsed="false">
      <c r="C965" s="26" t="s">
        <v>898</v>
      </c>
      <c r="M965" s="23"/>
      <c r="N965" s="23"/>
      <c r="O965" s="23"/>
    </row>
    <row r="966" customFormat="false" ht="15" hidden="false" customHeight="true" outlineLevel="0" collapsed="false">
      <c r="C966" s="27" t="s">
        <v>899</v>
      </c>
      <c r="D966" s="28" t="n">
        <v>2</v>
      </c>
      <c r="H966" s="29" t="n">
        <f aca="false">IF(COUNT(D966:G966)=0,0,D966*IF(E966="",1,E966)*IF(F966="",1,F966)*IF(G966="",1,G966))</f>
        <v>2</v>
      </c>
      <c r="M966" s="23"/>
      <c r="N966" s="23"/>
      <c r="O966" s="23"/>
    </row>
    <row r="967" customFormat="false" ht="15" hidden="false" customHeight="true" outlineLevel="0" collapsed="false">
      <c r="H967" s="30"/>
      <c r="I967" s="31" t="n">
        <f aca="false">ROUND(SUM(H966:H966),2)</f>
        <v>2</v>
      </c>
      <c r="J967" s="32" t="n">
        <v>15.86</v>
      </c>
      <c r="K967" s="31" t="n">
        <f aca="false">ROUND(I967*J967,2)</f>
        <v>31.72</v>
      </c>
      <c r="L967" s="33" t="s">
        <v>212</v>
      </c>
      <c r="M967" s="23" t="s">
        <v>123</v>
      </c>
      <c r="N967" s="23" t="s">
        <v>54</v>
      </c>
      <c r="O967" s="23" t="s">
        <v>826</v>
      </c>
    </row>
    <row r="968" customFormat="false" ht="15" hidden="false" customHeight="true" outlineLevel="0" collapsed="false">
      <c r="A968" s="3" t="s">
        <v>900</v>
      </c>
      <c r="B968" s="3" t="s">
        <v>643</v>
      </c>
      <c r="C968" s="3" t="s">
        <v>901</v>
      </c>
      <c r="M968" s="23"/>
      <c r="N968" s="23"/>
      <c r="O968" s="23"/>
    </row>
    <row r="969" customFormat="false" ht="36" hidden="false" customHeight="true" outlineLevel="0" collapsed="false">
      <c r="C969" s="26" t="s">
        <v>902</v>
      </c>
      <c r="M969" s="23"/>
      <c r="N969" s="23"/>
      <c r="O969" s="23"/>
    </row>
    <row r="970" customFormat="false" ht="15" hidden="false" customHeight="true" outlineLevel="0" collapsed="false">
      <c r="C970" s="27" t="s">
        <v>903</v>
      </c>
      <c r="D970" s="28" t="n">
        <v>9</v>
      </c>
      <c r="H970" s="29" t="n">
        <f aca="false">IF(COUNT(D970:G970)=0,0,D970*IF(E970="",1,E970)*IF(F970="",1,F970)*IF(G970="",1,G970))</f>
        <v>9</v>
      </c>
      <c r="M970" s="23"/>
      <c r="N970" s="23"/>
      <c r="O970" s="23"/>
    </row>
    <row r="971" customFormat="false" ht="15" hidden="false" customHeight="true" outlineLevel="0" collapsed="false">
      <c r="H971" s="30"/>
      <c r="I971" s="31" t="n">
        <f aca="false">ROUND(SUM(H970:H970),2)</f>
        <v>9</v>
      </c>
      <c r="J971" s="32" t="n">
        <v>10.07</v>
      </c>
      <c r="K971" s="31" t="n">
        <f aca="false">ROUND(I971*J971,2)</f>
        <v>90.63</v>
      </c>
      <c r="L971" s="33" t="s">
        <v>212</v>
      </c>
      <c r="M971" s="23" t="s">
        <v>123</v>
      </c>
      <c r="N971" s="23" t="s">
        <v>54</v>
      </c>
      <c r="O971" s="23" t="s">
        <v>826</v>
      </c>
    </row>
    <row r="972" customFormat="false" ht="15" hidden="false" customHeight="true" outlineLevel="0" collapsed="false">
      <c r="A972" s="3" t="s">
        <v>904</v>
      </c>
      <c r="B972" s="3" t="s">
        <v>643</v>
      </c>
      <c r="C972" s="3" t="s">
        <v>905</v>
      </c>
      <c r="M972" s="23"/>
      <c r="N972" s="23"/>
      <c r="O972" s="23"/>
    </row>
    <row r="973" customFormat="false" ht="60" hidden="false" customHeight="true" outlineLevel="0" collapsed="false">
      <c r="C973" s="26" t="s">
        <v>906</v>
      </c>
      <c r="M973" s="23"/>
      <c r="N973" s="23"/>
      <c r="O973" s="23"/>
    </row>
    <row r="974" customFormat="false" ht="15" hidden="false" customHeight="true" outlineLevel="0" collapsed="false">
      <c r="C974" s="27" t="s">
        <v>907</v>
      </c>
      <c r="D974" s="28" t="n">
        <v>11</v>
      </c>
      <c r="H974" s="29" t="n">
        <f aca="false">IF(COUNT(D974:G974)=0,0,D974*IF(E974="",1,E974)*IF(F974="",1,F974)*IF(G974="",1,G974))</f>
        <v>11</v>
      </c>
      <c r="M974" s="23"/>
      <c r="N974" s="23"/>
      <c r="O974" s="23"/>
    </row>
    <row r="975" customFormat="false" ht="15" hidden="false" customHeight="true" outlineLevel="0" collapsed="false">
      <c r="H975" s="30"/>
      <c r="I975" s="31" t="n">
        <f aca="false">ROUND(SUM(H974:H974),2)</f>
        <v>11</v>
      </c>
      <c r="J975" s="32" t="n">
        <v>9.54</v>
      </c>
      <c r="K975" s="31" t="n">
        <f aca="false">ROUND(I975*J975,2)</f>
        <v>104.94</v>
      </c>
      <c r="L975" s="33" t="s">
        <v>212</v>
      </c>
      <c r="M975" s="23" t="s">
        <v>123</v>
      </c>
      <c r="N975" s="23" t="s">
        <v>54</v>
      </c>
      <c r="O975" s="23" t="s">
        <v>826</v>
      </c>
    </row>
    <row r="976" customFormat="false" ht="15" hidden="false" customHeight="true" outlineLevel="0" collapsed="false">
      <c r="A976" s="3" t="s">
        <v>908</v>
      </c>
      <c r="B976" s="3" t="s">
        <v>643</v>
      </c>
      <c r="C976" s="3" t="s">
        <v>909</v>
      </c>
      <c r="M976" s="23"/>
      <c r="N976" s="23"/>
      <c r="O976" s="23"/>
    </row>
    <row r="977" customFormat="false" ht="48" hidden="false" customHeight="true" outlineLevel="0" collapsed="false">
      <c r="C977" s="26" t="s">
        <v>910</v>
      </c>
      <c r="M977" s="23"/>
      <c r="N977" s="23"/>
      <c r="O977" s="23"/>
    </row>
    <row r="978" customFormat="false" ht="15" hidden="false" customHeight="true" outlineLevel="0" collapsed="false">
      <c r="C978" s="27" t="s">
        <v>911</v>
      </c>
      <c r="D978" s="28" t="n">
        <v>15</v>
      </c>
      <c r="H978" s="29" t="n">
        <f aca="false">IF(COUNT(D978:G978)=0,0,D978*IF(E978="",1,E978)*IF(F978="",1,F978)*IF(G978="",1,G978))</f>
        <v>15</v>
      </c>
      <c r="M978" s="23"/>
      <c r="N978" s="23"/>
      <c r="O978" s="23"/>
    </row>
    <row r="979" customFormat="false" ht="15" hidden="false" customHeight="true" outlineLevel="0" collapsed="false">
      <c r="H979" s="30"/>
      <c r="I979" s="31" t="n">
        <f aca="false">ROUND(SUM(H978:H978),2)</f>
        <v>15</v>
      </c>
      <c r="J979" s="32" t="n">
        <v>13.78</v>
      </c>
      <c r="K979" s="31" t="n">
        <f aca="false">ROUND(I979*J979,2)</f>
        <v>206.7</v>
      </c>
      <c r="L979" s="33" t="s">
        <v>212</v>
      </c>
      <c r="M979" s="23" t="s">
        <v>123</v>
      </c>
      <c r="N979" s="23" t="s">
        <v>54</v>
      </c>
      <c r="O979" s="23" t="s">
        <v>826</v>
      </c>
    </row>
    <row r="980" customFormat="false" ht="15" hidden="false" customHeight="true" outlineLevel="0" collapsed="false">
      <c r="A980" s="3" t="s">
        <v>912</v>
      </c>
      <c r="B980" s="3" t="s">
        <v>643</v>
      </c>
      <c r="C980" s="3" t="s">
        <v>913</v>
      </c>
      <c r="M980" s="23"/>
      <c r="N980" s="23"/>
      <c r="O980" s="23"/>
    </row>
    <row r="981" customFormat="false" ht="48" hidden="false" customHeight="true" outlineLevel="0" collapsed="false">
      <c r="C981" s="26" t="s">
        <v>914</v>
      </c>
      <c r="M981" s="23"/>
      <c r="N981" s="23"/>
      <c r="O981" s="23"/>
    </row>
    <row r="982" customFormat="false" ht="15" hidden="false" customHeight="true" outlineLevel="0" collapsed="false">
      <c r="C982" s="27" t="s">
        <v>915</v>
      </c>
      <c r="D982" s="28" t="n">
        <v>10</v>
      </c>
      <c r="H982" s="29" t="n">
        <f aca="false">IF(COUNT(D982:G982)=0,0,D982*IF(E982="",1,E982)*IF(F982="",1,F982)*IF(G982="",1,G982))</f>
        <v>10</v>
      </c>
      <c r="M982" s="23"/>
      <c r="N982" s="23"/>
      <c r="O982" s="23"/>
    </row>
    <row r="983" customFormat="false" ht="15" hidden="false" customHeight="true" outlineLevel="0" collapsed="false">
      <c r="H983" s="30"/>
      <c r="I983" s="31" t="n">
        <f aca="false">ROUND(SUM(H982:H982),2)</f>
        <v>10</v>
      </c>
      <c r="J983" s="32" t="n">
        <v>9.69</v>
      </c>
      <c r="K983" s="31" t="n">
        <f aca="false">ROUND(I983*J983,2)</f>
        <v>96.9</v>
      </c>
      <c r="L983" s="33" t="s">
        <v>212</v>
      </c>
      <c r="M983" s="23" t="s">
        <v>123</v>
      </c>
      <c r="N983" s="23" t="s">
        <v>54</v>
      </c>
      <c r="O983" s="23" t="s">
        <v>826</v>
      </c>
    </row>
    <row r="984" customFormat="false" ht="15" hidden="false" customHeight="true" outlineLevel="0" collapsed="false">
      <c r="A984" s="3" t="s">
        <v>916</v>
      </c>
      <c r="B984" s="3" t="s">
        <v>643</v>
      </c>
      <c r="C984" s="3" t="s">
        <v>917</v>
      </c>
      <c r="M984" s="23"/>
      <c r="N984" s="23"/>
      <c r="O984" s="23"/>
    </row>
    <row r="985" customFormat="false" ht="48" hidden="false" customHeight="true" outlineLevel="0" collapsed="false">
      <c r="C985" s="26" t="s">
        <v>918</v>
      </c>
      <c r="M985" s="23"/>
      <c r="N985" s="23"/>
      <c r="O985" s="23"/>
    </row>
    <row r="986" customFormat="false" ht="15" hidden="false" customHeight="true" outlineLevel="0" collapsed="false">
      <c r="C986" s="27" t="s">
        <v>704</v>
      </c>
      <c r="D986" s="28" t="n">
        <v>4</v>
      </c>
      <c r="H986" s="29" t="n">
        <f aca="false">IF(COUNT(D986:G986)=0,0,D986*IF(E986="",1,E986)*IF(F986="",1,F986)*IF(G986="",1,G986))</f>
        <v>4</v>
      </c>
      <c r="M986" s="23"/>
      <c r="N986" s="23"/>
      <c r="O986" s="23"/>
    </row>
    <row r="987" customFormat="false" ht="15" hidden="false" customHeight="true" outlineLevel="0" collapsed="false">
      <c r="H987" s="30"/>
      <c r="I987" s="31" t="n">
        <f aca="false">ROUND(SUM(H986:H986),2)</f>
        <v>4</v>
      </c>
      <c r="J987" s="32" t="n">
        <v>6.26</v>
      </c>
      <c r="K987" s="31" t="n">
        <f aca="false">ROUND(I987*J987,2)</f>
        <v>25.04</v>
      </c>
      <c r="L987" s="33" t="s">
        <v>212</v>
      </c>
      <c r="M987" s="23" t="s">
        <v>123</v>
      </c>
      <c r="N987" s="23" t="s">
        <v>54</v>
      </c>
      <c r="O987" s="23" t="s">
        <v>826</v>
      </c>
    </row>
    <row r="988" customFormat="false" ht="15" hidden="false" customHeight="true" outlineLevel="0" collapsed="false">
      <c r="A988" s="3" t="s">
        <v>919</v>
      </c>
      <c r="B988" s="3" t="s">
        <v>643</v>
      </c>
      <c r="C988" s="3" t="s">
        <v>920</v>
      </c>
      <c r="M988" s="23"/>
      <c r="N988" s="23"/>
      <c r="O988" s="23"/>
    </row>
    <row r="989" customFormat="false" ht="36" hidden="false" customHeight="true" outlineLevel="0" collapsed="false">
      <c r="C989" s="26" t="s">
        <v>921</v>
      </c>
      <c r="M989" s="23"/>
      <c r="N989" s="23"/>
      <c r="O989" s="23"/>
    </row>
    <row r="990" customFormat="false" ht="15" hidden="false" customHeight="true" outlineLevel="0" collapsed="false">
      <c r="C990" s="27" t="s">
        <v>922</v>
      </c>
      <c r="D990" s="28" t="n">
        <v>3</v>
      </c>
      <c r="H990" s="29" t="n">
        <f aca="false">IF(COUNT(D990:G990)=0,0,D990*IF(E990="",1,E990)*IF(F990="",1,F990)*IF(G990="",1,G990))</f>
        <v>3</v>
      </c>
      <c r="M990" s="23"/>
      <c r="N990" s="23"/>
      <c r="O990" s="23"/>
    </row>
    <row r="991" customFormat="false" ht="15" hidden="false" customHeight="true" outlineLevel="0" collapsed="false">
      <c r="H991" s="30"/>
      <c r="I991" s="31" t="n">
        <f aca="false">ROUND(SUM(H990:H990),2)</f>
        <v>3</v>
      </c>
      <c r="J991" s="32" t="n">
        <v>72.34</v>
      </c>
      <c r="K991" s="31" t="n">
        <f aca="false">ROUND(I991*J991,2)</f>
        <v>217.02</v>
      </c>
      <c r="L991" s="33" t="s">
        <v>212</v>
      </c>
      <c r="M991" s="23" t="s">
        <v>123</v>
      </c>
      <c r="N991" s="23" t="s">
        <v>54</v>
      </c>
      <c r="O991" s="23" t="s">
        <v>826</v>
      </c>
    </row>
    <row r="992" customFormat="false" ht="15" hidden="false" customHeight="true" outlineLevel="0" collapsed="false">
      <c r="A992" s="3" t="s">
        <v>923</v>
      </c>
      <c r="B992" s="3" t="s">
        <v>643</v>
      </c>
      <c r="C992" s="3" t="s">
        <v>924</v>
      </c>
      <c r="M992" s="23"/>
      <c r="N992" s="23"/>
      <c r="O992" s="23"/>
    </row>
    <row r="993" customFormat="false" ht="24" hidden="false" customHeight="true" outlineLevel="0" collapsed="false">
      <c r="C993" s="26" t="s">
        <v>925</v>
      </c>
      <c r="M993" s="23"/>
      <c r="N993" s="23"/>
      <c r="O993" s="23"/>
    </row>
    <row r="994" customFormat="false" ht="15" hidden="false" customHeight="true" outlineLevel="0" collapsed="false">
      <c r="C994" s="27" t="s">
        <v>926</v>
      </c>
      <c r="D994" s="28" t="n">
        <v>4</v>
      </c>
      <c r="H994" s="29" t="n">
        <f aca="false">IF(COUNT(D994:G994)=0,0,D994*IF(E994="",1,E994)*IF(F994="",1,F994)*IF(G994="",1,G994))</f>
        <v>4</v>
      </c>
      <c r="M994" s="23"/>
      <c r="N994" s="23"/>
      <c r="O994" s="23"/>
    </row>
    <row r="995" customFormat="false" ht="15" hidden="false" customHeight="true" outlineLevel="0" collapsed="false">
      <c r="H995" s="30"/>
      <c r="I995" s="31" t="n">
        <f aca="false">ROUND(SUM(H994:H994),2)</f>
        <v>4</v>
      </c>
      <c r="J995" s="32" t="n">
        <v>95.4</v>
      </c>
      <c r="K995" s="31" t="n">
        <f aca="false">ROUND(I995*J995,2)</f>
        <v>381.6</v>
      </c>
      <c r="L995" s="33" t="s">
        <v>212</v>
      </c>
      <c r="M995" s="23" t="s">
        <v>123</v>
      </c>
      <c r="N995" s="23" t="s">
        <v>54</v>
      </c>
      <c r="O995" s="23" t="s">
        <v>826</v>
      </c>
    </row>
    <row r="996" customFormat="false" ht="15" hidden="false" customHeight="true" outlineLevel="0" collapsed="false">
      <c r="A996" s="3" t="s">
        <v>927</v>
      </c>
      <c r="B996" s="3" t="s">
        <v>643</v>
      </c>
      <c r="C996" s="3" t="s">
        <v>928</v>
      </c>
      <c r="M996" s="23"/>
      <c r="N996" s="23"/>
      <c r="O996" s="23"/>
    </row>
    <row r="997" customFormat="false" ht="12" hidden="false" customHeight="true" outlineLevel="0" collapsed="false">
      <c r="C997" s="26" t="s">
        <v>929</v>
      </c>
      <c r="M997" s="23"/>
      <c r="N997" s="23"/>
      <c r="O997" s="23"/>
    </row>
    <row r="998" customFormat="false" ht="15" hidden="false" customHeight="true" outlineLevel="0" collapsed="false">
      <c r="C998" s="27" t="s">
        <v>930</v>
      </c>
      <c r="D998" s="28" t="n">
        <v>7</v>
      </c>
      <c r="H998" s="29" t="n">
        <f aca="false">IF(COUNT(D998:G998)=0,0,D998*IF(E998="",1,E998)*IF(F998="",1,F998)*IF(G998="",1,G998))</f>
        <v>7</v>
      </c>
      <c r="M998" s="23"/>
      <c r="N998" s="23"/>
      <c r="O998" s="23"/>
    </row>
    <row r="999" customFormat="false" ht="15" hidden="false" customHeight="true" outlineLevel="0" collapsed="false">
      <c r="H999" s="30"/>
      <c r="I999" s="31" t="n">
        <f aca="false">ROUND(SUM(H998:H998),2)</f>
        <v>7</v>
      </c>
      <c r="J999" s="32" t="n">
        <v>28.49</v>
      </c>
      <c r="K999" s="31" t="n">
        <f aca="false">ROUND(I999*J999,2)</f>
        <v>199.43</v>
      </c>
      <c r="L999" s="33" t="s">
        <v>212</v>
      </c>
      <c r="M999" s="23" t="s">
        <v>123</v>
      </c>
      <c r="N999" s="23" t="s">
        <v>54</v>
      </c>
      <c r="O999" s="23" t="s">
        <v>826</v>
      </c>
    </row>
    <row r="1000" customFormat="false" ht="15" hidden="false" customHeight="true" outlineLevel="0" collapsed="false">
      <c r="A1000" s="3" t="s">
        <v>931</v>
      </c>
      <c r="B1000" s="3" t="s">
        <v>643</v>
      </c>
      <c r="C1000" s="3" t="s">
        <v>932</v>
      </c>
      <c r="M1000" s="23"/>
      <c r="N1000" s="23"/>
      <c r="O1000" s="23"/>
    </row>
    <row r="1001" customFormat="false" ht="60" hidden="false" customHeight="true" outlineLevel="0" collapsed="false">
      <c r="C1001" s="26" t="s">
        <v>933</v>
      </c>
      <c r="M1001" s="23"/>
      <c r="N1001" s="23"/>
      <c r="O1001" s="23"/>
    </row>
    <row r="1002" customFormat="false" ht="15" hidden="false" customHeight="true" outlineLevel="0" collapsed="false">
      <c r="C1002" s="27" t="s">
        <v>887</v>
      </c>
      <c r="D1002" s="28" t="n">
        <v>2</v>
      </c>
      <c r="H1002" s="29" t="n">
        <f aca="false">IF(COUNT(D1002:G1002)=0,0,D1002*IF(E1002="",1,E1002)*IF(F1002="",1,F1002)*IF(G1002="",1,G1002))</f>
        <v>2</v>
      </c>
      <c r="M1002" s="23"/>
      <c r="N1002" s="23"/>
      <c r="O1002" s="23"/>
    </row>
    <row r="1003" customFormat="false" ht="15" hidden="false" customHeight="true" outlineLevel="0" collapsed="false">
      <c r="H1003" s="30"/>
      <c r="I1003" s="31" t="n">
        <f aca="false">ROUND(SUM(H1002:H1002),2)</f>
        <v>2</v>
      </c>
      <c r="J1003" s="32" t="n">
        <v>45.56</v>
      </c>
      <c r="K1003" s="31" t="n">
        <f aca="false">ROUND(I1003*J1003,2)</f>
        <v>91.12</v>
      </c>
      <c r="L1003" s="33" t="s">
        <v>212</v>
      </c>
      <c r="M1003" s="23" t="s">
        <v>123</v>
      </c>
      <c r="N1003" s="23" t="s">
        <v>54</v>
      </c>
      <c r="O1003" s="23" t="s">
        <v>826</v>
      </c>
    </row>
    <row r="1004" customFormat="false" ht="15" hidden="false" customHeight="true" outlineLevel="0" collapsed="false">
      <c r="A1004" s="3" t="s">
        <v>934</v>
      </c>
      <c r="B1004" s="3" t="s">
        <v>643</v>
      </c>
      <c r="C1004" s="3" t="s">
        <v>935</v>
      </c>
      <c r="M1004" s="23"/>
      <c r="N1004" s="23"/>
      <c r="O1004" s="23"/>
    </row>
    <row r="1005" customFormat="false" ht="36" hidden="false" customHeight="true" outlineLevel="0" collapsed="false">
      <c r="C1005" s="26" t="s">
        <v>936</v>
      </c>
      <c r="M1005" s="23"/>
      <c r="N1005" s="23"/>
      <c r="O1005" s="23"/>
    </row>
    <row r="1006" customFormat="false" ht="15" hidden="false" customHeight="true" outlineLevel="0" collapsed="false">
      <c r="C1006" s="27" t="s">
        <v>911</v>
      </c>
      <c r="D1006" s="28" t="n">
        <v>15</v>
      </c>
      <c r="H1006" s="29" t="n">
        <f aca="false">IF(COUNT(D1006:G1006)=0,0,D1006*IF(E1006="",1,E1006)*IF(F1006="",1,F1006)*IF(G1006="",1,G1006))</f>
        <v>15</v>
      </c>
      <c r="M1006" s="23"/>
      <c r="N1006" s="23"/>
      <c r="O1006" s="23"/>
    </row>
    <row r="1007" customFormat="false" ht="15" hidden="false" customHeight="true" outlineLevel="0" collapsed="false">
      <c r="H1007" s="30"/>
      <c r="I1007" s="31" t="n">
        <f aca="false">ROUND(SUM(H1006:H1006),2)</f>
        <v>15</v>
      </c>
      <c r="J1007" s="32" t="n">
        <v>12.37</v>
      </c>
      <c r="K1007" s="31" t="n">
        <f aca="false">ROUND(I1007*J1007,2)</f>
        <v>185.55</v>
      </c>
      <c r="L1007" s="33" t="s">
        <v>212</v>
      </c>
      <c r="M1007" s="23" t="s">
        <v>123</v>
      </c>
      <c r="N1007" s="23" t="s">
        <v>54</v>
      </c>
      <c r="O1007" s="23" t="s">
        <v>826</v>
      </c>
    </row>
    <row r="1008" customFormat="false" ht="15" hidden="false" customHeight="true" outlineLevel="0" collapsed="false">
      <c r="A1008" s="3" t="s">
        <v>937</v>
      </c>
      <c r="B1008" s="3" t="s">
        <v>643</v>
      </c>
      <c r="C1008" s="3" t="s">
        <v>938</v>
      </c>
      <c r="M1008" s="23"/>
      <c r="N1008" s="23"/>
      <c r="O1008" s="23"/>
    </row>
    <row r="1009" customFormat="false" ht="36" hidden="false" customHeight="true" outlineLevel="0" collapsed="false">
      <c r="C1009" s="26" t="s">
        <v>939</v>
      </c>
      <c r="M1009" s="23"/>
      <c r="N1009" s="23"/>
      <c r="O1009" s="23"/>
    </row>
    <row r="1010" customFormat="false" ht="15" hidden="false" customHeight="true" outlineLevel="0" collapsed="false">
      <c r="C1010" s="27" t="s">
        <v>940</v>
      </c>
      <c r="D1010" s="28" t="n">
        <v>10</v>
      </c>
      <c r="H1010" s="29" t="n">
        <f aca="false">IF(COUNT(D1010:G1010)=0,0,D1010*IF(E1010="",1,E1010)*IF(F1010="",1,F1010)*IF(G1010="",1,G1010))</f>
        <v>10</v>
      </c>
      <c r="M1010" s="23"/>
      <c r="N1010" s="23"/>
      <c r="O1010" s="23"/>
    </row>
    <row r="1011" customFormat="false" ht="15" hidden="false" customHeight="true" outlineLevel="0" collapsed="false">
      <c r="H1011" s="30"/>
      <c r="I1011" s="31" t="n">
        <f aca="false">ROUND(SUM(H1010:H1010),2)</f>
        <v>10</v>
      </c>
      <c r="J1011" s="32" t="n">
        <v>15.49</v>
      </c>
      <c r="K1011" s="31" t="n">
        <f aca="false">ROUND(I1011*J1011,2)</f>
        <v>154.9</v>
      </c>
      <c r="L1011" s="33" t="s">
        <v>212</v>
      </c>
      <c r="M1011" s="23" t="s">
        <v>123</v>
      </c>
      <c r="N1011" s="23" t="s">
        <v>54</v>
      </c>
      <c r="O1011" s="23" t="s">
        <v>826</v>
      </c>
    </row>
    <row r="1012" customFormat="false" ht="15" hidden="false" customHeight="true" outlineLevel="0" collapsed="false">
      <c r="A1012" s="3" t="s">
        <v>941</v>
      </c>
      <c r="B1012" s="3" t="s">
        <v>643</v>
      </c>
      <c r="C1012" s="3" t="s">
        <v>942</v>
      </c>
      <c r="M1012" s="23"/>
      <c r="N1012" s="23"/>
      <c r="O1012" s="23"/>
    </row>
    <row r="1013" customFormat="false" ht="36" hidden="false" customHeight="true" outlineLevel="0" collapsed="false">
      <c r="C1013" s="26" t="s">
        <v>943</v>
      </c>
      <c r="M1013" s="23"/>
      <c r="N1013" s="23"/>
      <c r="O1013" s="23"/>
    </row>
    <row r="1014" customFormat="false" ht="15" hidden="false" customHeight="true" outlineLevel="0" collapsed="false">
      <c r="C1014" s="27" t="s">
        <v>899</v>
      </c>
      <c r="D1014" s="28" t="n">
        <v>2</v>
      </c>
      <c r="H1014" s="29" t="n">
        <f aca="false">IF(COUNT(D1014:G1014)=0,0,D1014*IF(E1014="",1,E1014)*IF(F1014="",1,F1014)*IF(G1014="",1,G1014))</f>
        <v>2</v>
      </c>
      <c r="M1014" s="23"/>
      <c r="N1014" s="23"/>
      <c r="O1014" s="23"/>
    </row>
    <row r="1015" customFormat="false" ht="15" hidden="false" customHeight="true" outlineLevel="0" collapsed="false">
      <c r="H1015" s="30"/>
      <c r="I1015" s="31" t="n">
        <f aca="false">ROUND(SUM(H1014:H1014),2)</f>
        <v>2</v>
      </c>
      <c r="J1015" s="32" t="n">
        <v>17.07</v>
      </c>
      <c r="K1015" s="31" t="n">
        <f aca="false">ROUND(I1015*J1015,2)</f>
        <v>34.14</v>
      </c>
      <c r="L1015" s="33" t="s">
        <v>212</v>
      </c>
      <c r="M1015" s="23" t="s">
        <v>123</v>
      </c>
      <c r="N1015" s="23" t="s">
        <v>54</v>
      </c>
      <c r="O1015" s="23" t="s">
        <v>826</v>
      </c>
    </row>
    <row r="1016" customFormat="false" ht="15" hidden="false" customHeight="true" outlineLevel="0" collapsed="false">
      <c r="A1016" s="3" t="s">
        <v>944</v>
      </c>
      <c r="B1016" s="3" t="s">
        <v>643</v>
      </c>
      <c r="C1016" s="3" t="s">
        <v>945</v>
      </c>
      <c r="M1016" s="23"/>
      <c r="N1016" s="23"/>
      <c r="O1016" s="23"/>
    </row>
    <row r="1017" customFormat="false" ht="36" hidden="false" customHeight="true" outlineLevel="0" collapsed="false">
      <c r="C1017" s="26" t="s">
        <v>946</v>
      </c>
      <c r="M1017" s="23"/>
      <c r="N1017" s="23"/>
      <c r="O1017" s="23"/>
    </row>
    <row r="1018" customFormat="false" ht="15" hidden="false" customHeight="true" outlineLevel="0" collapsed="false">
      <c r="C1018" s="27" t="s">
        <v>891</v>
      </c>
      <c r="D1018" s="28" t="n">
        <v>72</v>
      </c>
      <c r="H1018" s="29" t="n">
        <f aca="false">IF(COUNT(D1018:G1018)=0,0,D1018*IF(E1018="",1,E1018)*IF(F1018="",1,F1018)*IF(G1018="",1,G1018))</f>
        <v>72</v>
      </c>
      <c r="M1018" s="23"/>
      <c r="N1018" s="23"/>
      <c r="O1018" s="23"/>
    </row>
    <row r="1019" customFormat="false" ht="15" hidden="false" customHeight="true" outlineLevel="0" collapsed="false">
      <c r="H1019" s="30"/>
      <c r="I1019" s="31" t="n">
        <f aca="false">ROUND(SUM(H1018:H1018),2)</f>
        <v>72</v>
      </c>
      <c r="J1019" s="32" t="n">
        <v>12.37</v>
      </c>
      <c r="K1019" s="31" t="n">
        <f aca="false">ROUND(I1019*J1019,2)</f>
        <v>890.64</v>
      </c>
      <c r="L1019" s="33" t="s">
        <v>212</v>
      </c>
      <c r="M1019" s="23" t="s">
        <v>123</v>
      </c>
      <c r="N1019" s="23" t="s">
        <v>54</v>
      </c>
      <c r="O1019" s="23" t="s">
        <v>826</v>
      </c>
    </row>
    <row r="1020" customFormat="false" ht="15" hidden="false" customHeight="true" outlineLevel="0" collapsed="false">
      <c r="A1020" s="3" t="s">
        <v>947</v>
      </c>
      <c r="B1020" s="3" t="s">
        <v>643</v>
      </c>
      <c r="C1020" s="3" t="s">
        <v>948</v>
      </c>
      <c r="M1020" s="23"/>
      <c r="N1020" s="23"/>
      <c r="O1020" s="23"/>
    </row>
    <row r="1021" customFormat="false" ht="24" hidden="false" customHeight="true" outlineLevel="0" collapsed="false">
      <c r="C1021" s="26" t="s">
        <v>949</v>
      </c>
      <c r="M1021" s="23"/>
      <c r="N1021" s="23"/>
      <c r="O1021" s="23"/>
    </row>
    <row r="1022" customFormat="false" ht="15" hidden="false" customHeight="true" outlineLevel="0" collapsed="false">
      <c r="C1022" s="27" t="s">
        <v>950</v>
      </c>
      <c r="D1022" s="28" t="n">
        <v>9</v>
      </c>
      <c r="H1022" s="29" t="n">
        <f aca="false">IF(COUNT(D1022:G1022)=0,0,D1022*IF(E1022="",1,E1022)*IF(F1022="",1,F1022)*IF(G1022="",1,G1022))</f>
        <v>9</v>
      </c>
      <c r="M1022" s="23"/>
      <c r="N1022" s="23"/>
      <c r="O1022" s="23"/>
    </row>
    <row r="1023" customFormat="false" ht="15" hidden="false" customHeight="true" outlineLevel="0" collapsed="false">
      <c r="H1023" s="30"/>
      <c r="I1023" s="31" t="n">
        <f aca="false">ROUND(SUM(H1022:H1022),2)</f>
        <v>9</v>
      </c>
      <c r="J1023" s="32" t="n">
        <v>19.07</v>
      </c>
      <c r="K1023" s="31" t="n">
        <f aca="false">ROUND(I1023*J1023,2)</f>
        <v>171.63</v>
      </c>
      <c r="L1023" s="33" t="s">
        <v>212</v>
      </c>
      <c r="M1023" s="23" t="s">
        <v>123</v>
      </c>
      <c r="N1023" s="23" t="s">
        <v>54</v>
      </c>
      <c r="O1023" s="23" t="s">
        <v>826</v>
      </c>
    </row>
    <row r="1024" customFormat="false" ht="15" hidden="false" customHeight="true" outlineLevel="0" collapsed="false">
      <c r="A1024" s="3" t="s">
        <v>951</v>
      </c>
      <c r="B1024" s="3" t="s">
        <v>129</v>
      </c>
      <c r="C1024" s="3" t="s">
        <v>952</v>
      </c>
      <c r="M1024" s="23"/>
      <c r="N1024" s="23"/>
      <c r="O1024" s="23"/>
    </row>
    <row r="1025" customFormat="false" ht="36" hidden="false" customHeight="true" outlineLevel="0" collapsed="false">
      <c r="C1025" s="26" t="s">
        <v>953</v>
      </c>
      <c r="M1025" s="23"/>
      <c r="N1025" s="23"/>
      <c r="O1025" s="23"/>
    </row>
    <row r="1026" customFormat="false" ht="15" hidden="false" customHeight="true" outlineLevel="0" collapsed="false">
      <c r="C1026" s="27" t="s">
        <v>954</v>
      </c>
      <c r="D1026" s="28" t="n">
        <v>1</v>
      </c>
      <c r="H1026" s="29" t="n">
        <f aca="false">IF(COUNT(D1026:G1026)=0,0,D1026*IF(E1026="",1,E1026)*IF(F1026="",1,F1026)*IF(G1026="",1,G1026))</f>
        <v>1</v>
      </c>
      <c r="M1026" s="23"/>
      <c r="N1026" s="23"/>
      <c r="O1026" s="23"/>
    </row>
    <row r="1027" customFormat="false" ht="18.75" hidden="false" customHeight="true" outlineLevel="0" collapsed="false">
      <c r="H1027" s="30"/>
      <c r="I1027" s="31" t="n">
        <f aca="false">ROUND(SUM(H1026:H1026),2)</f>
        <v>1</v>
      </c>
      <c r="J1027" s="32" t="n">
        <v>210</v>
      </c>
      <c r="K1027" s="31" t="n">
        <f aca="false">ROUND(I1027*J1027,2)</f>
        <v>210</v>
      </c>
      <c r="L1027" s="33" t="s">
        <v>238</v>
      </c>
      <c r="M1027" s="23" t="s">
        <v>123</v>
      </c>
      <c r="N1027" s="23" t="s">
        <v>54</v>
      </c>
      <c r="O1027" s="23" t="s">
        <v>826</v>
      </c>
    </row>
    <row r="1028" customFormat="false" ht="15" hidden="false" customHeight="true" outlineLevel="0" collapsed="false">
      <c r="A1028" s="3" t="s">
        <v>955</v>
      </c>
      <c r="B1028" s="3" t="s">
        <v>129</v>
      </c>
      <c r="C1028" s="3" t="s">
        <v>956</v>
      </c>
      <c r="M1028" s="23"/>
      <c r="N1028" s="23"/>
      <c r="O1028" s="23"/>
    </row>
    <row r="1029" customFormat="false" ht="24" hidden="false" customHeight="true" outlineLevel="0" collapsed="false">
      <c r="C1029" s="26" t="s">
        <v>957</v>
      </c>
      <c r="M1029" s="23"/>
      <c r="N1029" s="23"/>
      <c r="O1029" s="23"/>
    </row>
    <row r="1030" customFormat="false" ht="15" hidden="false" customHeight="true" outlineLevel="0" collapsed="false">
      <c r="C1030" s="27" t="s">
        <v>721</v>
      </c>
      <c r="D1030" s="28" t="n">
        <v>1</v>
      </c>
      <c r="H1030" s="29" t="n">
        <f aca="false">IF(COUNT(D1030:G1030)=0,0,D1030*IF(E1030="",1,E1030)*IF(F1030="",1,F1030)*IF(G1030="",1,G1030))</f>
        <v>1</v>
      </c>
      <c r="M1030" s="23"/>
      <c r="N1030" s="23"/>
      <c r="O1030" s="23"/>
    </row>
    <row r="1031" customFormat="false" ht="27.75" hidden="false" customHeight="true" outlineLevel="0" collapsed="false">
      <c r="H1031" s="30"/>
      <c r="I1031" s="31" t="n">
        <f aca="false">ROUND(SUM(H1030:H1030),2)</f>
        <v>1</v>
      </c>
      <c r="J1031" s="32" t="n">
        <v>2500</v>
      </c>
      <c r="K1031" s="31" t="n">
        <f aca="false">ROUND(I1031*J1031,2)</f>
        <v>2500</v>
      </c>
      <c r="L1031" s="33" t="s">
        <v>958</v>
      </c>
      <c r="M1031" s="23" t="s">
        <v>123</v>
      </c>
      <c r="N1031" s="23" t="s">
        <v>54</v>
      </c>
      <c r="O1031" s="23" t="s">
        <v>826</v>
      </c>
    </row>
    <row r="1032" customFormat="false" ht="15" hidden="false" customHeight="true" outlineLevel="0" collapsed="false">
      <c r="A1032" s="3" t="s">
        <v>959</v>
      </c>
      <c r="C1032" s="3" t="s">
        <v>960</v>
      </c>
      <c r="M1032" s="23" t="s">
        <v>291</v>
      </c>
      <c r="N1032" s="23" t="s">
        <v>54</v>
      </c>
      <c r="O1032" s="23" t="s">
        <v>959</v>
      </c>
    </row>
    <row r="1033" customFormat="false" ht="15" hidden="false" customHeight="true" outlineLevel="0" collapsed="false">
      <c r="A1033" s="3" t="s">
        <v>961</v>
      </c>
      <c r="B1033" s="3" t="s">
        <v>643</v>
      </c>
      <c r="C1033" s="3" t="s">
        <v>962</v>
      </c>
      <c r="M1033" s="23"/>
      <c r="N1033" s="23"/>
      <c r="O1033" s="23"/>
    </row>
    <row r="1034" customFormat="false" ht="36" hidden="false" customHeight="true" outlineLevel="0" collapsed="false">
      <c r="C1034" s="26" t="s">
        <v>963</v>
      </c>
      <c r="M1034" s="23"/>
      <c r="N1034" s="23"/>
      <c r="O1034" s="23"/>
    </row>
    <row r="1035" customFormat="false" ht="15" hidden="false" customHeight="true" outlineLevel="0" collapsed="false">
      <c r="C1035" s="27" t="s">
        <v>739</v>
      </c>
      <c r="D1035" s="28" t="n">
        <v>1</v>
      </c>
      <c r="H1035" s="29" t="n">
        <f aca="false">IF(COUNT(D1035:G1035)=0,0,D1035*IF(E1035="",1,E1035)*IF(F1035="",1,F1035)*IF(G1035="",1,G1035))</f>
        <v>1</v>
      </c>
      <c r="M1035" s="23"/>
      <c r="N1035" s="23"/>
      <c r="O1035" s="23"/>
    </row>
    <row r="1036" customFormat="false" ht="15" hidden="false" customHeight="true" outlineLevel="0" collapsed="false">
      <c r="H1036" s="30"/>
      <c r="I1036" s="31" t="n">
        <f aca="false">ROUND(SUM(H1035:H1035),2)</f>
        <v>1</v>
      </c>
      <c r="J1036" s="32" t="n">
        <v>371</v>
      </c>
      <c r="K1036" s="31" t="n">
        <f aca="false">ROUND(I1036*J1036,2)</f>
        <v>371</v>
      </c>
      <c r="L1036" s="33" t="s">
        <v>212</v>
      </c>
      <c r="M1036" s="23" t="s">
        <v>123</v>
      </c>
      <c r="N1036" s="23" t="s">
        <v>54</v>
      </c>
      <c r="O1036" s="23" t="s">
        <v>959</v>
      </c>
    </row>
    <row r="1037" customFormat="false" ht="15" hidden="false" customHeight="true" outlineLevel="0" collapsed="false">
      <c r="A1037" s="3" t="s">
        <v>964</v>
      </c>
      <c r="B1037" s="3" t="s">
        <v>643</v>
      </c>
      <c r="C1037" s="3" t="s">
        <v>965</v>
      </c>
      <c r="M1037" s="23"/>
      <c r="N1037" s="23"/>
      <c r="O1037" s="23"/>
    </row>
    <row r="1038" customFormat="false" ht="24" hidden="false" customHeight="true" outlineLevel="0" collapsed="false">
      <c r="C1038" s="26" t="s">
        <v>966</v>
      </c>
      <c r="M1038" s="23"/>
      <c r="N1038" s="23"/>
      <c r="O1038" s="23"/>
    </row>
    <row r="1039" customFormat="false" ht="15" hidden="false" customHeight="true" outlineLevel="0" collapsed="false">
      <c r="C1039" s="27" t="s">
        <v>739</v>
      </c>
      <c r="D1039" s="28" t="n">
        <v>1</v>
      </c>
      <c r="H1039" s="29" t="n">
        <f aca="false">IF(COUNT(D1039:G1039)=0,0,D1039*IF(E1039="",1,E1039)*IF(F1039="",1,F1039)*IF(G1039="",1,G1039))</f>
        <v>1</v>
      </c>
      <c r="M1039" s="23"/>
      <c r="N1039" s="23"/>
      <c r="O1039" s="23"/>
    </row>
    <row r="1040" customFormat="false" ht="15" hidden="false" customHeight="true" outlineLevel="0" collapsed="false">
      <c r="H1040" s="30"/>
      <c r="I1040" s="31" t="n">
        <f aca="false">ROUND(SUM(H1039:H1039),2)</f>
        <v>1</v>
      </c>
      <c r="J1040" s="32" t="n">
        <v>270.3</v>
      </c>
      <c r="K1040" s="31" t="n">
        <f aca="false">ROUND(I1040*J1040,2)</f>
        <v>270.3</v>
      </c>
      <c r="L1040" s="33" t="s">
        <v>212</v>
      </c>
      <c r="M1040" s="23" t="s">
        <v>123</v>
      </c>
      <c r="N1040" s="23" t="s">
        <v>54</v>
      </c>
      <c r="O1040" s="23" t="s">
        <v>959</v>
      </c>
    </row>
    <row r="1041" customFormat="false" ht="15" hidden="false" customHeight="true" outlineLevel="0" collapsed="false">
      <c r="A1041" s="3" t="s">
        <v>967</v>
      </c>
      <c r="B1041" s="3" t="s">
        <v>643</v>
      </c>
      <c r="C1041" s="3" t="s">
        <v>968</v>
      </c>
      <c r="M1041" s="23"/>
      <c r="N1041" s="23"/>
      <c r="O1041" s="23"/>
    </row>
    <row r="1042" customFormat="false" ht="72" hidden="false" customHeight="true" outlineLevel="0" collapsed="false">
      <c r="C1042" s="26" t="s">
        <v>969</v>
      </c>
      <c r="M1042" s="23"/>
      <c r="N1042" s="23"/>
      <c r="O1042" s="23"/>
    </row>
    <row r="1043" customFormat="false" ht="15" hidden="false" customHeight="true" outlineLevel="0" collapsed="false">
      <c r="C1043" s="27" t="s">
        <v>739</v>
      </c>
      <c r="D1043" s="28" t="n">
        <v>1</v>
      </c>
      <c r="H1043" s="29" t="n">
        <f aca="false">IF(COUNT(D1043:G1043)=0,0,D1043*IF(E1043="",1,E1043)*IF(F1043="",1,F1043)*IF(G1043="",1,G1043))</f>
        <v>1</v>
      </c>
      <c r="M1043" s="23"/>
      <c r="N1043" s="23"/>
      <c r="O1043" s="23"/>
    </row>
    <row r="1044" customFormat="false" ht="15" hidden="false" customHeight="true" outlineLevel="0" collapsed="false">
      <c r="H1044" s="30"/>
      <c r="I1044" s="31" t="n">
        <f aca="false">ROUND(SUM(H1043:H1043),2)</f>
        <v>1</v>
      </c>
      <c r="J1044" s="32" t="n">
        <v>381.6</v>
      </c>
      <c r="K1044" s="31" t="n">
        <f aca="false">ROUND(I1044*J1044,2)</f>
        <v>381.6</v>
      </c>
      <c r="L1044" s="33" t="s">
        <v>212</v>
      </c>
      <c r="M1044" s="23" t="s">
        <v>123</v>
      </c>
      <c r="N1044" s="23" t="s">
        <v>54</v>
      </c>
      <c r="O1044" s="23" t="s">
        <v>959</v>
      </c>
    </row>
    <row r="1045" customFormat="false" ht="15" hidden="false" customHeight="true" outlineLevel="0" collapsed="false">
      <c r="A1045" s="3" t="s">
        <v>970</v>
      </c>
      <c r="B1045" s="3" t="s">
        <v>650</v>
      </c>
      <c r="C1045" s="3" t="s">
        <v>971</v>
      </c>
      <c r="M1045" s="23"/>
      <c r="N1045" s="23"/>
      <c r="O1045" s="23"/>
    </row>
    <row r="1046" customFormat="false" ht="12" hidden="false" customHeight="true" outlineLevel="0" collapsed="false">
      <c r="C1046" s="26" t="s">
        <v>972</v>
      </c>
      <c r="M1046" s="23"/>
      <c r="N1046" s="23"/>
      <c r="O1046" s="23"/>
    </row>
    <row r="1047" customFormat="false" ht="15" hidden="false" customHeight="true" outlineLevel="0" collapsed="false">
      <c r="C1047" s="27" t="s">
        <v>739</v>
      </c>
      <c r="D1047" s="28" t="n">
        <v>100</v>
      </c>
      <c r="H1047" s="29" t="n">
        <f aca="false">IF(COUNT(D1047:G1047)=0,0,D1047*IF(E1047="",1,E1047)*IF(F1047="",1,F1047)*IF(G1047="",1,G1047))</f>
        <v>100</v>
      </c>
      <c r="M1047" s="23"/>
      <c r="N1047" s="23"/>
      <c r="O1047" s="23"/>
    </row>
    <row r="1048" customFormat="false" ht="15" hidden="false" customHeight="true" outlineLevel="0" collapsed="false">
      <c r="H1048" s="30"/>
      <c r="I1048" s="31" t="n">
        <f aca="false">ROUND(SUM(H1047:H1047),2)</f>
        <v>100</v>
      </c>
      <c r="J1048" s="32" t="n">
        <v>2.12</v>
      </c>
      <c r="K1048" s="31" t="n">
        <f aca="false">ROUND(I1048*J1048,2)</f>
        <v>212</v>
      </c>
      <c r="L1048" s="33" t="s">
        <v>212</v>
      </c>
      <c r="M1048" s="23" t="s">
        <v>123</v>
      </c>
      <c r="N1048" s="23" t="s">
        <v>54</v>
      </c>
      <c r="O1048" s="23" t="s">
        <v>959</v>
      </c>
    </row>
    <row r="1049" customFormat="false" ht="15" hidden="false" customHeight="true" outlineLevel="0" collapsed="false">
      <c r="A1049" s="3" t="s">
        <v>973</v>
      </c>
      <c r="B1049" s="3" t="s">
        <v>643</v>
      </c>
      <c r="C1049" s="3" t="s">
        <v>974</v>
      </c>
      <c r="M1049" s="23"/>
      <c r="N1049" s="23"/>
      <c r="O1049" s="23"/>
    </row>
    <row r="1050" customFormat="false" ht="12" hidden="false" customHeight="true" outlineLevel="0" collapsed="false">
      <c r="C1050" s="26" t="s">
        <v>975</v>
      </c>
      <c r="M1050" s="23"/>
      <c r="N1050" s="23"/>
      <c r="O1050" s="23"/>
    </row>
    <row r="1051" customFormat="false" ht="15" hidden="false" customHeight="true" outlineLevel="0" collapsed="false">
      <c r="C1051" s="27" t="s">
        <v>739</v>
      </c>
      <c r="D1051" s="28" t="n">
        <v>1</v>
      </c>
      <c r="H1051" s="29" t="n">
        <f aca="false">IF(COUNT(D1051:G1051)=0,0,D1051*IF(E1051="",1,E1051)*IF(F1051="",1,F1051)*IF(G1051="",1,G1051))</f>
        <v>1</v>
      </c>
      <c r="M1051" s="23"/>
      <c r="N1051" s="23"/>
      <c r="O1051" s="23"/>
    </row>
    <row r="1052" customFormat="false" ht="15" hidden="false" customHeight="true" outlineLevel="0" collapsed="false">
      <c r="H1052" s="30"/>
      <c r="I1052" s="31" t="n">
        <f aca="false">ROUND(SUM(H1051:H1051),2)</f>
        <v>1</v>
      </c>
      <c r="J1052" s="32" t="n">
        <v>127.2</v>
      </c>
      <c r="K1052" s="31" t="n">
        <f aca="false">ROUND(I1052*J1052,2)</f>
        <v>127.2</v>
      </c>
      <c r="L1052" s="33" t="s">
        <v>212</v>
      </c>
      <c r="M1052" s="23" t="s">
        <v>123</v>
      </c>
      <c r="N1052" s="23" t="s">
        <v>54</v>
      </c>
      <c r="O1052" s="23" t="s">
        <v>959</v>
      </c>
    </row>
    <row r="1053" customFormat="false" ht="15" hidden="false" customHeight="true" outlineLevel="0" collapsed="false">
      <c r="A1053" s="3" t="s">
        <v>976</v>
      </c>
      <c r="B1053" s="3" t="s">
        <v>643</v>
      </c>
      <c r="C1053" s="3" t="s">
        <v>977</v>
      </c>
      <c r="M1053" s="23"/>
      <c r="N1053" s="23"/>
      <c r="O1053" s="23"/>
    </row>
    <row r="1054" customFormat="false" ht="48" hidden="false" customHeight="true" outlineLevel="0" collapsed="false">
      <c r="C1054" s="26" t="s">
        <v>978</v>
      </c>
      <c r="M1054" s="23"/>
      <c r="N1054" s="23"/>
      <c r="O1054" s="23"/>
    </row>
    <row r="1055" customFormat="false" ht="15" hidden="false" customHeight="true" outlineLevel="0" collapsed="false">
      <c r="C1055" s="27" t="s">
        <v>739</v>
      </c>
      <c r="D1055" s="28" t="n">
        <v>3</v>
      </c>
      <c r="H1055" s="29" t="n">
        <f aca="false">IF(COUNT(D1055:G1055)=0,0,D1055*IF(E1055="",1,E1055)*IF(F1055="",1,F1055)*IF(G1055="",1,G1055))</f>
        <v>3</v>
      </c>
      <c r="M1055" s="23"/>
      <c r="N1055" s="23"/>
      <c r="O1055" s="23"/>
    </row>
    <row r="1056" customFormat="false" ht="15" hidden="false" customHeight="true" outlineLevel="0" collapsed="false">
      <c r="H1056" s="30"/>
      <c r="I1056" s="31" t="n">
        <f aca="false">ROUND(SUM(H1055:H1055),2)</f>
        <v>3</v>
      </c>
      <c r="J1056" s="32" t="n">
        <v>16.15</v>
      </c>
      <c r="K1056" s="31" t="n">
        <f aca="false">ROUND(I1056*J1056,2)</f>
        <v>48.45</v>
      </c>
      <c r="L1056" s="33" t="s">
        <v>212</v>
      </c>
      <c r="M1056" s="23" t="s">
        <v>123</v>
      </c>
      <c r="N1056" s="23" t="s">
        <v>54</v>
      </c>
      <c r="O1056" s="23" t="s">
        <v>959</v>
      </c>
    </row>
    <row r="1057" customFormat="false" ht="15" hidden="false" customHeight="true" outlineLevel="0" collapsed="false">
      <c r="A1057" s="3" t="s">
        <v>979</v>
      </c>
      <c r="B1057" s="3" t="s">
        <v>643</v>
      </c>
      <c r="C1057" s="3" t="s">
        <v>980</v>
      </c>
      <c r="M1057" s="23"/>
      <c r="N1057" s="23"/>
      <c r="O1057" s="23"/>
    </row>
    <row r="1058" customFormat="false" ht="120" hidden="false" customHeight="true" outlineLevel="0" collapsed="false">
      <c r="C1058" s="26" t="s">
        <v>981</v>
      </c>
      <c r="M1058" s="23"/>
      <c r="N1058" s="23"/>
      <c r="O1058" s="23"/>
    </row>
    <row r="1059" customFormat="false" ht="15" hidden="false" customHeight="true" outlineLevel="0" collapsed="false">
      <c r="C1059" s="27" t="s">
        <v>739</v>
      </c>
      <c r="D1059" s="28" t="n">
        <v>1</v>
      </c>
      <c r="H1059" s="29" t="n">
        <f aca="false">IF(COUNT(D1059:G1059)=0,0,D1059*IF(E1059="",1,E1059)*IF(F1059="",1,F1059)*IF(G1059="",1,G1059))</f>
        <v>1</v>
      </c>
      <c r="M1059" s="23"/>
      <c r="N1059" s="23"/>
      <c r="O1059" s="23"/>
    </row>
    <row r="1060" customFormat="false" ht="15" hidden="false" customHeight="true" outlineLevel="0" collapsed="false">
      <c r="H1060" s="30"/>
      <c r="I1060" s="31" t="n">
        <f aca="false">ROUND(SUM(H1059:H1059),2)</f>
        <v>1</v>
      </c>
      <c r="J1060" s="32" t="n">
        <v>614.8</v>
      </c>
      <c r="K1060" s="31" t="n">
        <f aca="false">ROUND(I1060*J1060,2)</f>
        <v>614.8</v>
      </c>
      <c r="L1060" s="33" t="s">
        <v>212</v>
      </c>
      <c r="M1060" s="23" t="s">
        <v>123</v>
      </c>
      <c r="N1060" s="23" t="s">
        <v>54</v>
      </c>
      <c r="O1060" s="23" t="s">
        <v>959</v>
      </c>
    </row>
    <row r="1061" customFormat="false" ht="15" hidden="false" customHeight="true" outlineLevel="0" collapsed="false">
      <c r="A1061" s="3" t="s">
        <v>982</v>
      </c>
      <c r="B1061" s="3" t="s">
        <v>650</v>
      </c>
      <c r="C1061" s="3" t="s">
        <v>983</v>
      </c>
      <c r="M1061" s="23"/>
      <c r="N1061" s="23"/>
      <c r="O1061" s="23"/>
    </row>
    <row r="1062" customFormat="false" ht="48" hidden="false" customHeight="true" outlineLevel="0" collapsed="false">
      <c r="C1062" s="26" t="s">
        <v>984</v>
      </c>
      <c r="M1062" s="23"/>
      <c r="N1062" s="23"/>
      <c r="O1062" s="23"/>
    </row>
    <row r="1063" customFormat="false" ht="15" hidden="false" customHeight="true" outlineLevel="0" collapsed="false">
      <c r="C1063" s="27" t="s">
        <v>739</v>
      </c>
      <c r="D1063" s="28" t="n">
        <v>35</v>
      </c>
      <c r="H1063" s="29" t="n">
        <f aca="false">IF(COUNT(D1063:G1063)=0,0,D1063*IF(E1063="",1,E1063)*IF(F1063="",1,F1063)*IF(G1063="",1,G1063))</f>
        <v>35</v>
      </c>
      <c r="M1063" s="23"/>
      <c r="N1063" s="23"/>
      <c r="O1063" s="23"/>
    </row>
    <row r="1064" customFormat="false" ht="15" hidden="false" customHeight="true" outlineLevel="0" collapsed="false">
      <c r="H1064" s="30"/>
      <c r="I1064" s="31" t="n">
        <f aca="false">ROUND(SUM(H1063:H1063),2)</f>
        <v>35</v>
      </c>
      <c r="J1064" s="32" t="n">
        <v>11.66</v>
      </c>
      <c r="K1064" s="31" t="n">
        <f aca="false">ROUND(I1064*J1064,2)</f>
        <v>408.1</v>
      </c>
      <c r="L1064" s="33" t="s">
        <v>212</v>
      </c>
      <c r="M1064" s="23" t="s">
        <v>123</v>
      </c>
      <c r="N1064" s="23" t="s">
        <v>54</v>
      </c>
      <c r="O1064" s="23" t="s">
        <v>959</v>
      </c>
    </row>
    <row r="1065" customFormat="false" ht="15" hidden="false" customHeight="true" outlineLevel="0" collapsed="false">
      <c r="A1065" s="3" t="s">
        <v>985</v>
      </c>
      <c r="B1065" s="3" t="s">
        <v>643</v>
      </c>
      <c r="C1065" s="3" t="s">
        <v>986</v>
      </c>
      <c r="M1065" s="23"/>
      <c r="N1065" s="23"/>
      <c r="O1065" s="23"/>
    </row>
    <row r="1066" customFormat="false" ht="84" hidden="false" customHeight="true" outlineLevel="0" collapsed="false">
      <c r="C1066" s="26" t="s">
        <v>987</v>
      </c>
      <c r="M1066" s="23"/>
      <c r="N1066" s="23"/>
      <c r="O1066" s="23"/>
    </row>
    <row r="1067" customFormat="false" ht="15" hidden="false" customHeight="true" outlineLevel="0" collapsed="false">
      <c r="C1067" s="27" t="s">
        <v>739</v>
      </c>
      <c r="D1067" s="28" t="n">
        <v>1</v>
      </c>
      <c r="H1067" s="29" t="n">
        <f aca="false">IF(COUNT(D1067:G1067)=0,0,D1067*IF(E1067="",1,E1067)*IF(F1067="",1,F1067)*IF(G1067="",1,G1067))</f>
        <v>1</v>
      </c>
      <c r="M1067" s="23"/>
      <c r="N1067" s="23"/>
      <c r="O1067" s="23"/>
    </row>
    <row r="1068" customFormat="false" ht="15" hidden="false" customHeight="true" outlineLevel="0" collapsed="false">
      <c r="H1068" s="30"/>
      <c r="I1068" s="31" t="n">
        <f aca="false">ROUND(SUM(H1067:H1067),2)</f>
        <v>1</v>
      </c>
      <c r="J1068" s="32" t="n">
        <v>148.4</v>
      </c>
      <c r="K1068" s="31" t="n">
        <f aca="false">ROUND(I1068*J1068,2)</f>
        <v>148.4</v>
      </c>
      <c r="L1068" s="33" t="s">
        <v>212</v>
      </c>
      <c r="M1068" s="23" t="s">
        <v>123</v>
      </c>
      <c r="N1068" s="23" t="s">
        <v>54</v>
      </c>
      <c r="O1068" s="23" t="s">
        <v>959</v>
      </c>
    </row>
    <row r="1069" customFormat="false" ht="15" hidden="false" customHeight="true" outlineLevel="0" collapsed="false">
      <c r="A1069" s="3" t="s">
        <v>988</v>
      </c>
      <c r="B1069" s="3" t="s">
        <v>643</v>
      </c>
      <c r="C1069" s="3" t="s">
        <v>989</v>
      </c>
      <c r="M1069" s="23"/>
      <c r="N1069" s="23"/>
      <c r="O1069" s="23"/>
    </row>
    <row r="1070" customFormat="false" ht="36" hidden="false" customHeight="true" outlineLevel="0" collapsed="false">
      <c r="C1070" s="26" t="s">
        <v>990</v>
      </c>
      <c r="M1070" s="23"/>
      <c r="N1070" s="23"/>
      <c r="O1070" s="23"/>
    </row>
    <row r="1071" customFormat="false" ht="15" hidden="false" customHeight="true" outlineLevel="0" collapsed="false">
      <c r="C1071" s="27" t="s">
        <v>991</v>
      </c>
      <c r="D1071" s="28" t="n">
        <v>7</v>
      </c>
      <c r="H1071" s="29" t="n">
        <f aca="false">IF(COUNT(D1071:G1071)=0,0,D1071*IF(E1071="",1,E1071)*IF(F1071="",1,F1071)*IF(G1071="",1,G1071))</f>
        <v>7</v>
      </c>
      <c r="M1071" s="23"/>
      <c r="N1071" s="23"/>
      <c r="O1071" s="23"/>
    </row>
    <row r="1072" customFormat="false" ht="15" hidden="false" customHeight="true" outlineLevel="0" collapsed="false">
      <c r="H1072" s="30"/>
      <c r="I1072" s="31" t="n">
        <f aca="false">ROUND(SUM(H1071:H1071),2)</f>
        <v>7</v>
      </c>
      <c r="J1072" s="32" t="n">
        <v>13.78</v>
      </c>
      <c r="K1072" s="31" t="n">
        <f aca="false">ROUND(I1072*J1072,2)</f>
        <v>96.46</v>
      </c>
      <c r="L1072" s="33" t="s">
        <v>212</v>
      </c>
      <c r="M1072" s="23" t="s">
        <v>123</v>
      </c>
      <c r="N1072" s="23" t="s">
        <v>54</v>
      </c>
      <c r="O1072" s="23" t="s">
        <v>959</v>
      </c>
    </row>
    <row r="1073" customFormat="false" ht="15" hidden="false" customHeight="true" outlineLevel="0" collapsed="false">
      <c r="C1073" s="34" t="s">
        <v>992</v>
      </c>
      <c r="K1073" s="14" t="n">
        <f aca="false">SUMIFS($K$5:$K$1072,$M$5:$M$1072,"P",$N$5:$N$1072,"16")</f>
        <v>45949.51</v>
      </c>
      <c r="M1073" s="23"/>
      <c r="N1073" s="23"/>
      <c r="O1073" s="23"/>
    </row>
    <row r="1074" customFormat="false" ht="15" hidden="false" customHeight="true" outlineLevel="0" collapsed="false">
      <c r="M1074" s="23"/>
      <c r="N1074" s="23"/>
      <c r="O1074" s="23"/>
    </row>
    <row r="1075" customFormat="false" ht="15" hidden="false" customHeight="true" outlineLevel="0" collapsed="false">
      <c r="A1075" s="24" t="s">
        <v>68</v>
      </c>
      <c r="B1075" s="25"/>
      <c r="C1075" s="24" t="s">
        <v>69</v>
      </c>
      <c r="D1075" s="25"/>
      <c r="E1075" s="25"/>
      <c r="F1075" s="25"/>
      <c r="G1075" s="25"/>
      <c r="H1075" s="25"/>
      <c r="I1075" s="25"/>
      <c r="J1075" s="25"/>
      <c r="K1075" s="25"/>
      <c r="L1075" s="25"/>
      <c r="M1075" s="23" t="s">
        <v>115</v>
      </c>
      <c r="N1075" s="23" t="s">
        <v>68</v>
      </c>
      <c r="O1075" s="23"/>
    </row>
    <row r="1076" customFormat="false" ht="15" hidden="false" customHeight="true" outlineLevel="0" collapsed="false">
      <c r="A1076" s="3" t="s">
        <v>993</v>
      </c>
      <c r="C1076" s="3" t="s">
        <v>994</v>
      </c>
      <c r="M1076" s="23" t="s">
        <v>291</v>
      </c>
      <c r="N1076" s="23" t="s">
        <v>68</v>
      </c>
      <c r="O1076" s="23" t="s">
        <v>993</v>
      </c>
    </row>
    <row r="1077" customFormat="false" ht="15" hidden="false" customHeight="true" outlineLevel="0" collapsed="false">
      <c r="A1077" s="3" t="s">
        <v>995</v>
      </c>
      <c r="B1077" s="3" t="s">
        <v>643</v>
      </c>
      <c r="C1077" s="3" t="s">
        <v>996</v>
      </c>
      <c r="M1077" s="23"/>
      <c r="N1077" s="23"/>
      <c r="O1077" s="23"/>
    </row>
    <row r="1078" customFormat="false" ht="96" hidden="false" customHeight="true" outlineLevel="0" collapsed="false">
      <c r="C1078" s="26" t="s">
        <v>997</v>
      </c>
      <c r="M1078" s="23"/>
      <c r="N1078" s="23"/>
      <c r="O1078" s="23"/>
    </row>
    <row r="1079" customFormat="false" ht="15" hidden="false" customHeight="true" outlineLevel="0" collapsed="false">
      <c r="C1079" s="27" t="s">
        <v>998</v>
      </c>
      <c r="D1079" s="28" t="n">
        <v>1</v>
      </c>
      <c r="H1079" s="29" t="n">
        <f aca="false">IF(COUNT(D1079:G1079)=0,0,D1079*IF(E1079="",1,E1079)*IF(F1079="",1,F1079)*IF(G1079="",1,G1079))</f>
        <v>1</v>
      </c>
      <c r="M1079" s="23"/>
      <c r="N1079" s="23"/>
      <c r="O1079" s="23"/>
    </row>
    <row r="1080" customFormat="false" ht="15" hidden="false" customHeight="true" outlineLevel="0" collapsed="false">
      <c r="H1080" s="30"/>
      <c r="I1080" s="31" t="n">
        <f aca="false">ROUND(SUM(H1079:H1079),2)</f>
        <v>1</v>
      </c>
      <c r="J1080" s="32" t="n">
        <v>140</v>
      </c>
      <c r="K1080" s="31" t="n">
        <f aca="false">ROUND(I1080*J1080,2)</f>
        <v>140</v>
      </c>
      <c r="L1080" s="33" t="s">
        <v>122</v>
      </c>
      <c r="M1080" s="23" t="s">
        <v>123</v>
      </c>
      <c r="N1080" s="23" t="s">
        <v>68</v>
      </c>
      <c r="O1080" s="23" t="s">
        <v>993</v>
      </c>
    </row>
    <row r="1081" customFormat="false" ht="15" hidden="false" customHeight="true" outlineLevel="0" collapsed="false">
      <c r="A1081" s="3" t="s">
        <v>999</v>
      </c>
      <c r="B1081" s="3" t="s">
        <v>643</v>
      </c>
      <c r="C1081" s="3" t="s">
        <v>1000</v>
      </c>
      <c r="M1081" s="23"/>
      <c r="N1081" s="23"/>
      <c r="O1081" s="23"/>
    </row>
    <row r="1082" customFormat="false" ht="120" hidden="false" customHeight="true" outlineLevel="0" collapsed="false">
      <c r="C1082" s="26" t="s">
        <v>1001</v>
      </c>
      <c r="M1082" s="23"/>
      <c r="N1082" s="23"/>
      <c r="O1082" s="23"/>
    </row>
    <row r="1083" customFormat="false" ht="15" hidden="false" customHeight="true" outlineLevel="0" collapsed="false">
      <c r="C1083" s="27" t="s">
        <v>998</v>
      </c>
      <c r="D1083" s="28" t="n">
        <v>4</v>
      </c>
      <c r="H1083" s="29" t="n">
        <f aca="false">IF(COUNT(D1083:G1083)=0,0,D1083*IF(E1083="",1,E1083)*IF(F1083="",1,F1083)*IF(G1083="",1,G1083))</f>
        <v>4</v>
      </c>
      <c r="M1083" s="23"/>
      <c r="N1083" s="23"/>
      <c r="O1083" s="23"/>
    </row>
    <row r="1084" customFormat="false" ht="15" hidden="false" customHeight="true" outlineLevel="0" collapsed="false">
      <c r="H1084" s="30"/>
      <c r="I1084" s="31" t="n">
        <f aca="false">ROUND(SUM(H1083:H1083),2)</f>
        <v>4</v>
      </c>
      <c r="J1084" s="32" t="n">
        <v>90</v>
      </c>
      <c r="K1084" s="31" t="n">
        <f aca="false">ROUND(I1084*J1084,2)</f>
        <v>360</v>
      </c>
      <c r="L1084" s="33" t="s">
        <v>122</v>
      </c>
      <c r="M1084" s="23" t="s">
        <v>123</v>
      </c>
      <c r="N1084" s="23" t="s">
        <v>68</v>
      </c>
      <c r="O1084" s="23" t="s">
        <v>993</v>
      </c>
    </row>
    <row r="1085" customFormat="false" ht="15" hidden="false" customHeight="true" outlineLevel="0" collapsed="false">
      <c r="A1085" s="3" t="s">
        <v>1002</v>
      </c>
      <c r="C1085" s="3" t="s">
        <v>1003</v>
      </c>
      <c r="M1085" s="23" t="s">
        <v>291</v>
      </c>
      <c r="N1085" s="23" t="s">
        <v>68</v>
      </c>
      <c r="O1085" s="23" t="s">
        <v>1002</v>
      </c>
    </row>
    <row r="1086" customFormat="false" ht="15" hidden="false" customHeight="true" outlineLevel="0" collapsed="false">
      <c r="A1086" s="3" t="s">
        <v>1004</v>
      </c>
      <c r="B1086" s="3" t="s">
        <v>643</v>
      </c>
      <c r="C1086" s="3" t="s">
        <v>1003</v>
      </c>
      <c r="M1086" s="23"/>
      <c r="N1086" s="23"/>
      <c r="O1086" s="23"/>
    </row>
    <row r="1087" customFormat="false" ht="204" hidden="false" customHeight="true" outlineLevel="0" collapsed="false">
      <c r="C1087" s="26" t="s">
        <v>1005</v>
      </c>
      <c r="M1087" s="23"/>
      <c r="N1087" s="23"/>
      <c r="O1087" s="23"/>
    </row>
    <row r="1088" customFormat="false" ht="15" hidden="false" customHeight="true" outlineLevel="0" collapsed="false">
      <c r="C1088" s="27" t="s">
        <v>998</v>
      </c>
      <c r="D1088" s="28" t="n">
        <v>1</v>
      </c>
      <c r="H1088" s="29" t="n">
        <f aca="false">IF(COUNT(D1088:G1088)=0,0,D1088*IF(E1088="",1,E1088)*IF(F1088="",1,F1088)*IF(G1088="",1,G1088))</f>
        <v>1</v>
      </c>
      <c r="M1088" s="23"/>
      <c r="N1088" s="23"/>
      <c r="O1088" s="23"/>
    </row>
    <row r="1089" customFormat="false" ht="15" hidden="false" customHeight="true" outlineLevel="0" collapsed="false">
      <c r="H1089" s="30"/>
      <c r="I1089" s="31" t="n">
        <f aca="false">ROUND(SUM(H1088:H1088),2)</f>
        <v>1</v>
      </c>
      <c r="J1089" s="32" t="n">
        <v>1024.5</v>
      </c>
      <c r="K1089" s="31" t="n">
        <f aca="false">ROUND(I1089*J1089,2)</f>
        <v>1024.5</v>
      </c>
      <c r="L1089" s="33" t="s">
        <v>122</v>
      </c>
      <c r="M1089" s="23" t="s">
        <v>123</v>
      </c>
      <c r="N1089" s="23" t="s">
        <v>68</v>
      </c>
      <c r="O1089" s="23" t="s">
        <v>1002</v>
      </c>
    </row>
    <row r="1090" customFormat="false" ht="15" hidden="false" customHeight="true" outlineLevel="0" collapsed="false">
      <c r="C1090" s="34" t="s">
        <v>1006</v>
      </c>
      <c r="K1090" s="14" t="n">
        <f aca="false">SUMIFS($K$5:$K$1089,$M$5:$M$1089,"P",$N$5:$N$1089,"18")</f>
        <v>1524.5</v>
      </c>
      <c r="M1090" s="23"/>
      <c r="N1090" s="23"/>
      <c r="O1090" s="23"/>
    </row>
    <row r="1091" customFormat="false" ht="15" hidden="false" customHeight="true" outlineLevel="0" collapsed="false">
      <c r="M1091" s="23"/>
      <c r="N1091" s="23"/>
      <c r="O1091" s="23"/>
    </row>
    <row r="1092" customFormat="false" ht="15" hidden="false" customHeight="true" outlineLevel="0" collapsed="false">
      <c r="A1092" s="24" t="s">
        <v>74</v>
      </c>
      <c r="B1092" s="25"/>
      <c r="C1092" s="24" t="s">
        <v>14</v>
      </c>
      <c r="D1092" s="25"/>
      <c r="E1092" s="25"/>
      <c r="F1092" s="25"/>
      <c r="G1092" s="25"/>
      <c r="H1092" s="25"/>
      <c r="I1092" s="25"/>
      <c r="J1092" s="25"/>
      <c r="K1092" s="25"/>
      <c r="L1092" s="25"/>
      <c r="M1092" s="23" t="s">
        <v>115</v>
      </c>
      <c r="N1092" s="23" t="s">
        <v>74</v>
      </c>
      <c r="O1092" s="23"/>
    </row>
    <row r="1093" customFormat="false" ht="15" hidden="false" customHeight="true" outlineLevel="0" collapsed="false">
      <c r="A1093" s="3" t="s">
        <v>1007</v>
      </c>
      <c r="B1093" s="3" t="s">
        <v>103</v>
      </c>
      <c r="C1093" s="3" t="s">
        <v>1008</v>
      </c>
      <c r="M1093" s="23"/>
      <c r="N1093" s="23"/>
      <c r="O1093" s="23"/>
    </row>
    <row r="1094" customFormat="false" ht="132" hidden="false" customHeight="true" outlineLevel="0" collapsed="false">
      <c r="C1094" s="26" t="s">
        <v>1009</v>
      </c>
      <c r="M1094" s="23"/>
      <c r="N1094" s="23"/>
      <c r="O1094" s="23"/>
    </row>
    <row r="1095" customFormat="false" ht="15" hidden="false" customHeight="true" outlineLevel="0" collapsed="false">
      <c r="C1095" s="27" t="s">
        <v>998</v>
      </c>
      <c r="D1095" s="28" t="n">
        <v>4</v>
      </c>
      <c r="H1095" s="29" t="n">
        <f aca="false">IF(COUNT(D1095:G1095)=0,0,D1095*IF(E1095="",1,E1095)*IF(F1095="",1,F1095)*IF(G1095="",1,G1095))</f>
        <v>4</v>
      </c>
      <c r="M1095" s="23"/>
      <c r="N1095" s="23"/>
      <c r="O1095" s="23"/>
    </row>
    <row r="1096" customFormat="false" ht="15" hidden="false" customHeight="true" outlineLevel="0" collapsed="false">
      <c r="H1096" s="30"/>
      <c r="I1096" s="31" t="n">
        <f aca="false">ROUND(SUM(H1095:H1095),2)</f>
        <v>4</v>
      </c>
      <c r="J1096" s="32" t="n">
        <v>152.78</v>
      </c>
      <c r="K1096" s="31" t="n">
        <f aca="false">ROUND(I1096*J1096,2)</f>
        <v>611.12</v>
      </c>
      <c r="L1096" s="33" t="s">
        <v>122</v>
      </c>
      <c r="M1096" s="23" t="s">
        <v>123</v>
      </c>
      <c r="N1096" s="23" t="s">
        <v>74</v>
      </c>
      <c r="O1096" s="23"/>
    </row>
    <row r="1097" customFormat="false" ht="15" hidden="false" customHeight="true" outlineLevel="0" collapsed="false">
      <c r="A1097" s="3" t="s">
        <v>1010</v>
      </c>
      <c r="B1097" s="3" t="s">
        <v>103</v>
      </c>
      <c r="C1097" s="3" t="s">
        <v>1011</v>
      </c>
      <c r="M1097" s="23"/>
      <c r="N1097" s="23"/>
      <c r="O1097" s="23"/>
    </row>
    <row r="1098" customFormat="false" ht="132" hidden="false" customHeight="true" outlineLevel="0" collapsed="false">
      <c r="C1098" s="26" t="s">
        <v>1012</v>
      </c>
      <c r="M1098" s="23"/>
      <c r="N1098" s="23"/>
      <c r="O1098" s="23"/>
    </row>
    <row r="1099" customFormat="false" ht="15" hidden="false" customHeight="true" outlineLevel="0" collapsed="false">
      <c r="C1099" s="27" t="s">
        <v>998</v>
      </c>
      <c r="D1099" s="28" t="n">
        <v>8</v>
      </c>
      <c r="H1099" s="29" t="n">
        <f aca="false">IF(COUNT(D1099:G1099)=0,0,D1099*IF(E1099="",1,E1099)*IF(F1099="",1,F1099)*IF(G1099="",1,G1099))</f>
        <v>8</v>
      </c>
      <c r="M1099" s="23"/>
      <c r="N1099" s="23"/>
      <c r="O1099" s="23"/>
    </row>
    <row r="1100" customFormat="false" ht="15" hidden="false" customHeight="true" outlineLevel="0" collapsed="false">
      <c r="H1100" s="30"/>
      <c r="I1100" s="31" t="n">
        <f aca="false">ROUND(SUM(H1099:H1099),2)</f>
        <v>8</v>
      </c>
      <c r="J1100" s="32" t="n">
        <v>152.78</v>
      </c>
      <c r="K1100" s="31" t="n">
        <f aca="false">ROUND(I1100*J1100,2)</f>
        <v>1222.24</v>
      </c>
      <c r="L1100" s="33" t="s">
        <v>122</v>
      </c>
      <c r="M1100" s="23" t="s">
        <v>123</v>
      </c>
      <c r="N1100" s="23" t="s">
        <v>74</v>
      </c>
      <c r="O1100" s="23"/>
    </row>
    <row r="1101" customFormat="false" ht="15" hidden="false" customHeight="true" outlineLevel="0" collapsed="false">
      <c r="A1101" s="3" t="s">
        <v>1013</v>
      </c>
      <c r="B1101" s="3" t="s">
        <v>103</v>
      </c>
      <c r="C1101" s="3" t="s">
        <v>1014</v>
      </c>
      <c r="M1101" s="23"/>
      <c r="N1101" s="23"/>
      <c r="O1101" s="23"/>
    </row>
    <row r="1102" customFormat="false" ht="120" hidden="false" customHeight="true" outlineLevel="0" collapsed="false">
      <c r="C1102" s="26" t="s">
        <v>1015</v>
      </c>
      <c r="M1102" s="23"/>
      <c r="N1102" s="23"/>
      <c r="O1102" s="23"/>
    </row>
    <row r="1103" customFormat="false" ht="15" hidden="false" customHeight="true" outlineLevel="0" collapsed="false">
      <c r="C1103" s="27" t="s">
        <v>998</v>
      </c>
      <c r="D1103" s="28" t="n">
        <v>1</v>
      </c>
      <c r="H1103" s="29" t="n">
        <f aca="false">IF(COUNT(D1103:G1103)=0,0,D1103*IF(E1103="",1,E1103)*IF(F1103="",1,F1103)*IF(G1103="",1,G1103))</f>
        <v>1</v>
      </c>
      <c r="M1103" s="23"/>
      <c r="N1103" s="23"/>
      <c r="O1103" s="23"/>
    </row>
    <row r="1104" customFormat="false" ht="15" hidden="false" customHeight="true" outlineLevel="0" collapsed="false">
      <c r="H1104" s="30"/>
      <c r="I1104" s="31" t="n">
        <f aca="false">ROUND(SUM(H1103:H1103),2)</f>
        <v>1</v>
      </c>
      <c r="J1104" s="32" t="n">
        <v>152.78</v>
      </c>
      <c r="K1104" s="31" t="n">
        <f aca="false">ROUND(I1104*J1104,2)</f>
        <v>152.78</v>
      </c>
      <c r="L1104" s="33" t="s">
        <v>122</v>
      </c>
      <c r="M1104" s="23" t="s">
        <v>123</v>
      </c>
      <c r="N1104" s="23" t="s">
        <v>74</v>
      </c>
      <c r="O1104" s="23"/>
    </row>
    <row r="1105" customFormat="false" ht="15" hidden="false" customHeight="true" outlineLevel="0" collapsed="false">
      <c r="A1105" s="3" t="s">
        <v>1016</v>
      </c>
      <c r="B1105" s="3" t="s">
        <v>103</v>
      </c>
      <c r="C1105" s="3" t="s">
        <v>1017</v>
      </c>
      <c r="M1105" s="23"/>
      <c r="N1105" s="23"/>
      <c r="O1105" s="23"/>
    </row>
    <row r="1106" customFormat="false" ht="120" hidden="false" customHeight="true" outlineLevel="0" collapsed="false">
      <c r="C1106" s="26" t="s">
        <v>1018</v>
      </c>
      <c r="M1106" s="23"/>
      <c r="N1106" s="23"/>
      <c r="O1106" s="23"/>
    </row>
    <row r="1107" customFormat="false" ht="15" hidden="false" customHeight="true" outlineLevel="0" collapsed="false">
      <c r="C1107" s="27" t="s">
        <v>998</v>
      </c>
      <c r="D1107" s="28" t="n">
        <v>1</v>
      </c>
      <c r="H1107" s="29" t="n">
        <f aca="false">IF(COUNT(D1107:G1107)=0,0,D1107*IF(E1107="",1,E1107)*IF(F1107="",1,F1107)*IF(G1107="",1,G1107))</f>
        <v>1</v>
      </c>
      <c r="M1107" s="23"/>
      <c r="N1107" s="23"/>
      <c r="O1107" s="23"/>
    </row>
    <row r="1108" customFormat="false" ht="15" hidden="false" customHeight="true" outlineLevel="0" collapsed="false">
      <c r="H1108" s="30"/>
      <c r="I1108" s="31" t="n">
        <f aca="false">ROUND(SUM(H1107:H1107),2)</f>
        <v>1</v>
      </c>
      <c r="J1108" s="32" t="n">
        <v>152.78</v>
      </c>
      <c r="K1108" s="31" t="n">
        <f aca="false">ROUND(I1108*J1108,2)</f>
        <v>152.78</v>
      </c>
      <c r="L1108" s="33" t="s">
        <v>122</v>
      </c>
      <c r="M1108" s="23" t="s">
        <v>123</v>
      </c>
      <c r="N1108" s="23" t="s">
        <v>74</v>
      </c>
      <c r="O1108" s="23"/>
    </row>
    <row r="1109" customFormat="false" ht="15" hidden="false" customHeight="true" outlineLevel="0" collapsed="false">
      <c r="A1109" s="3" t="s">
        <v>1019</v>
      </c>
      <c r="B1109" s="3" t="s">
        <v>103</v>
      </c>
      <c r="C1109" s="3" t="s">
        <v>1020</v>
      </c>
      <c r="M1109" s="23"/>
      <c r="N1109" s="23"/>
      <c r="O1109" s="23"/>
    </row>
    <row r="1110" customFormat="false" ht="120" hidden="false" customHeight="true" outlineLevel="0" collapsed="false">
      <c r="C1110" s="26" t="s">
        <v>1021</v>
      </c>
      <c r="M1110" s="23"/>
      <c r="N1110" s="23"/>
      <c r="O1110" s="23"/>
    </row>
    <row r="1111" customFormat="false" ht="15" hidden="false" customHeight="true" outlineLevel="0" collapsed="false">
      <c r="C1111" s="27" t="s">
        <v>998</v>
      </c>
      <c r="D1111" s="28" t="n">
        <v>1</v>
      </c>
      <c r="H1111" s="29" t="n">
        <f aca="false">IF(COUNT(D1111:G1111)=0,0,D1111*IF(E1111="",1,E1111)*IF(F1111="",1,F1111)*IF(G1111="",1,G1111))</f>
        <v>1</v>
      </c>
      <c r="M1111" s="23"/>
      <c r="N1111" s="23"/>
      <c r="O1111" s="23"/>
    </row>
    <row r="1112" customFormat="false" ht="15" hidden="false" customHeight="true" outlineLevel="0" collapsed="false">
      <c r="H1112" s="30"/>
      <c r="I1112" s="31" t="n">
        <f aca="false">ROUND(SUM(H1111:H1111),2)</f>
        <v>1</v>
      </c>
      <c r="J1112" s="32" t="n">
        <v>152.78</v>
      </c>
      <c r="K1112" s="31" t="n">
        <f aca="false">ROUND(I1112*J1112,2)</f>
        <v>152.78</v>
      </c>
      <c r="L1112" s="33" t="s">
        <v>122</v>
      </c>
      <c r="M1112" s="23" t="s">
        <v>123</v>
      </c>
      <c r="N1112" s="23" t="s">
        <v>74</v>
      </c>
      <c r="O1112" s="23"/>
    </row>
    <row r="1113" customFormat="false" ht="15" hidden="false" customHeight="true" outlineLevel="0" collapsed="false">
      <c r="A1113" s="3" t="s">
        <v>1022</v>
      </c>
      <c r="B1113" s="3" t="s">
        <v>103</v>
      </c>
      <c r="C1113" s="3" t="s">
        <v>1023</v>
      </c>
      <c r="M1113" s="23"/>
      <c r="N1113" s="23"/>
      <c r="O1113" s="23"/>
    </row>
    <row r="1114" customFormat="false" ht="120" hidden="false" customHeight="true" outlineLevel="0" collapsed="false">
      <c r="C1114" s="26" t="s">
        <v>1024</v>
      </c>
      <c r="M1114" s="23"/>
      <c r="N1114" s="23"/>
      <c r="O1114" s="23"/>
    </row>
    <row r="1115" customFormat="false" ht="15" hidden="false" customHeight="true" outlineLevel="0" collapsed="false">
      <c r="C1115" s="27" t="s">
        <v>998</v>
      </c>
      <c r="D1115" s="28" t="n">
        <v>1</v>
      </c>
      <c r="H1115" s="29" t="n">
        <f aca="false">IF(COUNT(D1115:G1115)=0,0,D1115*IF(E1115="",1,E1115)*IF(F1115="",1,F1115)*IF(G1115="",1,G1115))</f>
        <v>1</v>
      </c>
      <c r="M1115" s="23"/>
      <c r="N1115" s="23"/>
      <c r="O1115" s="23"/>
    </row>
    <row r="1116" customFormat="false" ht="15" hidden="false" customHeight="true" outlineLevel="0" collapsed="false">
      <c r="H1116" s="30"/>
      <c r="I1116" s="31" t="n">
        <f aca="false">ROUND(SUM(H1115:H1115),2)</f>
        <v>1</v>
      </c>
      <c r="J1116" s="32" t="n">
        <v>152.78</v>
      </c>
      <c r="K1116" s="31" t="n">
        <f aca="false">ROUND(I1116*J1116,2)</f>
        <v>152.78</v>
      </c>
      <c r="L1116" s="33" t="s">
        <v>122</v>
      </c>
      <c r="M1116" s="23" t="s">
        <v>123</v>
      </c>
      <c r="N1116" s="23" t="s">
        <v>74</v>
      </c>
      <c r="O1116" s="23"/>
    </row>
    <row r="1117" customFormat="false" ht="15" hidden="false" customHeight="true" outlineLevel="0" collapsed="false">
      <c r="A1117" s="3" t="s">
        <v>1025</v>
      </c>
      <c r="B1117" s="3" t="s">
        <v>103</v>
      </c>
      <c r="C1117" s="3" t="s">
        <v>1026</v>
      </c>
      <c r="M1117" s="23"/>
      <c r="N1117" s="23"/>
      <c r="O1117" s="23"/>
    </row>
    <row r="1118" customFormat="false" ht="120" hidden="false" customHeight="true" outlineLevel="0" collapsed="false">
      <c r="C1118" s="26" t="s">
        <v>1027</v>
      </c>
      <c r="M1118" s="23"/>
      <c r="N1118" s="23"/>
      <c r="O1118" s="23"/>
    </row>
    <row r="1119" customFormat="false" ht="15" hidden="false" customHeight="true" outlineLevel="0" collapsed="false">
      <c r="C1119" s="27" t="s">
        <v>998</v>
      </c>
      <c r="D1119" s="28" t="n">
        <v>1</v>
      </c>
      <c r="H1119" s="29" t="n">
        <f aca="false">IF(COUNT(D1119:G1119)=0,0,D1119*IF(E1119="",1,E1119)*IF(F1119="",1,F1119)*IF(G1119="",1,G1119))</f>
        <v>1</v>
      </c>
      <c r="M1119" s="23"/>
      <c r="N1119" s="23"/>
      <c r="O1119" s="23"/>
    </row>
    <row r="1120" customFormat="false" ht="15" hidden="false" customHeight="true" outlineLevel="0" collapsed="false">
      <c r="H1120" s="30"/>
      <c r="I1120" s="31" t="n">
        <f aca="false">ROUND(SUM(H1119:H1119),2)</f>
        <v>1</v>
      </c>
      <c r="J1120" s="32" t="n">
        <v>152.78</v>
      </c>
      <c r="K1120" s="31" t="n">
        <f aca="false">ROUND(I1120*J1120,2)</f>
        <v>152.78</v>
      </c>
      <c r="L1120" s="33" t="s">
        <v>122</v>
      </c>
      <c r="M1120" s="23" t="s">
        <v>123</v>
      </c>
      <c r="N1120" s="23" t="s">
        <v>74</v>
      </c>
      <c r="O1120" s="23"/>
    </row>
    <row r="1121" customFormat="false" ht="15" hidden="false" customHeight="true" outlineLevel="0" collapsed="false">
      <c r="A1121" s="3" t="s">
        <v>1028</v>
      </c>
      <c r="B1121" s="3" t="s">
        <v>103</v>
      </c>
      <c r="C1121" s="3" t="s">
        <v>1029</v>
      </c>
      <c r="M1121" s="23"/>
      <c r="N1121" s="23"/>
      <c r="O1121" s="23"/>
    </row>
    <row r="1122" customFormat="false" ht="108" hidden="false" customHeight="true" outlineLevel="0" collapsed="false">
      <c r="C1122" s="26" t="s">
        <v>1030</v>
      </c>
      <c r="M1122" s="23"/>
      <c r="N1122" s="23"/>
      <c r="O1122" s="23"/>
    </row>
    <row r="1123" customFormat="false" ht="15" hidden="false" customHeight="true" outlineLevel="0" collapsed="false">
      <c r="C1123" s="27" t="s">
        <v>998</v>
      </c>
      <c r="D1123" s="28" t="n">
        <v>1</v>
      </c>
      <c r="H1123" s="29" t="n">
        <f aca="false">IF(COUNT(D1123:G1123)=0,0,D1123*IF(E1123="",1,E1123)*IF(F1123="",1,F1123)*IF(G1123="",1,G1123))</f>
        <v>1</v>
      </c>
      <c r="M1123" s="23"/>
      <c r="N1123" s="23"/>
      <c r="O1123" s="23"/>
    </row>
    <row r="1124" customFormat="false" ht="15" hidden="false" customHeight="true" outlineLevel="0" collapsed="false">
      <c r="H1124" s="30"/>
      <c r="I1124" s="31" t="n">
        <f aca="false">ROUND(SUM(H1123:H1123),2)</f>
        <v>1</v>
      </c>
      <c r="J1124" s="32" t="n">
        <v>152.78</v>
      </c>
      <c r="K1124" s="31" t="n">
        <f aca="false">ROUND(I1124*J1124,2)</f>
        <v>152.78</v>
      </c>
      <c r="L1124" s="33" t="s">
        <v>122</v>
      </c>
      <c r="M1124" s="23" t="s">
        <v>123</v>
      </c>
      <c r="N1124" s="23" t="s">
        <v>74</v>
      </c>
      <c r="O1124" s="23"/>
    </row>
    <row r="1125" customFormat="false" ht="15" hidden="false" customHeight="true" outlineLevel="0" collapsed="false">
      <c r="C1125" s="34" t="s">
        <v>1031</v>
      </c>
      <c r="K1125" s="14" t="n">
        <f aca="false">SUMIFS($K$5:$K$1124,$M$5:$M$1124,"P",$N$5:$N$1124,"19")</f>
        <v>2750.04</v>
      </c>
      <c r="M1125" s="23"/>
      <c r="N1125" s="23"/>
      <c r="O1125" s="23"/>
    </row>
    <row r="1126" customFormat="false" ht="15" hidden="false" customHeight="true" outlineLevel="0" collapsed="false">
      <c r="M1126" s="23"/>
      <c r="N1126" s="23"/>
      <c r="O1126" s="23"/>
    </row>
    <row r="1127" customFormat="false" ht="15" hidden="false" customHeight="true" outlineLevel="0" collapsed="false">
      <c r="A1127" s="24" t="s">
        <v>75</v>
      </c>
      <c r="B1127" s="25"/>
      <c r="C1127" s="24" t="s">
        <v>16</v>
      </c>
      <c r="D1127" s="25"/>
      <c r="E1127" s="25"/>
      <c r="F1127" s="25"/>
      <c r="G1127" s="25"/>
      <c r="H1127" s="25"/>
      <c r="I1127" s="25"/>
      <c r="J1127" s="25"/>
      <c r="K1127" s="25"/>
      <c r="L1127" s="25"/>
      <c r="M1127" s="23" t="s">
        <v>115</v>
      </c>
      <c r="N1127" s="23" t="s">
        <v>75</v>
      </c>
      <c r="O1127" s="23"/>
    </row>
    <row r="1128" customFormat="false" ht="15" hidden="false" customHeight="true" outlineLevel="0" collapsed="false">
      <c r="A1128" s="3" t="s">
        <v>1032</v>
      </c>
      <c r="C1128" s="3" t="s">
        <v>1033</v>
      </c>
      <c r="M1128" s="23" t="s">
        <v>291</v>
      </c>
      <c r="N1128" s="23" t="s">
        <v>75</v>
      </c>
      <c r="O1128" s="23" t="s">
        <v>1032</v>
      </c>
    </row>
    <row r="1129" customFormat="false" ht="15" hidden="false" customHeight="true" outlineLevel="0" collapsed="false">
      <c r="A1129" s="3" t="s">
        <v>1034</v>
      </c>
      <c r="B1129" s="3" t="s">
        <v>1035</v>
      </c>
      <c r="C1129" s="3" t="s">
        <v>1036</v>
      </c>
      <c r="M1129" s="23"/>
      <c r="N1129" s="23"/>
      <c r="O1129" s="23"/>
    </row>
    <row r="1130" customFormat="false" ht="48" hidden="false" customHeight="true" outlineLevel="0" collapsed="false">
      <c r="C1130" s="26" t="s">
        <v>1037</v>
      </c>
      <c r="M1130" s="23"/>
      <c r="N1130" s="23"/>
      <c r="O1130" s="23"/>
    </row>
    <row r="1131" customFormat="false" ht="15" hidden="false" customHeight="true" outlineLevel="0" collapsed="false">
      <c r="C1131" s="27" t="s">
        <v>998</v>
      </c>
      <c r="D1131" s="28" t="n">
        <v>156</v>
      </c>
      <c r="H1131" s="29" t="n">
        <f aca="false">IF(COUNT(D1131:G1131)=0,0,D1131*IF(E1131="",1,E1131)*IF(F1131="",1,F1131)*IF(G1131="",1,G1131))</f>
        <v>156</v>
      </c>
      <c r="M1131" s="23"/>
      <c r="N1131" s="23"/>
      <c r="O1131" s="23"/>
    </row>
    <row r="1132" customFormat="false" ht="15" hidden="false" customHeight="true" outlineLevel="0" collapsed="false">
      <c r="H1132" s="30"/>
      <c r="I1132" s="31" t="n">
        <f aca="false">ROUND(SUM(H1131:H1131),2)</f>
        <v>156</v>
      </c>
      <c r="J1132" s="32" t="n">
        <v>15.41</v>
      </c>
      <c r="K1132" s="31" t="n">
        <f aca="false">ROUND(I1132*J1132,2)</f>
        <v>2403.96</v>
      </c>
      <c r="L1132" s="33" t="s">
        <v>122</v>
      </c>
      <c r="M1132" s="23" t="s">
        <v>123</v>
      </c>
      <c r="N1132" s="23" t="s">
        <v>75</v>
      </c>
      <c r="O1132" s="23" t="s">
        <v>1032</v>
      </c>
    </row>
    <row r="1133" customFormat="false" ht="15" hidden="false" customHeight="true" outlineLevel="0" collapsed="false">
      <c r="A1133" s="3" t="s">
        <v>1038</v>
      </c>
      <c r="B1133" s="3" t="s">
        <v>650</v>
      </c>
      <c r="C1133" s="3" t="s">
        <v>1039</v>
      </c>
      <c r="M1133" s="23"/>
      <c r="N1133" s="23"/>
      <c r="O1133" s="23"/>
    </row>
    <row r="1134" customFormat="false" ht="84" hidden="false" customHeight="true" outlineLevel="0" collapsed="false">
      <c r="C1134" s="26" t="s">
        <v>1040</v>
      </c>
      <c r="M1134" s="23"/>
      <c r="N1134" s="23"/>
      <c r="O1134" s="23"/>
    </row>
    <row r="1135" customFormat="false" ht="15" hidden="false" customHeight="true" outlineLevel="0" collapsed="false">
      <c r="C1135" s="27" t="s">
        <v>998</v>
      </c>
      <c r="D1135" s="28" t="n">
        <v>25</v>
      </c>
      <c r="H1135" s="29" t="n">
        <f aca="false">IF(COUNT(D1135:G1135)=0,0,D1135*IF(E1135="",1,E1135)*IF(F1135="",1,F1135)*IF(G1135="",1,G1135))</f>
        <v>25</v>
      </c>
      <c r="M1135" s="23"/>
      <c r="N1135" s="23"/>
      <c r="O1135" s="23"/>
    </row>
    <row r="1136" customFormat="false" ht="15" hidden="false" customHeight="true" outlineLevel="0" collapsed="false">
      <c r="H1136" s="30"/>
      <c r="I1136" s="31" t="n">
        <f aca="false">ROUND(SUM(H1135:H1135),2)</f>
        <v>25</v>
      </c>
      <c r="J1136" s="32" t="n">
        <v>11.84</v>
      </c>
      <c r="K1136" s="31" t="n">
        <f aca="false">ROUND(I1136*J1136,2)</f>
        <v>296</v>
      </c>
      <c r="L1136" s="33" t="s">
        <v>122</v>
      </c>
      <c r="M1136" s="23" t="s">
        <v>123</v>
      </c>
      <c r="N1136" s="23" t="s">
        <v>75</v>
      </c>
      <c r="O1136" s="23" t="s">
        <v>1032</v>
      </c>
    </row>
    <row r="1137" customFormat="false" ht="15" hidden="false" customHeight="true" outlineLevel="0" collapsed="false">
      <c r="A1137" s="3" t="s">
        <v>1041</v>
      </c>
      <c r="B1137" s="3" t="s">
        <v>650</v>
      </c>
      <c r="C1137" s="3" t="s">
        <v>1042</v>
      </c>
      <c r="M1137" s="23"/>
      <c r="N1137" s="23"/>
      <c r="O1137" s="23"/>
    </row>
    <row r="1138" customFormat="false" ht="84" hidden="false" customHeight="true" outlineLevel="0" collapsed="false">
      <c r="C1138" s="26" t="s">
        <v>1043</v>
      </c>
      <c r="M1138" s="23"/>
      <c r="N1138" s="23"/>
      <c r="O1138" s="23"/>
    </row>
    <row r="1139" customFormat="false" ht="15" hidden="false" customHeight="true" outlineLevel="0" collapsed="false">
      <c r="C1139" s="27" t="s">
        <v>998</v>
      </c>
      <c r="D1139" s="28" t="n">
        <v>10</v>
      </c>
      <c r="H1139" s="29" t="n">
        <f aca="false">IF(COUNT(D1139:G1139)=0,0,D1139*IF(E1139="",1,E1139)*IF(F1139="",1,F1139)*IF(G1139="",1,G1139))</f>
        <v>10</v>
      </c>
      <c r="M1139" s="23"/>
      <c r="N1139" s="23"/>
      <c r="O1139" s="23"/>
    </row>
    <row r="1140" customFormat="false" ht="15" hidden="false" customHeight="true" outlineLevel="0" collapsed="false">
      <c r="H1140" s="30"/>
      <c r="I1140" s="31" t="n">
        <f aca="false">ROUND(SUM(H1139:H1139),2)</f>
        <v>10</v>
      </c>
      <c r="J1140" s="32" t="n">
        <v>8.68</v>
      </c>
      <c r="K1140" s="31" t="n">
        <f aca="false">ROUND(I1140*J1140,2)</f>
        <v>86.8</v>
      </c>
      <c r="L1140" s="33" t="s">
        <v>122</v>
      </c>
      <c r="M1140" s="23" t="s">
        <v>123</v>
      </c>
      <c r="N1140" s="23" t="s">
        <v>75</v>
      </c>
      <c r="O1140" s="23" t="s">
        <v>1032</v>
      </c>
    </row>
    <row r="1141" customFormat="false" ht="15" hidden="false" customHeight="true" outlineLevel="0" collapsed="false">
      <c r="A1141" s="3" t="s">
        <v>1044</v>
      </c>
      <c r="B1141" s="3" t="s">
        <v>650</v>
      </c>
      <c r="C1141" s="3" t="s">
        <v>1045</v>
      </c>
      <c r="M1141" s="23"/>
      <c r="N1141" s="23"/>
      <c r="O1141" s="23"/>
    </row>
    <row r="1142" customFormat="false" ht="72" hidden="false" customHeight="true" outlineLevel="0" collapsed="false">
      <c r="C1142" s="26" t="s">
        <v>1046</v>
      </c>
      <c r="M1142" s="23"/>
      <c r="N1142" s="23"/>
      <c r="O1142" s="23"/>
    </row>
    <row r="1143" customFormat="false" ht="15" hidden="false" customHeight="true" outlineLevel="0" collapsed="false">
      <c r="C1143" s="27" t="s">
        <v>998</v>
      </c>
      <c r="D1143" s="28" t="n">
        <v>10</v>
      </c>
      <c r="H1143" s="29" t="n">
        <f aca="false">IF(COUNT(D1143:G1143)=0,0,D1143*IF(E1143="",1,E1143)*IF(F1143="",1,F1143)*IF(G1143="",1,G1143))</f>
        <v>10</v>
      </c>
      <c r="M1143" s="23"/>
      <c r="N1143" s="23"/>
      <c r="O1143" s="23"/>
    </row>
    <row r="1144" customFormat="false" ht="15" hidden="false" customHeight="true" outlineLevel="0" collapsed="false">
      <c r="H1144" s="30"/>
      <c r="I1144" s="31" t="n">
        <f aca="false">ROUND(SUM(H1143:H1143),2)</f>
        <v>10</v>
      </c>
      <c r="J1144" s="32" t="n">
        <v>6.31</v>
      </c>
      <c r="K1144" s="31" t="n">
        <f aca="false">ROUND(I1144*J1144,2)</f>
        <v>63.1</v>
      </c>
      <c r="L1144" s="33" t="s">
        <v>122</v>
      </c>
      <c r="M1144" s="23" t="s">
        <v>123</v>
      </c>
      <c r="N1144" s="23" t="s">
        <v>75</v>
      </c>
      <c r="O1144" s="23" t="s">
        <v>1032</v>
      </c>
    </row>
    <row r="1145" customFormat="false" ht="15" hidden="false" customHeight="true" outlineLevel="0" collapsed="false">
      <c r="A1145" s="3" t="s">
        <v>1047</v>
      </c>
      <c r="B1145" s="3" t="s">
        <v>643</v>
      </c>
      <c r="C1145" s="3" t="s">
        <v>1048</v>
      </c>
      <c r="M1145" s="23"/>
      <c r="N1145" s="23"/>
      <c r="O1145" s="23"/>
    </row>
    <row r="1146" customFormat="false" ht="108" hidden="false" customHeight="true" outlineLevel="0" collapsed="false">
      <c r="C1146" s="26" t="s">
        <v>1049</v>
      </c>
      <c r="M1146" s="23"/>
      <c r="N1146" s="23"/>
      <c r="O1146" s="23"/>
    </row>
    <row r="1147" customFormat="false" ht="15" hidden="false" customHeight="true" outlineLevel="0" collapsed="false">
      <c r="C1147" s="27" t="s">
        <v>998</v>
      </c>
      <c r="D1147" s="28" t="n">
        <v>10</v>
      </c>
      <c r="H1147" s="29" t="n">
        <f aca="false">IF(COUNT(D1147:G1147)=0,0,D1147*IF(E1147="",1,E1147)*IF(F1147="",1,F1147)*IF(G1147="",1,G1147))</f>
        <v>10</v>
      </c>
      <c r="M1147" s="23"/>
      <c r="N1147" s="23"/>
      <c r="O1147" s="23"/>
    </row>
    <row r="1148" customFormat="false" ht="15" hidden="false" customHeight="true" outlineLevel="0" collapsed="false">
      <c r="H1148" s="30"/>
      <c r="I1148" s="31" t="n">
        <f aca="false">ROUND(SUM(H1147:H1147),2)</f>
        <v>10</v>
      </c>
      <c r="J1148" s="32" t="n">
        <v>11.84</v>
      </c>
      <c r="K1148" s="31" t="n">
        <f aca="false">ROUND(I1148*J1148,2)</f>
        <v>118.4</v>
      </c>
      <c r="L1148" s="33" t="s">
        <v>122</v>
      </c>
      <c r="M1148" s="23" t="s">
        <v>123</v>
      </c>
      <c r="N1148" s="23" t="s">
        <v>75</v>
      </c>
      <c r="O1148" s="23" t="s">
        <v>1032</v>
      </c>
    </row>
    <row r="1149" customFormat="false" ht="15" hidden="false" customHeight="true" outlineLevel="0" collapsed="false">
      <c r="A1149" s="3" t="s">
        <v>1050</v>
      </c>
      <c r="B1149" s="3" t="s">
        <v>650</v>
      </c>
      <c r="C1149" s="3" t="s">
        <v>1051</v>
      </c>
      <c r="M1149" s="23"/>
      <c r="N1149" s="23"/>
      <c r="O1149" s="23"/>
    </row>
    <row r="1150" customFormat="false" ht="144" hidden="false" customHeight="true" outlineLevel="0" collapsed="false">
      <c r="C1150" s="26" t="s">
        <v>1052</v>
      </c>
      <c r="M1150" s="23"/>
      <c r="N1150" s="23"/>
      <c r="O1150" s="23"/>
    </row>
    <row r="1151" customFormat="false" ht="15" hidden="false" customHeight="true" outlineLevel="0" collapsed="false">
      <c r="C1151" s="27" t="s">
        <v>998</v>
      </c>
      <c r="D1151" s="28" t="n">
        <v>5</v>
      </c>
      <c r="H1151" s="29" t="n">
        <f aca="false">IF(COUNT(D1151:G1151)=0,0,D1151*IF(E1151="",1,E1151)*IF(F1151="",1,F1151)*IF(G1151="",1,G1151))</f>
        <v>5</v>
      </c>
      <c r="M1151" s="23"/>
      <c r="N1151" s="23"/>
      <c r="O1151" s="23"/>
    </row>
    <row r="1152" customFormat="false" ht="15" hidden="false" customHeight="true" outlineLevel="0" collapsed="false">
      <c r="H1152" s="30"/>
      <c r="I1152" s="31" t="n">
        <f aca="false">ROUND(SUM(H1151:H1151),2)</f>
        <v>5</v>
      </c>
      <c r="J1152" s="32" t="n">
        <v>1.37</v>
      </c>
      <c r="K1152" s="31" t="n">
        <f aca="false">ROUND(I1152*J1152,2)</f>
        <v>6.85</v>
      </c>
      <c r="L1152" s="33" t="s">
        <v>122</v>
      </c>
      <c r="M1152" s="23" t="s">
        <v>123</v>
      </c>
      <c r="N1152" s="23" t="s">
        <v>75</v>
      </c>
      <c r="O1152" s="23" t="s">
        <v>1032</v>
      </c>
    </row>
    <row r="1153" customFormat="false" ht="15" hidden="false" customHeight="true" outlineLevel="0" collapsed="false">
      <c r="A1153" s="3" t="s">
        <v>1053</v>
      </c>
      <c r="B1153" s="3" t="s">
        <v>1035</v>
      </c>
      <c r="C1153" s="3" t="s">
        <v>1054</v>
      </c>
      <c r="M1153" s="23"/>
      <c r="N1153" s="23"/>
      <c r="O1153" s="23"/>
    </row>
    <row r="1154" customFormat="false" ht="84" hidden="false" customHeight="true" outlineLevel="0" collapsed="false">
      <c r="C1154" s="26" t="s">
        <v>1055</v>
      </c>
      <c r="M1154" s="23"/>
      <c r="N1154" s="23"/>
      <c r="O1154" s="23"/>
    </row>
    <row r="1155" customFormat="false" ht="15" hidden="false" customHeight="true" outlineLevel="0" collapsed="false">
      <c r="C1155" s="27" t="s">
        <v>998</v>
      </c>
      <c r="D1155" s="28" t="n">
        <v>25</v>
      </c>
      <c r="H1155" s="29" t="n">
        <f aca="false">IF(COUNT(D1155:G1155)=0,0,D1155*IF(E1155="",1,E1155)*IF(F1155="",1,F1155)*IF(G1155="",1,G1155))</f>
        <v>25</v>
      </c>
      <c r="M1155" s="23"/>
      <c r="N1155" s="23"/>
      <c r="O1155" s="23"/>
    </row>
    <row r="1156" customFormat="false" ht="15" hidden="false" customHeight="true" outlineLevel="0" collapsed="false">
      <c r="H1156" s="30"/>
      <c r="I1156" s="31" t="n">
        <f aca="false">ROUND(SUM(H1155:H1155),2)</f>
        <v>25</v>
      </c>
      <c r="J1156" s="32" t="n">
        <v>2.54</v>
      </c>
      <c r="K1156" s="31" t="n">
        <f aca="false">ROUND(I1156*J1156,2)</f>
        <v>63.5</v>
      </c>
      <c r="L1156" s="33" t="s">
        <v>122</v>
      </c>
      <c r="M1156" s="23" t="s">
        <v>123</v>
      </c>
      <c r="N1156" s="23" t="s">
        <v>75</v>
      </c>
      <c r="O1156" s="23" t="s">
        <v>1032</v>
      </c>
    </row>
    <row r="1157" customFormat="false" ht="15" hidden="false" customHeight="true" outlineLevel="0" collapsed="false">
      <c r="A1157" s="3" t="s">
        <v>1056</v>
      </c>
      <c r="B1157" s="3" t="s">
        <v>643</v>
      </c>
      <c r="C1157" s="3" t="s">
        <v>1057</v>
      </c>
      <c r="M1157" s="23"/>
      <c r="N1157" s="23"/>
      <c r="O1157" s="23"/>
    </row>
    <row r="1158" customFormat="false" ht="48" hidden="false" customHeight="true" outlineLevel="0" collapsed="false">
      <c r="C1158" s="26" t="s">
        <v>1058</v>
      </c>
      <c r="M1158" s="23"/>
      <c r="N1158" s="23"/>
      <c r="O1158" s="23"/>
    </row>
    <row r="1159" customFormat="false" ht="15" hidden="false" customHeight="true" outlineLevel="0" collapsed="false">
      <c r="C1159" s="27" t="s">
        <v>998</v>
      </c>
      <c r="D1159" s="28" t="n">
        <v>100</v>
      </c>
      <c r="H1159" s="29" t="n">
        <f aca="false">IF(COUNT(D1159:G1159)=0,0,D1159*IF(E1159="",1,E1159)*IF(F1159="",1,F1159)*IF(G1159="",1,G1159))</f>
        <v>100</v>
      </c>
      <c r="M1159" s="23"/>
      <c r="N1159" s="23"/>
      <c r="O1159" s="23"/>
    </row>
    <row r="1160" customFormat="false" ht="15" hidden="false" customHeight="true" outlineLevel="0" collapsed="false">
      <c r="H1160" s="30"/>
      <c r="I1160" s="31" t="n">
        <f aca="false">ROUND(SUM(H1159:H1159),2)</f>
        <v>100</v>
      </c>
      <c r="J1160" s="32" t="n">
        <v>0.03</v>
      </c>
      <c r="K1160" s="31" t="n">
        <f aca="false">ROUND(I1160*J1160,2)</f>
        <v>3</v>
      </c>
      <c r="L1160" s="33" t="s">
        <v>122</v>
      </c>
      <c r="M1160" s="23" t="s">
        <v>123</v>
      </c>
      <c r="N1160" s="23" t="s">
        <v>75</v>
      </c>
      <c r="O1160" s="23" t="s">
        <v>1032</v>
      </c>
    </row>
    <row r="1161" customFormat="false" ht="15" hidden="false" customHeight="true" outlineLevel="0" collapsed="false">
      <c r="A1161" s="3" t="s">
        <v>1059</v>
      </c>
      <c r="B1161" s="3" t="s">
        <v>643</v>
      </c>
      <c r="C1161" s="3" t="s">
        <v>1060</v>
      </c>
      <c r="M1161" s="23"/>
      <c r="N1161" s="23"/>
      <c r="O1161" s="23"/>
    </row>
    <row r="1162" customFormat="false" ht="84" hidden="false" customHeight="true" outlineLevel="0" collapsed="false">
      <c r="C1162" s="26" t="s">
        <v>1061</v>
      </c>
      <c r="M1162" s="23"/>
      <c r="N1162" s="23"/>
      <c r="O1162" s="23"/>
    </row>
    <row r="1163" customFormat="false" ht="15" hidden="false" customHeight="true" outlineLevel="0" collapsed="false">
      <c r="C1163" s="27" t="s">
        <v>998</v>
      </c>
      <c r="D1163" s="28" t="n">
        <v>10</v>
      </c>
      <c r="H1163" s="29" t="n">
        <f aca="false">IF(COUNT(D1163:G1163)=0,0,D1163*IF(E1163="",1,E1163)*IF(F1163="",1,F1163)*IF(G1163="",1,G1163))</f>
        <v>10</v>
      </c>
      <c r="M1163" s="23"/>
      <c r="N1163" s="23"/>
      <c r="O1163" s="23"/>
    </row>
    <row r="1164" customFormat="false" ht="15" hidden="false" customHeight="true" outlineLevel="0" collapsed="false">
      <c r="H1164" s="30"/>
      <c r="I1164" s="31" t="n">
        <f aca="false">ROUND(SUM(H1163:H1163),2)</f>
        <v>10</v>
      </c>
      <c r="J1164" s="32" t="n">
        <v>3.75</v>
      </c>
      <c r="K1164" s="31" t="n">
        <f aca="false">ROUND(I1164*J1164,2)</f>
        <v>37.5</v>
      </c>
      <c r="L1164" s="33" t="s">
        <v>122</v>
      </c>
      <c r="M1164" s="23" t="s">
        <v>123</v>
      </c>
      <c r="N1164" s="23" t="s">
        <v>75</v>
      </c>
      <c r="O1164" s="23" t="s">
        <v>1032</v>
      </c>
    </row>
    <row r="1165" customFormat="false" ht="15" hidden="false" customHeight="true" outlineLevel="0" collapsed="false">
      <c r="A1165" s="3" t="s">
        <v>1062</v>
      </c>
      <c r="B1165" s="3" t="s">
        <v>643</v>
      </c>
      <c r="C1165" s="3" t="s">
        <v>1063</v>
      </c>
      <c r="M1165" s="23"/>
      <c r="N1165" s="23"/>
      <c r="O1165" s="23"/>
    </row>
    <row r="1166" customFormat="false" ht="48" hidden="false" customHeight="true" outlineLevel="0" collapsed="false">
      <c r="C1166" s="26" t="s">
        <v>1064</v>
      </c>
      <c r="M1166" s="23"/>
      <c r="N1166" s="23"/>
      <c r="O1166" s="23"/>
    </row>
    <row r="1167" customFormat="false" ht="15" hidden="false" customHeight="true" outlineLevel="0" collapsed="false">
      <c r="C1167" s="27" t="s">
        <v>998</v>
      </c>
      <c r="D1167" s="28" t="n">
        <v>1</v>
      </c>
      <c r="H1167" s="29" t="n">
        <f aca="false">IF(COUNT(D1167:G1167)=0,0,D1167*IF(E1167="",1,E1167)*IF(F1167="",1,F1167)*IF(G1167="",1,G1167))</f>
        <v>1</v>
      </c>
      <c r="M1167" s="23"/>
      <c r="N1167" s="23"/>
      <c r="O1167" s="23"/>
    </row>
    <row r="1168" customFormat="false" ht="15" hidden="false" customHeight="true" outlineLevel="0" collapsed="false">
      <c r="H1168" s="30"/>
      <c r="I1168" s="31" t="n">
        <f aca="false">ROUND(SUM(H1167:H1167),2)</f>
        <v>1</v>
      </c>
      <c r="J1168" s="32" t="n">
        <v>3.36</v>
      </c>
      <c r="K1168" s="31" t="n">
        <f aca="false">ROUND(I1168*J1168,2)</f>
        <v>3.36</v>
      </c>
      <c r="L1168" s="33" t="s">
        <v>122</v>
      </c>
      <c r="M1168" s="23" t="s">
        <v>123</v>
      </c>
      <c r="N1168" s="23" t="s">
        <v>75</v>
      </c>
      <c r="O1168" s="23" t="s">
        <v>1032</v>
      </c>
    </row>
    <row r="1169" customFormat="false" ht="15" hidden="false" customHeight="true" outlineLevel="0" collapsed="false">
      <c r="A1169" s="3" t="s">
        <v>1065</v>
      </c>
      <c r="B1169" s="3" t="s">
        <v>643</v>
      </c>
      <c r="C1169" s="3" t="s">
        <v>1066</v>
      </c>
      <c r="M1169" s="23"/>
      <c r="N1169" s="23"/>
      <c r="O1169" s="23"/>
    </row>
    <row r="1170" customFormat="false" ht="72" hidden="false" customHeight="true" outlineLevel="0" collapsed="false">
      <c r="C1170" s="26" t="s">
        <v>1067</v>
      </c>
      <c r="M1170" s="23"/>
      <c r="N1170" s="23"/>
      <c r="O1170" s="23"/>
    </row>
    <row r="1171" customFormat="false" ht="15" hidden="false" customHeight="true" outlineLevel="0" collapsed="false">
      <c r="C1171" s="27" t="s">
        <v>998</v>
      </c>
      <c r="D1171" s="28" t="n">
        <v>1</v>
      </c>
      <c r="H1171" s="29" t="n">
        <f aca="false">IF(COUNT(D1171:G1171)=0,0,D1171*IF(E1171="",1,E1171)*IF(F1171="",1,F1171)*IF(G1171="",1,G1171))</f>
        <v>1</v>
      </c>
      <c r="M1171" s="23"/>
      <c r="N1171" s="23"/>
      <c r="O1171" s="23"/>
    </row>
    <row r="1172" customFormat="false" ht="15" hidden="false" customHeight="true" outlineLevel="0" collapsed="false">
      <c r="H1172" s="30"/>
      <c r="I1172" s="31" t="n">
        <f aca="false">ROUND(SUM(H1171:H1171),2)</f>
        <v>1</v>
      </c>
      <c r="J1172" s="32" t="n">
        <v>125.15</v>
      </c>
      <c r="K1172" s="31" t="n">
        <f aca="false">ROUND(I1172*J1172,2)</f>
        <v>125.15</v>
      </c>
      <c r="L1172" s="33" t="s">
        <v>122</v>
      </c>
      <c r="M1172" s="23" t="s">
        <v>123</v>
      </c>
      <c r="N1172" s="23" t="s">
        <v>75</v>
      </c>
      <c r="O1172" s="23" t="s">
        <v>1032</v>
      </c>
    </row>
    <row r="1173" customFormat="false" ht="15" hidden="false" customHeight="true" outlineLevel="0" collapsed="false">
      <c r="A1173" s="3" t="s">
        <v>1068</v>
      </c>
      <c r="B1173" s="3" t="s">
        <v>643</v>
      </c>
      <c r="C1173" s="3" t="s">
        <v>1069</v>
      </c>
      <c r="M1173" s="23"/>
      <c r="N1173" s="23"/>
      <c r="O1173" s="23"/>
    </row>
    <row r="1174" customFormat="false" ht="120" hidden="false" customHeight="true" outlineLevel="0" collapsed="false">
      <c r="C1174" s="26" t="s">
        <v>1070</v>
      </c>
      <c r="M1174" s="23"/>
      <c r="N1174" s="23"/>
      <c r="O1174" s="23"/>
    </row>
    <row r="1175" customFormat="false" ht="15" hidden="false" customHeight="true" outlineLevel="0" collapsed="false">
      <c r="C1175" s="27" t="s">
        <v>998</v>
      </c>
      <c r="D1175" s="28" t="n">
        <v>1</v>
      </c>
      <c r="H1175" s="29" t="n">
        <f aca="false">IF(COUNT(D1175:G1175)=0,0,D1175*IF(E1175="",1,E1175)*IF(F1175="",1,F1175)*IF(G1175="",1,G1175))</f>
        <v>1</v>
      </c>
      <c r="M1175" s="23"/>
      <c r="N1175" s="23"/>
      <c r="O1175" s="23"/>
    </row>
    <row r="1176" customFormat="false" ht="15" hidden="false" customHeight="true" outlineLevel="0" collapsed="false">
      <c r="H1176" s="30"/>
      <c r="I1176" s="31" t="n">
        <f aca="false">ROUND(SUM(H1175:H1175),2)</f>
        <v>1</v>
      </c>
      <c r="J1176" s="32" t="n">
        <v>67.62</v>
      </c>
      <c r="K1176" s="31" t="n">
        <f aca="false">ROUND(I1176*J1176,2)</f>
        <v>67.62</v>
      </c>
      <c r="L1176" s="33" t="s">
        <v>122</v>
      </c>
      <c r="M1176" s="23" t="s">
        <v>123</v>
      </c>
      <c r="N1176" s="23" t="s">
        <v>75</v>
      </c>
      <c r="O1176" s="23" t="s">
        <v>1032</v>
      </c>
    </row>
    <row r="1177" customFormat="false" ht="15" hidden="false" customHeight="true" outlineLevel="0" collapsed="false">
      <c r="A1177" s="3" t="s">
        <v>1071</v>
      </c>
      <c r="B1177" s="3" t="s">
        <v>643</v>
      </c>
      <c r="C1177" s="3" t="s">
        <v>1072</v>
      </c>
      <c r="M1177" s="23"/>
      <c r="N1177" s="23"/>
      <c r="O1177" s="23"/>
    </row>
    <row r="1178" customFormat="false" ht="72" hidden="false" customHeight="true" outlineLevel="0" collapsed="false">
      <c r="C1178" s="26" t="s">
        <v>1073</v>
      </c>
      <c r="M1178" s="23"/>
      <c r="N1178" s="23"/>
      <c r="O1178" s="23"/>
    </row>
    <row r="1179" customFormat="false" ht="15" hidden="false" customHeight="true" outlineLevel="0" collapsed="false">
      <c r="C1179" s="27" t="s">
        <v>998</v>
      </c>
      <c r="D1179" s="28" t="n">
        <v>1</v>
      </c>
      <c r="H1179" s="29" t="n">
        <f aca="false">IF(COUNT(D1179:G1179)=0,0,D1179*IF(E1179="",1,E1179)*IF(F1179="",1,F1179)*IF(G1179="",1,G1179))</f>
        <v>1</v>
      </c>
      <c r="M1179" s="23"/>
      <c r="N1179" s="23"/>
      <c r="O1179" s="23"/>
    </row>
    <row r="1180" customFormat="false" ht="15" hidden="false" customHeight="true" outlineLevel="0" collapsed="false">
      <c r="H1180" s="30"/>
      <c r="I1180" s="31" t="n">
        <f aca="false">ROUND(SUM(H1179:H1179),2)</f>
        <v>1</v>
      </c>
      <c r="J1180" s="32" t="n">
        <v>6.9</v>
      </c>
      <c r="K1180" s="31" t="n">
        <f aca="false">ROUND(I1180*J1180,2)</f>
        <v>6.9</v>
      </c>
      <c r="L1180" s="33" t="s">
        <v>122</v>
      </c>
      <c r="M1180" s="23" t="s">
        <v>123</v>
      </c>
      <c r="N1180" s="23" t="s">
        <v>75</v>
      </c>
      <c r="O1180" s="23" t="s">
        <v>1032</v>
      </c>
    </row>
    <row r="1181" customFormat="false" ht="15" hidden="false" customHeight="true" outlineLevel="0" collapsed="false">
      <c r="A1181" s="3" t="s">
        <v>1074</v>
      </c>
      <c r="B1181" s="3" t="s">
        <v>643</v>
      </c>
      <c r="C1181" s="3" t="s">
        <v>1075</v>
      </c>
      <c r="M1181" s="23"/>
      <c r="N1181" s="23"/>
      <c r="O1181" s="23"/>
    </row>
    <row r="1182" customFormat="false" ht="60" hidden="false" customHeight="true" outlineLevel="0" collapsed="false">
      <c r="C1182" s="26" t="s">
        <v>1076</v>
      </c>
      <c r="M1182" s="23"/>
      <c r="N1182" s="23"/>
      <c r="O1182" s="23"/>
    </row>
    <row r="1183" customFormat="false" ht="15" hidden="false" customHeight="true" outlineLevel="0" collapsed="false">
      <c r="C1183" s="27" t="s">
        <v>998</v>
      </c>
      <c r="D1183" s="28" t="n">
        <v>1</v>
      </c>
      <c r="H1183" s="29" t="n">
        <f aca="false">IF(COUNT(D1183:G1183)=0,0,D1183*IF(E1183="",1,E1183)*IF(F1183="",1,F1183)*IF(G1183="",1,G1183))</f>
        <v>1</v>
      </c>
      <c r="M1183" s="23"/>
      <c r="N1183" s="23"/>
      <c r="O1183" s="23"/>
    </row>
    <row r="1184" customFormat="false" ht="15" hidden="false" customHeight="true" outlineLevel="0" collapsed="false">
      <c r="H1184" s="30"/>
      <c r="I1184" s="31" t="n">
        <f aca="false">ROUND(SUM(H1183:H1183),2)</f>
        <v>1</v>
      </c>
      <c r="J1184" s="32" t="n">
        <v>12.57</v>
      </c>
      <c r="K1184" s="31" t="n">
        <f aca="false">ROUND(I1184*J1184,2)</f>
        <v>12.57</v>
      </c>
      <c r="L1184" s="33" t="s">
        <v>122</v>
      </c>
      <c r="M1184" s="23" t="s">
        <v>123</v>
      </c>
      <c r="N1184" s="23" t="s">
        <v>75</v>
      </c>
      <c r="O1184" s="23" t="s">
        <v>1032</v>
      </c>
    </row>
    <row r="1185" customFormat="false" ht="15" hidden="false" customHeight="true" outlineLevel="0" collapsed="false">
      <c r="A1185" s="3" t="s">
        <v>1077</v>
      </c>
      <c r="B1185" s="3" t="s">
        <v>650</v>
      </c>
      <c r="C1185" s="3" t="s">
        <v>1078</v>
      </c>
      <c r="M1185" s="23"/>
      <c r="N1185" s="23"/>
      <c r="O1185" s="23"/>
    </row>
    <row r="1186" customFormat="false" ht="72" hidden="false" customHeight="true" outlineLevel="0" collapsed="false">
      <c r="C1186" s="26" t="s">
        <v>1079</v>
      </c>
      <c r="M1186" s="23"/>
      <c r="N1186" s="23"/>
      <c r="O1186" s="23"/>
    </row>
    <row r="1187" customFormat="false" ht="15" hidden="false" customHeight="true" outlineLevel="0" collapsed="false">
      <c r="C1187" s="27" t="s">
        <v>998</v>
      </c>
      <c r="D1187" s="28" t="n">
        <v>5</v>
      </c>
      <c r="H1187" s="29" t="n">
        <f aca="false">IF(COUNT(D1187:G1187)=0,0,D1187*IF(E1187="",1,E1187)*IF(F1187="",1,F1187)*IF(G1187="",1,G1187))</f>
        <v>5</v>
      </c>
      <c r="M1187" s="23"/>
      <c r="N1187" s="23"/>
      <c r="O1187" s="23"/>
    </row>
    <row r="1188" customFormat="false" ht="15" hidden="false" customHeight="true" outlineLevel="0" collapsed="false">
      <c r="H1188" s="30"/>
      <c r="I1188" s="31" t="n">
        <f aca="false">ROUND(SUM(H1187:H1187),2)</f>
        <v>5</v>
      </c>
      <c r="J1188" s="32" t="n">
        <v>5.08</v>
      </c>
      <c r="K1188" s="31" t="n">
        <f aca="false">ROUND(I1188*J1188,2)</f>
        <v>25.4</v>
      </c>
      <c r="L1188" s="33" t="s">
        <v>122</v>
      </c>
      <c r="M1188" s="23" t="s">
        <v>123</v>
      </c>
      <c r="N1188" s="23" t="s">
        <v>75</v>
      </c>
      <c r="O1188" s="23" t="s">
        <v>1032</v>
      </c>
    </row>
    <row r="1189" customFormat="false" ht="15" hidden="false" customHeight="true" outlineLevel="0" collapsed="false">
      <c r="A1189" s="3" t="s">
        <v>1080</v>
      </c>
      <c r="B1189" s="3" t="s">
        <v>643</v>
      </c>
      <c r="C1189" s="3" t="s">
        <v>1081</v>
      </c>
      <c r="M1189" s="23"/>
      <c r="N1189" s="23"/>
      <c r="O1189" s="23"/>
    </row>
    <row r="1190" customFormat="false" ht="72" hidden="false" customHeight="true" outlineLevel="0" collapsed="false">
      <c r="C1190" s="26" t="s">
        <v>1082</v>
      </c>
      <c r="M1190" s="23"/>
      <c r="N1190" s="23"/>
      <c r="O1190" s="23"/>
    </row>
    <row r="1191" customFormat="false" ht="15" hidden="false" customHeight="true" outlineLevel="0" collapsed="false">
      <c r="C1191" s="27" t="s">
        <v>998</v>
      </c>
      <c r="D1191" s="28" t="n">
        <v>5</v>
      </c>
      <c r="H1191" s="29" t="n">
        <f aca="false">IF(COUNT(D1191:G1191)=0,0,D1191*IF(E1191="",1,E1191)*IF(F1191="",1,F1191)*IF(G1191="",1,G1191))</f>
        <v>5</v>
      </c>
      <c r="M1191" s="23"/>
      <c r="N1191" s="23"/>
      <c r="O1191" s="23"/>
    </row>
    <row r="1192" customFormat="false" ht="15" hidden="false" customHeight="true" outlineLevel="0" collapsed="false">
      <c r="H1192" s="30"/>
      <c r="I1192" s="31" t="n">
        <f aca="false">ROUND(SUM(H1191:H1191),2)</f>
        <v>5</v>
      </c>
      <c r="J1192" s="32" t="n">
        <v>5.2</v>
      </c>
      <c r="K1192" s="31" t="n">
        <f aca="false">ROUND(I1192*J1192,2)</f>
        <v>26</v>
      </c>
      <c r="L1192" s="33" t="s">
        <v>122</v>
      </c>
      <c r="M1192" s="23" t="s">
        <v>123</v>
      </c>
      <c r="N1192" s="23" t="s">
        <v>75</v>
      </c>
      <c r="O1192" s="23" t="s">
        <v>1032</v>
      </c>
    </row>
    <row r="1193" customFormat="false" ht="15" hidden="false" customHeight="true" outlineLevel="0" collapsed="false">
      <c r="A1193" s="3" t="s">
        <v>1083</v>
      </c>
      <c r="C1193" s="3" t="s">
        <v>1084</v>
      </c>
      <c r="M1193" s="23" t="s">
        <v>291</v>
      </c>
      <c r="N1193" s="23" t="s">
        <v>75</v>
      </c>
      <c r="O1193" s="23" t="s">
        <v>1083</v>
      </c>
    </row>
    <row r="1194" customFormat="false" ht="15" hidden="false" customHeight="true" outlineLevel="0" collapsed="false">
      <c r="A1194" s="3" t="s">
        <v>1085</v>
      </c>
      <c r="B1194" s="3" t="s">
        <v>643</v>
      </c>
      <c r="C1194" s="3" t="s">
        <v>1086</v>
      </c>
      <c r="M1194" s="23"/>
      <c r="N1194" s="23"/>
      <c r="O1194" s="23"/>
    </row>
    <row r="1195" customFormat="false" ht="60" hidden="false" customHeight="true" outlineLevel="0" collapsed="false">
      <c r="C1195" s="26" t="s">
        <v>1087</v>
      </c>
      <c r="M1195" s="23"/>
      <c r="N1195" s="23"/>
      <c r="O1195" s="23"/>
    </row>
    <row r="1196" customFormat="false" ht="15" hidden="false" customHeight="true" outlineLevel="0" collapsed="false">
      <c r="C1196" s="27" t="s">
        <v>998</v>
      </c>
      <c r="D1196" s="28" t="n">
        <v>5</v>
      </c>
      <c r="H1196" s="29" t="n">
        <f aca="false">IF(COUNT(D1196:G1196)=0,0,D1196*IF(E1196="",1,E1196)*IF(F1196="",1,F1196)*IF(G1196="",1,G1196))</f>
        <v>5</v>
      </c>
      <c r="M1196" s="23"/>
      <c r="N1196" s="23"/>
      <c r="O1196" s="23"/>
    </row>
    <row r="1197" customFormat="false" ht="15" hidden="false" customHeight="true" outlineLevel="0" collapsed="false">
      <c r="H1197" s="30"/>
      <c r="I1197" s="31" t="n">
        <f aca="false">ROUND(SUM(H1196:H1196),2)</f>
        <v>5</v>
      </c>
      <c r="J1197" s="32" t="n">
        <v>11.37</v>
      </c>
      <c r="K1197" s="31" t="n">
        <f aca="false">ROUND(I1197*J1197,2)</f>
        <v>56.85</v>
      </c>
      <c r="L1197" s="33" t="s">
        <v>122</v>
      </c>
      <c r="M1197" s="23" t="s">
        <v>123</v>
      </c>
      <c r="N1197" s="23" t="s">
        <v>75</v>
      </c>
      <c r="O1197" s="23" t="s">
        <v>1083</v>
      </c>
    </row>
    <row r="1198" customFormat="false" ht="15" hidden="false" customHeight="true" outlineLevel="0" collapsed="false">
      <c r="A1198" s="3" t="s">
        <v>1088</v>
      </c>
      <c r="B1198" s="3" t="s">
        <v>643</v>
      </c>
      <c r="C1198" s="3" t="s">
        <v>1089</v>
      </c>
      <c r="M1198" s="23"/>
      <c r="N1198" s="23"/>
      <c r="O1198" s="23"/>
    </row>
    <row r="1199" customFormat="false" ht="60" hidden="false" customHeight="true" outlineLevel="0" collapsed="false">
      <c r="C1199" s="26" t="s">
        <v>1090</v>
      </c>
      <c r="M1199" s="23"/>
      <c r="N1199" s="23"/>
      <c r="O1199" s="23"/>
    </row>
    <row r="1200" customFormat="false" ht="15" hidden="false" customHeight="true" outlineLevel="0" collapsed="false">
      <c r="C1200" s="27" t="s">
        <v>998</v>
      </c>
      <c r="D1200" s="28" t="n">
        <v>5</v>
      </c>
      <c r="H1200" s="29" t="n">
        <f aca="false">IF(COUNT(D1200:G1200)=0,0,D1200*IF(E1200="",1,E1200)*IF(F1200="",1,F1200)*IF(G1200="",1,G1200))</f>
        <v>5</v>
      </c>
      <c r="M1200" s="23"/>
      <c r="N1200" s="23"/>
      <c r="O1200" s="23"/>
    </row>
    <row r="1201" customFormat="false" ht="15" hidden="false" customHeight="true" outlineLevel="0" collapsed="false">
      <c r="H1201" s="30"/>
      <c r="I1201" s="31" t="n">
        <f aca="false">ROUND(SUM(H1200:H1200),2)</f>
        <v>5</v>
      </c>
      <c r="J1201" s="32" t="n">
        <v>11.37</v>
      </c>
      <c r="K1201" s="31" t="n">
        <f aca="false">ROUND(I1201*J1201,2)</f>
        <v>56.85</v>
      </c>
      <c r="L1201" s="33" t="s">
        <v>122</v>
      </c>
      <c r="M1201" s="23" t="s">
        <v>123</v>
      </c>
      <c r="N1201" s="23" t="s">
        <v>75</v>
      </c>
      <c r="O1201" s="23" t="s">
        <v>1083</v>
      </c>
    </row>
    <row r="1202" customFormat="false" ht="15" hidden="false" customHeight="true" outlineLevel="0" collapsed="false">
      <c r="A1202" s="3" t="s">
        <v>1091</v>
      </c>
      <c r="C1202" s="3" t="s">
        <v>1092</v>
      </c>
      <c r="M1202" s="23" t="s">
        <v>291</v>
      </c>
      <c r="N1202" s="23" t="s">
        <v>75</v>
      </c>
      <c r="O1202" s="23" t="s">
        <v>1091</v>
      </c>
    </row>
    <row r="1203" customFormat="false" ht="15" hidden="false" customHeight="true" outlineLevel="0" collapsed="false">
      <c r="A1203" s="3" t="s">
        <v>1093</v>
      </c>
      <c r="B1203" s="3" t="s">
        <v>103</v>
      </c>
      <c r="C1203" s="3" t="s">
        <v>1094</v>
      </c>
      <c r="M1203" s="23"/>
      <c r="N1203" s="23"/>
      <c r="O1203" s="23"/>
    </row>
    <row r="1204" customFormat="false" ht="36" hidden="false" customHeight="true" outlineLevel="0" collapsed="false">
      <c r="C1204" s="26" t="s">
        <v>1095</v>
      </c>
      <c r="M1204" s="23"/>
      <c r="N1204" s="23"/>
      <c r="O1204" s="23"/>
    </row>
    <row r="1205" customFormat="false" ht="15" hidden="false" customHeight="true" outlineLevel="0" collapsed="false">
      <c r="C1205" s="27" t="s">
        <v>998</v>
      </c>
      <c r="D1205" s="28" t="n">
        <v>9</v>
      </c>
      <c r="H1205" s="29" t="n">
        <f aca="false">IF(COUNT(D1205:G1205)=0,0,D1205*IF(E1205="",1,E1205)*IF(F1205="",1,F1205)*IF(G1205="",1,G1205))</f>
        <v>9</v>
      </c>
      <c r="M1205" s="23"/>
      <c r="N1205" s="23"/>
      <c r="O1205" s="23"/>
    </row>
    <row r="1206" customFormat="false" ht="15" hidden="false" customHeight="true" outlineLevel="0" collapsed="false">
      <c r="H1206" s="30"/>
      <c r="I1206" s="31" t="n">
        <f aca="false">ROUND(SUM(H1205:H1205),2)</f>
        <v>9</v>
      </c>
      <c r="J1206" s="32" t="n">
        <v>0.62</v>
      </c>
      <c r="K1206" s="31" t="n">
        <f aca="false">ROUND(I1206*J1206,2)</f>
        <v>5.58</v>
      </c>
      <c r="L1206" s="33" t="s">
        <v>122</v>
      </c>
      <c r="M1206" s="23" t="s">
        <v>123</v>
      </c>
      <c r="N1206" s="23" t="s">
        <v>75</v>
      </c>
      <c r="O1206" s="23" t="s">
        <v>1091</v>
      </c>
    </row>
    <row r="1207" customFormat="false" ht="15" hidden="false" customHeight="true" outlineLevel="0" collapsed="false">
      <c r="A1207" s="3" t="s">
        <v>1096</v>
      </c>
      <c r="B1207" s="3" t="s">
        <v>103</v>
      </c>
      <c r="C1207" s="3" t="s">
        <v>1097</v>
      </c>
      <c r="M1207" s="23"/>
      <c r="N1207" s="23"/>
      <c r="O1207" s="23"/>
    </row>
    <row r="1208" customFormat="false" ht="48" hidden="false" customHeight="true" outlineLevel="0" collapsed="false">
      <c r="C1208" s="26" t="s">
        <v>1098</v>
      </c>
      <c r="M1208" s="23"/>
      <c r="N1208" s="23"/>
      <c r="O1208" s="23"/>
    </row>
    <row r="1209" customFormat="false" ht="15" hidden="false" customHeight="true" outlineLevel="0" collapsed="false">
      <c r="C1209" s="27" t="s">
        <v>998</v>
      </c>
      <c r="D1209" s="28" t="n">
        <v>2</v>
      </c>
      <c r="H1209" s="29" t="n">
        <f aca="false">IF(COUNT(D1209:G1209)=0,0,D1209*IF(E1209="",1,E1209)*IF(F1209="",1,F1209)*IF(G1209="",1,G1209))</f>
        <v>2</v>
      </c>
      <c r="M1209" s="23"/>
      <c r="N1209" s="23"/>
      <c r="O1209" s="23"/>
    </row>
    <row r="1210" customFormat="false" ht="15" hidden="false" customHeight="true" outlineLevel="0" collapsed="false">
      <c r="H1210" s="30"/>
      <c r="I1210" s="31" t="n">
        <f aca="false">ROUND(SUM(H1209:H1209),2)</f>
        <v>2</v>
      </c>
      <c r="J1210" s="32" t="n">
        <v>0.77</v>
      </c>
      <c r="K1210" s="31" t="n">
        <f aca="false">ROUND(I1210*J1210,2)</f>
        <v>1.54</v>
      </c>
      <c r="L1210" s="33" t="s">
        <v>122</v>
      </c>
      <c r="M1210" s="23" t="s">
        <v>123</v>
      </c>
      <c r="N1210" s="23" t="s">
        <v>75</v>
      </c>
      <c r="O1210" s="23" t="s">
        <v>1091</v>
      </c>
    </row>
    <row r="1211" customFormat="false" ht="15" hidden="false" customHeight="true" outlineLevel="0" collapsed="false">
      <c r="A1211" s="3" t="s">
        <v>1099</v>
      </c>
      <c r="B1211" s="3" t="s">
        <v>103</v>
      </c>
      <c r="C1211" s="3" t="s">
        <v>1100</v>
      </c>
      <c r="M1211" s="23"/>
      <c r="N1211" s="23"/>
      <c r="O1211" s="23"/>
    </row>
    <row r="1212" customFormat="false" ht="36" hidden="false" customHeight="true" outlineLevel="0" collapsed="false">
      <c r="C1212" s="26" t="s">
        <v>1101</v>
      </c>
      <c r="M1212" s="23"/>
      <c r="N1212" s="23"/>
      <c r="O1212" s="23"/>
    </row>
    <row r="1213" customFormat="false" ht="15" hidden="false" customHeight="true" outlineLevel="0" collapsed="false">
      <c r="C1213" s="27" t="s">
        <v>998</v>
      </c>
      <c r="D1213" s="28" t="n">
        <v>2</v>
      </c>
      <c r="H1213" s="29" t="n">
        <f aca="false">IF(COUNT(D1213:G1213)=0,0,D1213*IF(E1213="",1,E1213)*IF(F1213="",1,F1213)*IF(G1213="",1,G1213))</f>
        <v>2</v>
      </c>
      <c r="M1213" s="23"/>
      <c r="N1213" s="23"/>
      <c r="O1213" s="23"/>
    </row>
    <row r="1214" customFormat="false" ht="15" hidden="false" customHeight="true" outlineLevel="0" collapsed="false">
      <c r="H1214" s="30"/>
      <c r="I1214" s="31" t="n">
        <f aca="false">ROUND(SUM(H1213:H1213),2)</f>
        <v>2</v>
      </c>
      <c r="J1214" s="32" t="n">
        <v>2.96</v>
      </c>
      <c r="K1214" s="31" t="n">
        <f aca="false">ROUND(I1214*J1214,2)</f>
        <v>5.92</v>
      </c>
      <c r="L1214" s="33" t="s">
        <v>122</v>
      </c>
      <c r="M1214" s="23" t="s">
        <v>123</v>
      </c>
      <c r="N1214" s="23" t="s">
        <v>75</v>
      </c>
      <c r="O1214" s="23" t="s">
        <v>1091</v>
      </c>
    </row>
    <row r="1215" customFormat="false" ht="15" hidden="false" customHeight="true" outlineLevel="0" collapsed="false">
      <c r="A1215" s="3" t="s">
        <v>1102</v>
      </c>
      <c r="B1215" s="3" t="s">
        <v>103</v>
      </c>
      <c r="C1215" s="3" t="s">
        <v>1103</v>
      </c>
      <c r="M1215" s="23"/>
      <c r="N1215" s="23"/>
      <c r="O1215" s="23"/>
    </row>
    <row r="1216" customFormat="false" ht="60" hidden="false" customHeight="true" outlineLevel="0" collapsed="false">
      <c r="C1216" s="26" t="s">
        <v>1104</v>
      </c>
      <c r="M1216" s="23"/>
      <c r="N1216" s="23"/>
      <c r="O1216" s="23"/>
    </row>
    <row r="1217" customFormat="false" ht="15" hidden="false" customHeight="true" outlineLevel="0" collapsed="false">
      <c r="C1217" s="27" t="s">
        <v>998</v>
      </c>
      <c r="D1217" s="28" t="n">
        <v>1</v>
      </c>
      <c r="H1217" s="29" t="n">
        <f aca="false">IF(COUNT(D1217:G1217)=0,0,D1217*IF(E1217="",1,E1217)*IF(F1217="",1,F1217)*IF(G1217="",1,G1217))</f>
        <v>1</v>
      </c>
      <c r="M1217" s="23"/>
      <c r="N1217" s="23"/>
      <c r="O1217" s="23"/>
    </row>
    <row r="1218" customFormat="false" ht="15" hidden="false" customHeight="true" outlineLevel="0" collapsed="false">
      <c r="H1218" s="30"/>
      <c r="I1218" s="31" t="n">
        <f aca="false">ROUND(SUM(H1217:H1217),2)</f>
        <v>1</v>
      </c>
      <c r="J1218" s="32" t="n">
        <v>3.62</v>
      </c>
      <c r="K1218" s="31" t="n">
        <f aca="false">ROUND(I1218*J1218,2)</f>
        <v>3.62</v>
      </c>
      <c r="L1218" s="33" t="s">
        <v>122</v>
      </c>
      <c r="M1218" s="23" t="s">
        <v>123</v>
      </c>
      <c r="N1218" s="23" t="s">
        <v>75</v>
      </c>
      <c r="O1218" s="23" t="s">
        <v>1091</v>
      </c>
    </row>
    <row r="1219" customFormat="false" ht="15" hidden="false" customHeight="true" outlineLevel="0" collapsed="false">
      <c r="A1219" s="3" t="s">
        <v>1105</v>
      </c>
      <c r="B1219" s="3" t="s">
        <v>140</v>
      </c>
      <c r="C1219" s="3" t="s">
        <v>1106</v>
      </c>
      <c r="M1219" s="23"/>
      <c r="N1219" s="23"/>
      <c r="O1219" s="23"/>
    </row>
    <row r="1220" customFormat="false" ht="48" hidden="false" customHeight="true" outlineLevel="0" collapsed="false">
      <c r="C1220" s="26" t="s">
        <v>1107</v>
      </c>
      <c r="M1220" s="23"/>
      <c r="N1220" s="23"/>
      <c r="O1220" s="23"/>
    </row>
    <row r="1221" customFormat="false" ht="15" hidden="false" customHeight="true" outlineLevel="0" collapsed="false">
      <c r="C1221" s="27" t="s">
        <v>998</v>
      </c>
      <c r="D1221" s="28" t="n">
        <v>23.18</v>
      </c>
      <c r="H1221" s="29" t="n">
        <f aca="false">IF(COUNT(D1221:G1221)=0,0,D1221*IF(E1221="",1,E1221)*IF(F1221="",1,F1221)*IF(G1221="",1,G1221))</f>
        <v>23.18</v>
      </c>
      <c r="M1221" s="23"/>
      <c r="N1221" s="23"/>
      <c r="O1221" s="23"/>
    </row>
    <row r="1222" customFormat="false" ht="15" hidden="false" customHeight="true" outlineLevel="0" collapsed="false">
      <c r="H1222" s="30"/>
      <c r="I1222" s="31" t="n">
        <f aca="false">ROUND(SUM(H1221:H1221),2)</f>
        <v>23.18</v>
      </c>
      <c r="J1222" s="32" t="n">
        <v>1.29</v>
      </c>
      <c r="K1222" s="31" t="n">
        <f aca="false">ROUND(I1222*J1222,2)</f>
        <v>29.9</v>
      </c>
      <c r="L1222" s="33" t="s">
        <v>122</v>
      </c>
      <c r="M1222" s="23" t="s">
        <v>123</v>
      </c>
      <c r="N1222" s="23" t="s">
        <v>75</v>
      </c>
      <c r="O1222" s="23" t="s">
        <v>1091</v>
      </c>
    </row>
    <row r="1223" customFormat="false" ht="15" hidden="false" customHeight="true" outlineLevel="0" collapsed="false">
      <c r="A1223" s="3" t="s">
        <v>1108</v>
      </c>
      <c r="B1223" s="3" t="s">
        <v>103</v>
      </c>
      <c r="C1223" s="3" t="s">
        <v>1109</v>
      </c>
      <c r="M1223" s="23"/>
      <c r="N1223" s="23"/>
      <c r="O1223" s="23"/>
    </row>
    <row r="1224" customFormat="false" ht="36" hidden="false" customHeight="true" outlineLevel="0" collapsed="false">
      <c r="C1224" s="26" t="s">
        <v>1110</v>
      </c>
      <c r="M1224" s="23"/>
      <c r="N1224" s="23"/>
      <c r="O1224" s="23"/>
    </row>
    <row r="1225" customFormat="false" ht="15" hidden="false" customHeight="true" outlineLevel="0" collapsed="false">
      <c r="C1225" s="27" t="s">
        <v>998</v>
      </c>
      <c r="D1225" s="28" t="n">
        <v>1</v>
      </c>
      <c r="H1225" s="29" t="n">
        <f aca="false">IF(COUNT(D1225:G1225)=0,0,D1225*IF(E1225="",1,E1225)*IF(F1225="",1,F1225)*IF(G1225="",1,G1225))</f>
        <v>1</v>
      </c>
      <c r="M1225" s="23"/>
      <c r="N1225" s="23"/>
      <c r="O1225" s="23"/>
    </row>
    <row r="1226" customFormat="false" ht="15" hidden="false" customHeight="true" outlineLevel="0" collapsed="false">
      <c r="H1226" s="30"/>
      <c r="I1226" s="31" t="n">
        <f aca="false">ROUND(SUM(H1225:H1225),2)</f>
        <v>1</v>
      </c>
      <c r="J1226" s="32" t="n">
        <v>0.77</v>
      </c>
      <c r="K1226" s="31" t="n">
        <f aca="false">ROUND(I1226*J1226,2)</f>
        <v>0.77</v>
      </c>
      <c r="L1226" s="33" t="s">
        <v>122</v>
      </c>
      <c r="M1226" s="23" t="s">
        <v>123</v>
      </c>
      <c r="N1226" s="23" t="s">
        <v>75</v>
      </c>
      <c r="O1226" s="23" t="s">
        <v>1091</v>
      </c>
    </row>
    <row r="1227" customFormat="false" ht="15" hidden="false" customHeight="true" outlineLevel="0" collapsed="false">
      <c r="A1227" s="3" t="s">
        <v>1111</v>
      </c>
      <c r="B1227" s="3" t="s">
        <v>103</v>
      </c>
      <c r="C1227" s="3" t="s">
        <v>1112</v>
      </c>
      <c r="M1227" s="23"/>
      <c r="N1227" s="23"/>
      <c r="O1227" s="23"/>
    </row>
    <row r="1228" customFormat="false" ht="36" hidden="false" customHeight="true" outlineLevel="0" collapsed="false">
      <c r="C1228" s="26" t="s">
        <v>1113</v>
      </c>
      <c r="M1228" s="23"/>
      <c r="N1228" s="23"/>
      <c r="O1228" s="23"/>
    </row>
    <row r="1229" customFormat="false" ht="15" hidden="false" customHeight="true" outlineLevel="0" collapsed="false">
      <c r="C1229" s="27" t="s">
        <v>998</v>
      </c>
      <c r="D1229" s="28" t="n">
        <v>1</v>
      </c>
      <c r="H1229" s="29" t="n">
        <f aca="false">IF(COUNT(D1229:G1229)=0,0,D1229*IF(E1229="",1,E1229)*IF(F1229="",1,F1229)*IF(G1229="",1,G1229))</f>
        <v>1</v>
      </c>
      <c r="M1229" s="23"/>
      <c r="N1229" s="23"/>
      <c r="O1229" s="23"/>
    </row>
    <row r="1230" customFormat="false" ht="15" hidden="false" customHeight="true" outlineLevel="0" collapsed="false">
      <c r="H1230" s="30"/>
      <c r="I1230" s="31" t="n">
        <f aca="false">ROUND(SUM(H1229:H1229),2)</f>
        <v>1</v>
      </c>
      <c r="J1230" s="32" t="n">
        <v>0.29</v>
      </c>
      <c r="K1230" s="31" t="n">
        <f aca="false">ROUND(I1230*J1230,2)</f>
        <v>0.29</v>
      </c>
      <c r="L1230" s="33" t="s">
        <v>122</v>
      </c>
      <c r="M1230" s="23" t="s">
        <v>123</v>
      </c>
      <c r="N1230" s="23" t="s">
        <v>75</v>
      </c>
      <c r="O1230" s="23" t="s">
        <v>1091</v>
      </c>
    </row>
    <row r="1231" customFormat="false" ht="15" hidden="false" customHeight="true" outlineLevel="0" collapsed="false">
      <c r="A1231" s="3" t="s">
        <v>1114</v>
      </c>
      <c r="B1231" s="3" t="s">
        <v>103</v>
      </c>
      <c r="C1231" s="3" t="s">
        <v>1115</v>
      </c>
      <c r="M1231" s="23"/>
      <c r="N1231" s="23"/>
      <c r="O1231" s="23"/>
    </row>
    <row r="1232" customFormat="false" ht="36" hidden="false" customHeight="true" outlineLevel="0" collapsed="false">
      <c r="C1232" s="26" t="s">
        <v>1116</v>
      </c>
      <c r="M1232" s="23"/>
      <c r="N1232" s="23"/>
      <c r="O1232" s="23"/>
    </row>
    <row r="1233" customFormat="false" ht="15" hidden="false" customHeight="true" outlineLevel="0" collapsed="false">
      <c r="C1233" s="27" t="s">
        <v>998</v>
      </c>
      <c r="D1233" s="28" t="n">
        <v>1</v>
      </c>
      <c r="H1233" s="29" t="n">
        <f aca="false">IF(COUNT(D1233:G1233)=0,0,D1233*IF(E1233="",1,E1233)*IF(F1233="",1,F1233)*IF(G1233="",1,G1233))</f>
        <v>1</v>
      </c>
      <c r="M1233" s="23"/>
      <c r="N1233" s="23"/>
      <c r="O1233" s="23"/>
    </row>
    <row r="1234" customFormat="false" ht="15" hidden="false" customHeight="true" outlineLevel="0" collapsed="false">
      <c r="H1234" s="30"/>
      <c r="I1234" s="31" t="n">
        <f aca="false">ROUND(SUM(H1233:H1233),2)</f>
        <v>1</v>
      </c>
      <c r="J1234" s="32" t="n">
        <v>1.25</v>
      </c>
      <c r="K1234" s="31" t="n">
        <f aca="false">ROUND(I1234*J1234,2)</f>
        <v>1.25</v>
      </c>
      <c r="L1234" s="33" t="s">
        <v>122</v>
      </c>
      <c r="M1234" s="23" t="s">
        <v>123</v>
      </c>
      <c r="N1234" s="23" t="s">
        <v>75</v>
      </c>
      <c r="O1234" s="23" t="s">
        <v>1091</v>
      </c>
    </row>
    <row r="1235" customFormat="false" ht="15" hidden="false" customHeight="true" outlineLevel="0" collapsed="false">
      <c r="A1235" s="3" t="s">
        <v>1117</v>
      </c>
      <c r="B1235" s="3" t="s">
        <v>103</v>
      </c>
      <c r="C1235" s="3" t="s">
        <v>1118</v>
      </c>
      <c r="M1235" s="23"/>
      <c r="N1235" s="23"/>
      <c r="O1235" s="23"/>
    </row>
    <row r="1236" customFormat="false" ht="48" hidden="false" customHeight="true" outlineLevel="0" collapsed="false">
      <c r="C1236" s="26" t="s">
        <v>1119</v>
      </c>
      <c r="M1236" s="23"/>
      <c r="N1236" s="23"/>
      <c r="O1236" s="23"/>
    </row>
    <row r="1237" customFormat="false" ht="15" hidden="false" customHeight="true" outlineLevel="0" collapsed="false">
      <c r="C1237" s="27" t="s">
        <v>998</v>
      </c>
      <c r="D1237" s="28" t="n">
        <v>1</v>
      </c>
      <c r="H1237" s="29" t="n">
        <f aca="false">IF(COUNT(D1237:G1237)=0,0,D1237*IF(E1237="",1,E1237)*IF(F1237="",1,F1237)*IF(G1237="",1,G1237))</f>
        <v>1</v>
      </c>
      <c r="M1237" s="23"/>
      <c r="N1237" s="23"/>
      <c r="O1237" s="23"/>
    </row>
    <row r="1238" customFormat="false" ht="15" hidden="false" customHeight="true" outlineLevel="0" collapsed="false">
      <c r="H1238" s="30"/>
      <c r="I1238" s="31" t="n">
        <f aca="false">ROUND(SUM(H1237:H1237),2)</f>
        <v>1</v>
      </c>
      <c r="J1238" s="32" t="n">
        <v>0.53</v>
      </c>
      <c r="K1238" s="31" t="n">
        <f aca="false">ROUND(I1238*J1238,2)</f>
        <v>0.53</v>
      </c>
      <c r="L1238" s="33" t="s">
        <v>122</v>
      </c>
      <c r="M1238" s="23" t="s">
        <v>123</v>
      </c>
      <c r="N1238" s="23" t="s">
        <v>75</v>
      </c>
      <c r="O1238" s="23" t="s">
        <v>1091</v>
      </c>
    </row>
    <row r="1239" customFormat="false" ht="15" hidden="false" customHeight="true" outlineLevel="0" collapsed="false">
      <c r="A1239" s="3" t="s">
        <v>1120</v>
      </c>
      <c r="B1239" s="3" t="s">
        <v>103</v>
      </c>
      <c r="C1239" s="3" t="s">
        <v>1121</v>
      </c>
      <c r="M1239" s="23"/>
      <c r="N1239" s="23"/>
      <c r="O1239" s="23"/>
    </row>
    <row r="1240" customFormat="false" ht="48" hidden="false" customHeight="true" outlineLevel="0" collapsed="false">
      <c r="C1240" s="26" t="s">
        <v>1122</v>
      </c>
      <c r="M1240" s="23"/>
      <c r="N1240" s="23"/>
      <c r="O1240" s="23"/>
    </row>
    <row r="1241" customFormat="false" ht="15" hidden="false" customHeight="true" outlineLevel="0" collapsed="false">
      <c r="C1241" s="27" t="s">
        <v>998</v>
      </c>
      <c r="D1241" s="28" t="n">
        <v>1</v>
      </c>
      <c r="H1241" s="29" t="n">
        <f aca="false">IF(COUNT(D1241:G1241)=0,0,D1241*IF(E1241="",1,E1241)*IF(F1241="",1,F1241)*IF(G1241="",1,G1241))</f>
        <v>1</v>
      </c>
      <c r="M1241" s="23"/>
      <c r="N1241" s="23"/>
      <c r="O1241" s="23"/>
    </row>
    <row r="1242" customFormat="false" ht="15" hidden="false" customHeight="true" outlineLevel="0" collapsed="false">
      <c r="H1242" s="30"/>
      <c r="I1242" s="31" t="n">
        <f aca="false">ROUND(SUM(H1241:H1241),2)</f>
        <v>1</v>
      </c>
      <c r="J1242" s="32" t="n">
        <v>0.66</v>
      </c>
      <c r="K1242" s="31" t="n">
        <f aca="false">ROUND(I1242*J1242,2)</f>
        <v>0.66</v>
      </c>
      <c r="L1242" s="33" t="s">
        <v>122</v>
      </c>
      <c r="M1242" s="23" t="s">
        <v>123</v>
      </c>
      <c r="N1242" s="23" t="s">
        <v>75</v>
      </c>
      <c r="O1242" s="23" t="s">
        <v>1091</v>
      </c>
    </row>
    <row r="1243" customFormat="false" ht="15" hidden="false" customHeight="true" outlineLevel="0" collapsed="false">
      <c r="A1243" s="3" t="s">
        <v>1123</v>
      </c>
      <c r="B1243" s="3" t="s">
        <v>103</v>
      </c>
      <c r="C1243" s="3" t="s">
        <v>1124</v>
      </c>
      <c r="M1243" s="23"/>
      <c r="N1243" s="23"/>
      <c r="O1243" s="23"/>
    </row>
    <row r="1244" customFormat="false" ht="36" hidden="false" customHeight="true" outlineLevel="0" collapsed="false">
      <c r="C1244" s="26" t="s">
        <v>1125</v>
      </c>
      <c r="M1244" s="23"/>
      <c r="N1244" s="23"/>
      <c r="O1244" s="23"/>
    </row>
    <row r="1245" customFormat="false" ht="15" hidden="false" customHeight="true" outlineLevel="0" collapsed="false">
      <c r="C1245" s="27" t="s">
        <v>998</v>
      </c>
      <c r="D1245" s="28" t="n">
        <v>8</v>
      </c>
      <c r="H1245" s="29" t="n">
        <f aca="false">IF(COUNT(D1245:G1245)=0,0,D1245*IF(E1245="",1,E1245)*IF(F1245="",1,F1245)*IF(G1245="",1,G1245))</f>
        <v>8</v>
      </c>
      <c r="M1245" s="23"/>
      <c r="N1245" s="23"/>
      <c r="O1245" s="23"/>
    </row>
    <row r="1246" customFormat="false" ht="15" hidden="false" customHeight="true" outlineLevel="0" collapsed="false">
      <c r="H1246" s="30"/>
      <c r="I1246" s="31" t="n">
        <f aca="false">ROUND(SUM(H1245:H1245),2)</f>
        <v>8</v>
      </c>
      <c r="J1246" s="32" t="n">
        <v>0.71</v>
      </c>
      <c r="K1246" s="31" t="n">
        <f aca="false">ROUND(I1246*J1246,2)</f>
        <v>5.68</v>
      </c>
      <c r="L1246" s="33" t="s">
        <v>122</v>
      </c>
      <c r="M1246" s="23" t="s">
        <v>123</v>
      </c>
      <c r="N1246" s="23" t="s">
        <v>75</v>
      </c>
      <c r="O1246" s="23" t="s">
        <v>1091</v>
      </c>
    </row>
    <row r="1247" customFormat="false" ht="15" hidden="false" customHeight="true" outlineLevel="0" collapsed="false">
      <c r="A1247" s="3" t="s">
        <v>1126</v>
      </c>
      <c r="B1247" s="3" t="s">
        <v>103</v>
      </c>
      <c r="C1247" s="3" t="s">
        <v>1127</v>
      </c>
      <c r="M1247" s="23"/>
      <c r="N1247" s="23"/>
      <c r="O1247" s="23"/>
    </row>
    <row r="1248" customFormat="false" ht="36" hidden="false" customHeight="true" outlineLevel="0" collapsed="false">
      <c r="C1248" s="26" t="s">
        <v>1128</v>
      </c>
      <c r="M1248" s="23"/>
      <c r="N1248" s="23"/>
      <c r="O1248" s="23"/>
    </row>
    <row r="1249" customFormat="false" ht="15" hidden="false" customHeight="true" outlineLevel="0" collapsed="false">
      <c r="C1249" s="27" t="s">
        <v>998</v>
      </c>
      <c r="D1249" s="28" t="n">
        <v>5</v>
      </c>
      <c r="H1249" s="29" t="n">
        <f aca="false">IF(COUNT(D1249:G1249)=0,0,D1249*IF(E1249="",1,E1249)*IF(F1249="",1,F1249)*IF(G1249="",1,G1249))</f>
        <v>5</v>
      </c>
      <c r="M1249" s="23"/>
      <c r="N1249" s="23"/>
      <c r="O1249" s="23"/>
    </row>
    <row r="1250" customFormat="false" ht="15" hidden="false" customHeight="true" outlineLevel="0" collapsed="false">
      <c r="H1250" s="30"/>
      <c r="I1250" s="31" t="n">
        <f aca="false">ROUND(SUM(H1249:H1249),2)</f>
        <v>5</v>
      </c>
      <c r="J1250" s="32" t="n">
        <v>0.51</v>
      </c>
      <c r="K1250" s="31" t="n">
        <f aca="false">ROUND(I1250*J1250,2)</f>
        <v>2.55</v>
      </c>
      <c r="L1250" s="33" t="s">
        <v>122</v>
      </c>
      <c r="M1250" s="23" t="s">
        <v>123</v>
      </c>
      <c r="N1250" s="23" t="s">
        <v>75</v>
      </c>
      <c r="O1250" s="23" t="s">
        <v>1091</v>
      </c>
    </row>
    <row r="1251" customFormat="false" ht="15" hidden="false" customHeight="true" outlineLevel="0" collapsed="false">
      <c r="A1251" s="3" t="s">
        <v>1129</v>
      </c>
      <c r="B1251" s="3" t="s">
        <v>103</v>
      </c>
      <c r="C1251" s="3" t="s">
        <v>1130</v>
      </c>
      <c r="M1251" s="23"/>
      <c r="N1251" s="23"/>
      <c r="O1251" s="23"/>
    </row>
    <row r="1252" customFormat="false" ht="36" hidden="false" customHeight="true" outlineLevel="0" collapsed="false">
      <c r="C1252" s="26" t="s">
        <v>1131</v>
      </c>
      <c r="M1252" s="23"/>
      <c r="N1252" s="23"/>
      <c r="O1252" s="23"/>
    </row>
    <row r="1253" customFormat="false" ht="15" hidden="false" customHeight="true" outlineLevel="0" collapsed="false">
      <c r="C1253" s="27" t="s">
        <v>998</v>
      </c>
      <c r="D1253" s="28" t="n">
        <v>3</v>
      </c>
      <c r="H1253" s="29" t="n">
        <f aca="false">IF(COUNT(D1253:G1253)=0,0,D1253*IF(E1253="",1,E1253)*IF(F1253="",1,F1253)*IF(G1253="",1,G1253))</f>
        <v>3</v>
      </c>
      <c r="M1253" s="23"/>
      <c r="N1253" s="23"/>
      <c r="O1253" s="23"/>
    </row>
    <row r="1254" customFormat="false" ht="15" hidden="false" customHeight="true" outlineLevel="0" collapsed="false">
      <c r="H1254" s="30"/>
      <c r="I1254" s="31" t="n">
        <f aca="false">ROUND(SUM(H1253:H1253),2)</f>
        <v>3</v>
      </c>
      <c r="J1254" s="32" t="n">
        <v>0.68</v>
      </c>
      <c r="K1254" s="31" t="n">
        <f aca="false">ROUND(I1254*J1254,2)</f>
        <v>2.04</v>
      </c>
      <c r="L1254" s="33" t="s">
        <v>122</v>
      </c>
      <c r="M1254" s="23" t="s">
        <v>123</v>
      </c>
      <c r="N1254" s="23" t="s">
        <v>75</v>
      </c>
      <c r="O1254" s="23" t="s">
        <v>1091</v>
      </c>
    </row>
    <row r="1255" customFormat="false" ht="15" hidden="false" customHeight="true" outlineLevel="0" collapsed="false">
      <c r="A1255" s="3" t="s">
        <v>1132</v>
      </c>
      <c r="B1255" s="3" t="s">
        <v>103</v>
      </c>
      <c r="C1255" s="3" t="s">
        <v>1133</v>
      </c>
      <c r="M1255" s="23"/>
      <c r="N1255" s="23"/>
      <c r="O1255" s="23"/>
    </row>
    <row r="1256" customFormat="false" ht="48" hidden="false" customHeight="true" outlineLevel="0" collapsed="false">
      <c r="C1256" s="26" t="s">
        <v>1134</v>
      </c>
      <c r="M1256" s="23"/>
      <c r="N1256" s="23"/>
      <c r="O1256" s="23"/>
    </row>
    <row r="1257" customFormat="false" ht="15" hidden="false" customHeight="true" outlineLevel="0" collapsed="false">
      <c r="C1257" s="27" t="s">
        <v>998</v>
      </c>
      <c r="D1257" s="28" t="n">
        <v>1</v>
      </c>
      <c r="H1257" s="29" t="n">
        <f aca="false">IF(COUNT(D1257:G1257)=0,0,D1257*IF(E1257="",1,E1257)*IF(F1257="",1,F1257)*IF(G1257="",1,G1257))</f>
        <v>1</v>
      </c>
      <c r="M1257" s="23"/>
      <c r="N1257" s="23"/>
      <c r="O1257" s="23"/>
    </row>
    <row r="1258" customFormat="false" ht="15" hidden="false" customHeight="true" outlineLevel="0" collapsed="false">
      <c r="H1258" s="30"/>
      <c r="I1258" s="31" t="n">
        <f aca="false">ROUND(SUM(H1257:H1257),2)</f>
        <v>1</v>
      </c>
      <c r="J1258" s="32" t="n">
        <v>15.01</v>
      </c>
      <c r="K1258" s="31" t="n">
        <f aca="false">ROUND(I1258*J1258,2)</f>
        <v>15.01</v>
      </c>
      <c r="L1258" s="33" t="s">
        <v>122</v>
      </c>
      <c r="M1258" s="23" t="s">
        <v>123</v>
      </c>
      <c r="N1258" s="23" t="s">
        <v>75</v>
      </c>
      <c r="O1258" s="23" t="s">
        <v>1091</v>
      </c>
    </row>
    <row r="1259" customFormat="false" ht="15" hidden="false" customHeight="true" outlineLevel="0" collapsed="false">
      <c r="A1259" s="3" t="s">
        <v>1135</v>
      </c>
      <c r="B1259" s="3" t="s">
        <v>103</v>
      </c>
      <c r="C1259" s="3" t="s">
        <v>1136</v>
      </c>
      <c r="M1259" s="23"/>
      <c r="N1259" s="23"/>
      <c r="O1259" s="23"/>
    </row>
    <row r="1260" customFormat="false" ht="36" hidden="false" customHeight="true" outlineLevel="0" collapsed="false">
      <c r="C1260" s="26" t="s">
        <v>1137</v>
      </c>
      <c r="M1260" s="23"/>
      <c r="N1260" s="23"/>
      <c r="O1260" s="23"/>
    </row>
    <row r="1261" customFormat="false" ht="15" hidden="false" customHeight="true" outlineLevel="0" collapsed="false">
      <c r="C1261" s="27" t="s">
        <v>998</v>
      </c>
      <c r="D1261" s="28" t="n">
        <v>13</v>
      </c>
      <c r="H1261" s="29" t="n">
        <f aca="false">IF(COUNT(D1261:G1261)=0,0,D1261*IF(E1261="",1,E1261)*IF(F1261="",1,F1261)*IF(G1261="",1,G1261))</f>
        <v>13</v>
      </c>
      <c r="M1261" s="23"/>
      <c r="N1261" s="23"/>
      <c r="O1261" s="23"/>
    </row>
    <row r="1262" customFormat="false" ht="15" hidden="false" customHeight="true" outlineLevel="0" collapsed="false">
      <c r="H1262" s="30"/>
      <c r="I1262" s="31" t="n">
        <f aca="false">ROUND(SUM(H1261:H1261),2)</f>
        <v>13</v>
      </c>
      <c r="J1262" s="32" t="n">
        <v>0.57</v>
      </c>
      <c r="K1262" s="31" t="n">
        <f aca="false">ROUND(I1262*J1262,2)</f>
        <v>7.41</v>
      </c>
      <c r="L1262" s="33" t="s">
        <v>122</v>
      </c>
      <c r="M1262" s="23" t="s">
        <v>123</v>
      </c>
      <c r="N1262" s="23" t="s">
        <v>75</v>
      </c>
      <c r="O1262" s="23" t="s">
        <v>1091</v>
      </c>
    </row>
    <row r="1263" customFormat="false" ht="15" hidden="false" customHeight="true" outlineLevel="0" collapsed="false">
      <c r="A1263" s="3" t="s">
        <v>1138</v>
      </c>
      <c r="B1263" s="3" t="s">
        <v>103</v>
      </c>
      <c r="C1263" s="3" t="s">
        <v>1139</v>
      </c>
      <c r="M1263" s="23"/>
      <c r="N1263" s="23"/>
      <c r="O1263" s="23"/>
    </row>
    <row r="1264" customFormat="false" ht="36" hidden="false" customHeight="true" outlineLevel="0" collapsed="false">
      <c r="C1264" s="26" t="s">
        <v>1140</v>
      </c>
      <c r="M1264" s="23"/>
      <c r="N1264" s="23"/>
      <c r="O1264" s="23"/>
    </row>
    <row r="1265" customFormat="false" ht="15" hidden="false" customHeight="true" outlineLevel="0" collapsed="false">
      <c r="C1265" s="27" t="s">
        <v>998</v>
      </c>
      <c r="D1265" s="28" t="n">
        <v>6</v>
      </c>
      <c r="H1265" s="29" t="n">
        <f aca="false">IF(COUNT(D1265:G1265)=0,0,D1265*IF(E1265="",1,E1265)*IF(F1265="",1,F1265)*IF(G1265="",1,G1265))</f>
        <v>6</v>
      </c>
      <c r="M1265" s="23"/>
      <c r="N1265" s="23"/>
      <c r="O1265" s="23"/>
    </row>
    <row r="1266" customFormat="false" ht="15" hidden="false" customHeight="true" outlineLevel="0" collapsed="false">
      <c r="H1266" s="30"/>
      <c r="I1266" s="31" t="n">
        <f aca="false">ROUND(SUM(H1265:H1265),2)</f>
        <v>6</v>
      </c>
      <c r="J1266" s="32" t="n">
        <v>1.08</v>
      </c>
      <c r="K1266" s="31" t="n">
        <f aca="false">ROUND(I1266*J1266,2)</f>
        <v>6.48</v>
      </c>
      <c r="L1266" s="33" t="s">
        <v>122</v>
      </c>
      <c r="M1266" s="23" t="s">
        <v>123</v>
      </c>
      <c r="N1266" s="23" t="s">
        <v>75</v>
      </c>
      <c r="O1266" s="23" t="s">
        <v>1091</v>
      </c>
    </row>
    <row r="1267" customFormat="false" ht="15" hidden="false" customHeight="true" outlineLevel="0" collapsed="false">
      <c r="A1267" s="3" t="s">
        <v>1141</v>
      </c>
      <c r="B1267" s="3" t="s">
        <v>103</v>
      </c>
      <c r="C1267" s="3" t="s">
        <v>1142</v>
      </c>
      <c r="M1267" s="23"/>
      <c r="N1267" s="23"/>
      <c r="O1267" s="23"/>
    </row>
    <row r="1268" customFormat="false" ht="36" hidden="false" customHeight="true" outlineLevel="0" collapsed="false">
      <c r="C1268" s="26" t="s">
        <v>1143</v>
      </c>
      <c r="M1268" s="23"/>
      <c r="N1268" s="23"/>
      <c r="O1268" s="23"/>
    </row>
    <row r="1269" customFormat="false" ht="15" hidden="false" customHeight="true" outlineLevel="0" collapsed="false">
      <c r="C1269" s="27" t="s">
        <v>998</v>
      </c>
      <c r="D1269" s="28" t="n">
        <v>1</v>
      </c>
      <c r="H1269" s="29" t="n">
        <f aca="false">IF(COUNT(D1269:G1269)=0,0,D1269*IF(E1269="",1,E1269)*IF(F1269="",1,F1269)*IF(G1269="",1,G1269))</f>
        <v>1</v>
      </c>
      <c r="M1269" s="23"/>
      <c r="N1269" s="23"/>
      <c r="O1269" s="23"/>
    </row>
    <row r="1270" customFormat="false" ht="15" hidden="false" customHeight="true" outlineLevel="0" collapsed="false">
      <c r="H1270" s="30"/>
      <c r="I1270" s="31" t="n">
        <f aca="false">ROUND(SUM(H1269:H1269),2)</f>
        <v>1</v>
      </c>
      <c r="J1270" s="32" t="n">
        <v>1.78</v>
      </c>
      <c r="K1270" s="31" t="n">
        <f aca="false">ROUND(I1270*J1270,2)</f>
        <v>1.78</v>
      </c>
      <c r="L1270" s="33" t="s">
        <v>122</v>
      </c>
      <c r="M1270" s="23" t="s">
        <v>123</v>
      </c>
      <c r="N1270" s="23" t="s">
        <v>75</v>
      </c>
      <c r="O1270" s="23" t="s">
        <v>1091</v>
      </c>
    </row>
    <row r="1271" customFormat="false" ht="15" hidden="false" customHeight="true" outlineLevel="0" collapsed="false">
      <c r="A1271" s="3" t="s">
        <v>1144</v>
      </c>
      <c r="B1271" s="3" t="s">
        <v>103</v>
      </c>
      <c r="C1271" s="3" t="s">
        <v>1145</v>
      </c>
      <c r="M1271" s="23"/>
      <c r="N1271" s="23"/>
      <c r="O1271" s="23"/>
    </row>
    <row r="1272" customFormat="false" ht="36" hidden="false" customHeight="true" outlineLevel="0" collapsed="false">
      <c r="C1272" s="26" t="s">
        <v>1146</v>
      </c>
      <c r="M1272" s="23"/>
      <c r="N1272" s="23"/>
      <c r="O1272" s="23"/>
    </row>
    <row r="1273" customFormat="false" ht="15" hidden="false" customHeight="true" outlineLevel="0" collapsed="false">
      <c r="C1273" s="27" t="s">
        <v>998</v>
      </c>
      <c r="D1273" s="28" t="n">
        <v>1</v>
      </c>
      <c r="H1273" s="29" t="n">
        <f aca="false">IF(COUNT(D1273:G1273)=0,0,D1273*IF(E1273="",1,E1273)*IF(F1273="",1,F1273)*IF(G1273="",1,G1273))</f>
        <v>1</v>
      </c>
      <c r="M1273" s="23"/>
      <c r="N1273" s="23"/>
      <c r="O1273" s="23"/>
    </row>
    <row r="1274" customFormat="false" ht="15" hidden="false" customHeight="true" outlineLevel="0" collapsed="false">
      <c r="H1274" s="30"/>
      <c r="I1274" s="31" t="n">
        <f aca="false">ROUND(SUM(H1273:H1273),2)</f>
        <v>1</v>
      </c>
      <c r="J1274" s="32" t="n">
        <v>2.1</v>
      </c>
      <c r="K1274" s="31" t="n">
        <f aca="false">ROUND(I1274*J1274,2)</f>
        <v>2.1</v>
      </c>
      <c r="L1274" s="33" t="s">
        <v>122</v>
      </c>
      <c r="M1274" s="23" t="s">
        <v>123</v>
      </c>
      <c r="N1274" s="23" t="s">
        <v>75</v>
      </c>
      <c r="O1274" s="23" t="s">
        <v>1091</v>
      </c>
    </row>
    <row r="1275" customFormat="false" ht="15" hidden="false" customHeight="true" outlineLevel="0" collapsed="false">
      <c r="A1275" s="3" t="s">
        <v>1147</v>
      </c>
      <c r="B1275" s="3" t="s">
        <v>103</v>
      </c>
      <c r="C1275" s="3" t="s">
        <v>1148</v>
      </c>
      <c r="M1275" s="23"/>
      <c r="N1275" s="23"/>
      <c r="O1275" s="23"/>
    </row>
    <row r="1276" customFormat="false" ht="36" hidden="false" customHeight="true" outlineLevel="0" collapsed="false">
      <c r="C1276" s="26" t="s">
        <v>1149</v>
      </c>
      <c r="M1276" s="23"/>
      <c r="N1276" s="23"/>
      <c r="O1276" s="23"/>
    </row>
    <row r="1277" customFormat="false" ht="15" hidden="false" customHeight="true" outlineLevel="0" collapsed="false">
      <c r="C1277" s="27" t="s">
        <v>998</v>
      </c>
      <c r="D1277" s="28" t="n">
        <v>4</v>
      </c>
      <c r="H1277" s="29" t="n">
        <f aca="false">IF(COUNT(D1277:G1277)=0,0,D1277*IF(E1277="",1,E1277)*IF(F1277="",1,F1277)*IF(G1277="",1,G1277))</f>
        <v>4</v>
      </c>
      <c r="M1277" s="23"/>
      <c r="N1277" s="23"/>
      <c r="O1277" s="23"/>
    </row>
    <row r="1278" customFormat="false" ht="15" hidden="false" customHeight="true" outlineLevel="0" collapsed="false">
      <c r="H1278" s="30"/>
      <c r="I1278" s="31" t="n">
        <f aca="false">ROUND(SUM(H1277:H1277),2)</f>
        <v>4</v>
      </c>
      <c r="J1278" s="32" t="n">
        <v>9.67</v>
      </c>
      <c r="K1278" s="31" t="n">
        <f aca="false">ROUND(I1278*J1278,2)</f>
        <v>38.68</v>
      </c>
      <c r="L1278" s="33" t="s">
        <v>122</v>
      </c>
      <c r="M1278" s="23" t="s">
        <v>123</v>
      </c>
      <c r="N1278" s="23" t="s">
        <v>75</v>
      </c>
      <c r="O1278" s="23" t="s">
        <v>1091</v>
      </c>
    </row>
    <row r="1279" customFormat="false" ht="15" hidden="false" customHeight="true" outlineLevel="0" collapsed="false">
      <c r="A1279" s="3" t="s">
        <v>1150</v>
      </c>
      <c r="B1279" s="3" t="s">
        <v>103</v>
      </c>
      <c r="C1279" s="3" t="s">
        <v>1151</v>
      </c>
      <c r="M1279" s="23"/>
      <c r="N1279" s="23"/>
      <c r="O1279" s="23"/>
    </row>
    <row r="1280" customFormat="false" ht="36" hidden="false" customHeight="true" outlineLevel="0" collapsed="false">
      <c r="C1280" s="26" t="s">
        <v>1152</v>
      </c>
      <c r="M1280" s="23"/>
      <c r="N1280" s="23"/>
      <c r="O1280" s="23"/>
    </row>
    <row r="1281" customFormat="false" ht="15" hidden="false" customHeight="true" outlineLevel="0" collapsed="false">
      <c r="C1281" s="27" t="s">
        <v>998</v>
      </c>
      <c r="D1281" s="28" t="n">
        <v>1</v>
      </c>
      <c r="H1281" s="29" t="n">
        <f aca="false">IF(COUNT(D1281:G1281)=0,0,D1281*IF(E1281="",1,E1281)*IF(F1281="",1,F1281)*IF(G1281="",1,G1281))</f>
        <v>1</v>
      </c>
      <c r="M1281" s="23"/>
      <c r="N1281" s="23"/>
      <c r="O1281" s="23"/>
    </row>
    <row r="1282" customFormat="false" ht="15" hidden="false" customHeight="true" outlineLevel="0" collapsed="false">
      <c r="H1282" s="30"/>
      <c r="I1282" s="31" t="n">
        <f aca="false">ROUND(SUM(H1281:H1281),2)</f>
        <v>1</v>
      </c>
      <c r="J1282" s="32" t="n">
        <v>11.18</v>
      </c>
      <c r="K1282" s="31" t="n">
        <f aca="false">ROUND(I1282*J1282,2)</f>
        <v>11.18</v>
      </c>
      <c r="L1282" s="33" t="s">
        <v>122</v>
      </c>
      <c r="M1282" s="23" t="s">
        <v>123</v>
      </c>
      <c r="N1282" s="23" t="s">
        <v>75</v>
      </c>
      <c r="O1282" s="23" t="s">
        <v>1091</v>
      </c>
    </row>
    <row r="1283" customFormat="false" ht="15" hidden="false" customHeight="true" outlineLevel="0" collapsed="false">
      <c r="A1283" s="3" t="s">
        <v>1153</v>
      </c>
      <c r="B1283" s="3" t="s">
        <v>103</v>
      </c>
      <c r="C1283" s="3" t="s">
        <v>1154</v>
      </c>
      <c r="M1283" s="23"/>
      <c r="N1283" s="23"/>
      <c r="O1283" s="23"/>
    </row>
    <row r="1284" customFormat="false" ht="36" hidden="false" customHeight="true" outlineLevel="0" collapsed="false">
      <c r="C1284" s="26" t="s">
        <v>1155</v>
      </c>
      <c r="M1284" s="23"/>
      <c r="N1284" s="23"/>
      <c r="O1284" s="23"/>
    </row>
    <row r="1285" customFormat="false" ht="15" hidden="false" customHeight="true" outlineLevel="0" collapsed="false">
      <c r="C1285" s="27" t="s">
        <v>998</v>
      </c>
      <c r="D1285" s="28" t="n">
        <v>1</v>
      </c>
      <c r="H1285" s="29" t="n">
        <f aca="false">IF(COUNT(D1285:G1285)=0,0,D1285*IF(E1285="",1,E1285)*IF(F1285="",1,F1285)*IF(G1285="",1,G1285))</f>
        <v>1</v>
      </c>
      <c r="M1285" s="23"/>
      <c r="N1285" s="23"/>
      <c r="O1285" s="23"/>
    </row>
    <row r="1286" customFormat="false" ht="15" hidden="false" customHeight="true" outlineLevel="0" collapsed="false">
      <c r="H1286" s="30"/>
      <c r="I1286" s="31" t="n">
        <f aca="false">ROUND(SUM(H1285:H1285),2)</f>
        <v>1</v>
      </c>
      <c r="J1286" s="32" t="n">
        <v>0.58</v>
      </c>
      <c r="K1286" s="31" t="n">
        <f aca="false">ROUND(I1286*J1286,2)</f>
        <v>0.58</v>
      </c>
      <c r="L1286" s="33" t="s">
        <v>122</v>
      </c>
      <c r="M1286" s="23" t="s">
        <v>123</v>
      </c>
      <c r="N1286" s="23" t="s">
        <v>75</v>
      </c>
      <c r="O1286" s="23" t="s">
        <v>1091</v>
      </c>
    </row>
    <row r="1287" customFormat="false" ht="15" hidden="false" customHeight="true" outlineLevel="0" collapsed="false">
      <c r="A1287" s="3" t="s">
        <v>1156</v>
      </c>
      <c r="B1287" s="3" t="s">
        <v>103</v>
      </c>
      <c r="C1287" s="3" t="s">
        <v>1157</v>
      </c>
      <c r="M1287" s="23"/>
      <c r="N1287" s="23"/>
      <c r="O1287" s="23"/>
    </row>
    <row r="1288" customFormat="false" ht="48" hidden="false" customHeight="true" outlineLevel="0" collapsed="false">
      <c r="C1288" s="26" t="s">
        <v>1158</v>
      </c>
      <c r="M1288" s="23"/>
      <c r="N1288" s="23"/>
      <c r="O1288" s="23"/>
    </row>
    <row r="1289" customFormat="false" ht="15" hidden="false" customHeight="true" outlineLevel="0" collapsed="false">
      <c r="C1289" s="27" t="s">
        <v>998</v>
      </c>
      <c r="D1289" s="28" t="n">
        <v>3</v>
      </c>
      <c r="H1289" s="29" t="n">
        <f aca="false">IF(COUNT(D1289:G1289)=0,0,D1289*IF(E1289="",1,E1289)*IF(F1289="",1,F1289)*IF(G1289="",1,G1289))</f>
        <v>3</v>
      </c>
      <c r="M1289" s="23"/>
      <c r="N1289" s="23"/>
      <c r="O1289" s="23"/>
    </row>
    <row r="1290" customFormat="false" ht="15" hidden="false" customHeight="true" outlineLevel="0" collapsed="false">
      <c r="H1290" s="30"/>
      <c r="I1290" s="31" t="n">
        <f aca="false">ROUND(SUM(H1289:H1289),2)</f>
        <v>3</v>
      </c>
      <c r="J1290" s="32" t="n">
        <v>1.87</v>
      </c>
      <c r="K1290" s="31" t="n">
        <f aca="false">ROUND(I1290*J1290,2)</f>
        <v>5.61</v>
      </c>
      <c r="L1290" s="33" t="s">
        <v>122</v>
      </c>
      <c r="M1290" s="23" t="s">
        <v>123</v>
      </c>
      <c r="N1290" s="23" t="s">
        <v>75</v>
      </c>
      <c r="O1290" s="23" t="s">
        <v>1091</v>
      </c>
    </row>
    <row r="1291" customFormat="false" ht="15" hidden="false" customHeight="true" outlineLevel="0" collapsed="false">
      <c r="A1291" s="3" t="s">
        <v>1159</v>
      </c>
      <c r="B1291" s="3" t="s">
        <v>103</v>
      </c>
      <c r="C1291" s="3" t="s">
        <v>1160</v>
      </c>
      <c r="M1291" s="23"/>
      <c r="N1291" s="23"/>
      <c r="O1291" s="23"/>
    </row>
    <row r="1292" customFormat="false" ht="36" hidden="false" customHeight="true" outlineLevel="0" collapsed="false">
      <c r="C1292" s="26" t="s">
        <v>1161</v>
      </c>
      <c r="M1292" s="23"/>
      <c r="N1292" s="23"/>
      <c r="O1292" s="23"/>
    </row>
    <row r="1293" customFormat="false" ht="15" hidden="false" customHeight="true" outlineLevel="0" collapsed="false">
      <c r="C1293" s="27" t="s">
        <v>998</v>
      </c>
      <c r="D1293" s="28" t="n">
        <v>3</v>
      </c>
      <c r="H1293" s="29" t="n">
        <f aca="false">IF(COUNT(D1293:G1293)=0,0,D1293*IF(E1293="",1,E1293)*IF(F1293="",1,F1293)*IF(G1293="",1,G1293))</f>
        <v>3</v>
      </c>
      <c r="M1293" s="23"/>
      <c r="N1293" s="23"/>
      <c r="O1293" s="23"/>
    </row>
    <row r="1294" customFormat="false" ht="15" hidden="false" customHeight="true" outlineLevel="0" collapsed="false">
      <c r="H1294" s="30"/>
      <c r="I1294" s="31" t="n">
        <f aca="false">ROUND(SUM(H1293:H1293),2)</f>
        <v>3</v>
      </c>
      <c r="J1294" s="32" t="n">
        <v>0.29</v>
      </c>
      <c r="K1294" s="31" t="n">
        <f aca="false">ROUND(I1294*J1294,2)</f>
        <v>0.87</v>
      </c>
      <c r="L1294" s="33" t="s">
        <v>122</v>
      </c>
      <c r="M1294" s="23" t="s">
        <v>123</v>
      </c>
      <c r="N1294" s="23" t="s">
        <v>75</v>
      </c>
      <c r="O1294" s="23" t="s">
        <v>1091</v>
      </c>
    </row>
    <row r="1295" customFormat="false" ht="15" hidden="false" customHeight="true" outlineLevel="0" collapsed="false">
      <c r="A1295" s="3" t="s">
        <v>1162</v>
      </c>
      <c r="B1295" s="3" t="s">
        <v>103</v>
      </c>
      <c r="C1295" s="3" t="s">
        <v>1163</v>
      </c>
      <c r="M1295" s="23"/>
      <c r="N1295" s="23"/>
      <c r="O1295" s="23"/>
    </row>
    <row r="1296" customFormat="false" ht="36" hidden="false" customHeight="true" outlineLevel="0" collapsed="false">
      <c r="C1296" s="26" t="s">
        <v>1164</v>
      </c>
      <c r="M1296" s="23"/>
      <c r="N1296" s="23"/>
      <c r="O1296" s="23"/>
    </row>
    <row r="1297" customFormat="false" ht="15" hidden="false" customHeight="true" outlineLevel="0" collapsed="false">
      <c r="C1297" s="27" t="s">
        <v>998</v>
      </c>
      <c r="D1297" s="28" t="n">
        <v>2</v>
      </c>
      <c r="H1297" s="29" t="n">
        <f aca="false">IF(COUNT(D1297:G1297)=0,0,D1297*IF(E1297="",1,E1297)*IF(F1297="",1,F1297)*IF(G1297="",1,G1297))</f>
        <v>2</v>
      </c>
      <c r="M1297" s="23"/>
      <c r="N1297" s="23"/>
      <c r="O1297" s="23"/>
    </row>
    <row r="1298" customFormat="false" ht="15" hidden="false" customHeight="true" outlineLevel="0" collapsed="false">
      <c r="H1298" s="30"/>
      <c r="I1298" s="31" t="n">
        <f aca="false">ROUND(SUM(H1297:H1297),2)</f>
        <v>2</v>
      </c>
      <c r="J1298" s="32" t="n">
        <v>5.83</v>
      </c>
      <c r="K1298" s="31" t="n">
        <f aca="false">ROUND(I1298*J1298,2)</f>
        <v>11.66</v>
      </c>
      <c r="L1298" s="33" t="s">
        <v>122</v>
      </c>
      <c r="M1298" s="23" t="s">
        <v>123</v>
      </c>
      <c r="N1298" s="23" t="s">
        <v>75</v>
      </c>
      <c r="O1298" s="23" t="s">
        <v>1091</v>
      </c>
    </row>
    <row r="1299" customFormat="false" ht="15" hidden="false" customHeight="true" outlineLevel="0" collapsed="false">
      <c r="A1299" s="3" t="s">
        <v>1165</v>
      </c>
      <c r="B1299" s="3" t="s">
        <v>103</v>
      </c>
      <c r="C1299" s="3" t="s">
        <v>1166</v>
      </c>
      <c r="M1299" s="23"/>
      <c r="N1299" s="23"/>
      <c r="O1299" s="23"/>
    </row>
    <row r="1300" customFormat="false" ht="36" hidden="false" customHeight="true" outlineLevel="0" collapsed="false">
      <c r="C1300" s="26" t="s">
        <v>1167</v>
      </c>
      <c r="M1300" s="23"/>
      <c r="N1300" s="23"/>
      <c r="O1300" s="23"/>
    </row>
    <row r="1301" customFormat="false" ht="15" hidden="false" customHeight="true" outlineLevel="0" collapsed="false">
      <c r="C1301" s="27" t="s">
        <v>998</v>
      </c>
      <c r="D1301" s="28" t="n">
        <v>1</v>
      </c>
      <c r="H1301" s="29" t="n">
        <f aca="false">IF(COUNT(D1301:G1301)=0,0,D1301*IF(E1301="",1,E1301)*IF(F1301="",1,F1301)*IF(G1301="",1,G1301))</f>
        <v>1</v>
      </c>
      <c r="M1301" s="23"/>
      <c r="N1301" s="23"/>
      <c r="O1301" s="23"/>
    </row>
    <row r="1302" customFormat="false" ht="15" hidden="false" customHeight="true" outlineLevel="0" collapsed="false">
      <c r="H1302" s="30"/>
      <c r="I1302" s="31" t="n">
        <f aca="false">ROUND(SUM(H1301:H1301),2)</f>
        <v>1</v>
      </c>
      <c r="J1302" s="32" t="n">
        <v>7.81</v>
      </c>
      <c r="K1302" s="31" t="n">
        <f aca="false">ROUND(I1302*J1302,2)</f>
        <v>7.81</v>
      </c>
      <c r="L1302" s="33" t="s">
        <v>122</v>
      </c>
      <c r="M1302" s="23" t="s">
        <v>123</v>
      </c>
      <c r="N1302" s="23" t="s">
        <v>75</v>
      </c>
      <c r="O1302" s="23" t="s">
        <v>1091</v>
      </c>
    </row>
    <row r="1303" customFormat="false" ht="15" hidden="false" customHeight="true" outlineLevel="0" collapsed="false">
      <c r="A1303" s="3" t="s">
        <v>1168</v>
      </c>
      <c r="B1303" s="3" t="s">
        <v>103</v>
      </c>
      <c r="C1303" s="3" t="s">
        <v>1169</v>
      </c>
      <c r="M1303" s="23"/>
      <c r="N1303" s="23"/>
      <c r="O1303" s="23"/>
    </row>
    <row r="1304" customFormat="false" ht="36" hidden="false" customHeight="true" outlineLevel="0" collapsed="false">
      <c r="C1304" s="26" t="s">
        <v>1170</v>
      </c>
      <c r="M1304" s="23"/>
      <c r="N1304" s="23"/>
      <c r="O1304" s="23"/>
    </row>
    <row r="1305" customFormat="false" ht="15" hidden="false" customHeight="true" outlineLevel="0" collapsed="false">
      <c r="C1305" s="27" t="s">
        <v>998</v>
      </c>
      <c r="D1305" s="28" t="n">
        <v>3</v>
      </c>
      <c r="H1305" s="29" t="n">
        <f aca="false">IF(COUNT(D1305:G1305)=0,0,D1305*IF(E1305="",1,E1305)*IF(F1305="",1,F1305)*IF(G1305="",1,G1305))</f>
        <v>3</v>
      </c>
      <c r="M1305" s="23"/>
      <c r="N1305" s="23"/>
      <c r="O1305" s="23"/>
    </row>
    <row r="1306" customFormat="false" ht="15" hidden="false" customHeight="true" outlineLevel="0" collapsed="false">
      <c r="H1306" s="30"/>
      <c r="I1306" s="31" t="n">
        <f aca="false">ROUND(SUM(H1305:H1305),2)</f>
        <v>3</v>
      </c>
      <c r="J1306" s="32" t="n">
        <v>9.03</v>
      </c>
      <c r="K1306" s="31" t="n">
        <f aca="false">ROUND(I1306*J1306,2)</f>
        <v>27.09</v>
      </c>
      <c r="L1306" s="33" t="s">
        <v>122</v>
      </c>
      <c r="M1306" s="23" t="s">
        <v>123</v>
      </c>
      <c r="N1306" s="23" t="s">
        <v>75</v>
      </c>
      <c r="O1306" s="23" t="s">
        <v>1091</v>
      </c>
    </row>
    <row r="1307" customFormat="false" ht="15" hidden="false" customHeight="true" outlineLevel="0" collapsed="false">
      <c r="A1307" s="3" t="s">
        <v>1171</v>
      </c>
      <c r="B1307" s="3" t="s">
        <v>103</v>
      </c>
      <c r="C1307" s="3" t="s">
        <v>1172</v>
      </c>
      <c r="M1307" s="23"/>
      <c r="N1307" s="23"/>
      <c r="O1307" s="23"/>
    </row>
    <row r="1308" customFormat="false" ht="36" hidden="false" customHeight="true" outlineLevel="0" collapsed="false">
      <c r="C1308" s="26" t="s">
        <v>1173</v>
      </c>
      <c r="M1308" s="23"/>
      <c r="N1308" s="23"/>
      <c r="O1308" s="23"/>
    </row>
    <row r="1309" customFormat="false" ht="15" hidden="false" customHeight="true" outlineLevel="0" collapsed="false">
      <c r="C1309" s="27" t="s">
        <v>998</v>
      </c>
      <c r="D1309" s="28" t="n">
        <v>2</v>
      </c>
      <c r="H1309" s="29" t="n">
        <f aca="false">IF(COUNT(D1309:G1309)=0,0,D1309*IF(E1309="",1,E1309)*IF(F1309="",1,F1309)*IF(G1309="",1,G1309))</f>
        <v>2</v>
      </c>
      <c r="M1309" s="23"/>
      <c r="N1309" s="23"/>
      <c r="O1309" s="23"/>
    </row>
    <row r="1310" customFormat="false" ht="15" hidden="false" customHeight="true" outlineLevel="0" collapsed="false">
      <c r="H1310" s="30"/>
      <c r="I1310" s="31" t="n">
        <f aca="false">ROUND(SUM(H1309:H1309),2)</f>
        <v>2</v>
      </c>
      <c r="J1310" s="32" t="n">
        <v>7.65</v>
      </c>
      <c r="K1310" s="31" t="n">
        <f aca="false">ROUND(I1310*J1310,2)</f>
        <v>15.3</v>
      </c>
      <c r="L1310" s="33" t="s">
        <v>122</v>
      </c>
      <c r="M1310" s="23" t="s">
        <v>123</v>
      </c>
      <c r="N1310" s="23" t="s">
        <v>75</v>
      </c>
      <c r="O1310" s="23" t="s">
        <v>1091</v>
      </c>
    </row>
    <row r="1311" customFormat="false" ht="15" hidden="false" customHeight="true" outlineLevel="0" collapsed="false">
      <c r="A1311" s="3" t="s">
        <v>1174</v>
      </c>
      <c r="B1311" s="3" t="s">
        <v>103</v>
      </c>
      <c r="C1311" s="3" t="s">
        <v>1175</v>
      </c>
      <c r="M1311" s="23"/>
      <c r="N1311" s="23"/>
      <c r="O1311" s="23"/>
    </row>
    <row r="1312" customFormat="false" ht="36" hidden="false" customHeight="true" outlineLevel="0" collapsed="false">
      <c r="C1312" s="26" t="s">
        <v>1176</v>
      </c>
      <c r="M1312" s="23"/>
      <c r="N1312" s="23"/>
      <c r="O1312" s="23"/>
    </row>
    <row r="1313" customFormat="false" ht="15" hidden="false" customHeight="true" outlineLevel="0" collapsed="false">
      <c r="C1313" s="27" t="s">
        <v>998</v>
      </c>
      <c r="D1313" s="28" t="n">
        <v>1</v>
      </c>
      <c r="H1313" s="29" t="n">
        <f aca="false">IF(COUNT(D1313:G1313)=0,0,D1313*IF(E1313="",1,E1313)*IF(F1313="",1,F1313)*IF(G1313="",1,G1313))</f>
        <v>1</v>
      </c>
      <c r="M1313" s="23"/>
      <c r="N1313" s="23"/>
      <c r="O1313" s="23"/>
    </row>
    <row r="1314" customFormat="false" ht="15" hidden="false" customHeight="true" outlineLevel="0" collapsed="false">
      <c r="H1314" s="30"/>
      <c r="I1314" s="31" t="n">
        <f aca="false">ROUND(SUM(H1313:H1313),2)</f>
        <v>1</v>
      </c>
      <c r="J1314" s="32" t="n">
        <v>1.3</v>
      </c>
      <c r="K1314" s="31" t="n">
        <f aca="false">ROUND(I1314*J1314,2)</f>
        <v>1.3</v>
      </c>
      <c r="L1314" s="33" t="s">
        <v>122</v>
      </c>
      <c r="M1314" s="23" t="s">
        <v>123</v>
      </c>
      <c r="N1314" s="23" t="s">
        <v>75</v>
      </c>
      <c r="O1314" s="23" t="s">
        <v>1091</v>
      </c>
    </row>
    <row r="1315" customFormat="false" ht="15" hidden="false" customHeight="true" outlineLevel="0" collapsed="false">
      <c r="A1315" s="3" t="s">
        <v>1177</v>
      </c>
      <c r="B1315" s="3" t="s">
        <v>103</v>
      </c>
      <c r="C1315" s="3" t="s">
        <v>1178</v>
      </c>
      <c r="M1315" s="23"/>
      <c r="N1315" s="23"/>
      <c r="O1315" s="23"/>
    </row>
    <row r="1316" customFormat="false" ht="36" hidden="false" customHeight="true" outlineLevel="0" collapsed="false">
      <c r="C1316" s="26" t="s">
        <v>1179</v>
      </c>
      <c r="M1316" s="23"/>
      <c r="N1316" s="23"/>
      <c r="O1316" s="23"/>
    </row>
    <row r="1317" customFormat="false" ht="15" hidden="false" customHeight="true" outlineLevel="0" collapsed="false">
      <c r="C1317" s="27" t="s">
        <v>998</v>
      </c>
      <c r="D1317" s="28" t="n">
        <v>1</v>
      </c>
      <c r="H1317" s="29" t="n">
        <f aca="false">IF(COUNT(D1317:G1317)=0,0,D1317*IF(E1317="",1,E1317)*IF(F1317="",1,F1317)*IF(G1317="",1,G1317))</f>
        <v>1</v>
      </c>
      <c r="M1317" s="23"/>
      <c r="N1317" s="23"/>
      <c r="O1317" s="23"/>
    </row>
    <row r="1318" customFormat="false" ht="15" hidden="false" customHeight="true" outlineLevel="0" collapsed="false">
      <c r="H1318" s="30"/>
      <c r="I1318" s="31" t="n">
        <f aca="false">ROUND(SUM(H1317:H1317),2)</f>
        <v>1</v>
      </c>
      <c r="J1318" s="32" t="n">
        <v>12.72</v>
      </c>
      <c r="K1318" s="31" t="n">
        <f aca="false">ROUND(I1318*J1318,2)</f>
        <v>12.72</v>
      </c>
      <c r="L1318" s="33" t="s">
        <v>122</v>
      </c>
      <c r="M1318" s="23" t="s">
        <v>123</v>
      </c>
      <c r="N1318" s="23" t="s">
        <v>75</v>
      </c>
      <c r="O1318" s="23" t="s">
        <v>1091</v>
      </c>
    </row>
    <row r="1319" customFormat="false" ht="15" hidden="false" customHeight="true" outlineLevel="0" collapsed="false">
      <c r="A1319" s="3" t="s">
        <v>1180</v>
      </c>
      <c r="B1319" s="3" t="s">
        <v>103</v>
      </c>
      <c r="C1319" s="3" t="s">
        <v>1181</v>
      </c>
      <c r="M1319" s="23"/>
      <c r="N1319" s="23"/>
      <c r="O1319" s="23"/>
    </row>
    <row r="1320" customFormat="false" ht="36" hidden="false" customHeight="true" outlineLevel="0" collapsed="false">
      <c r="C1320" s="26" t="s">
        <v>1182</v>
      </c>
      <c r="M1320" s="23"/>
      <c r="N1320" s="23"/>
      <c r="O1320" s="23"/>
    </row>
    <row r="1321" customFormat="false" ht="15" hidden="false" customHeight="true" outlineLevel="0" collapsed="false">
      <c r="C1321" s="27" t="s">
        <v>998</v>
      </c>
      <c r="D1321" s="28" t="n">
        <v>3</v>
      </c>
      <c r="H1321" s="29" t="n">
        <f aca="false">IF(COUNT(D1321:G1321)=0,0,D1321*IF(E1321="",1,E1321)*IF(F1321="",1,F1321)*IF(G1321="",1,G1321))</f>
        <v>3</v>
      </c>
      <c r="M1321" s="23"/>
      <c r="N1321" s="23"/>
      <c r="O1321" s="23"/>
    </row>
    <row r="1322" customFormat="false" ht="15" hidden="false" customHeight="true" outlineLevel="0" collapsed="false">
      <c r="H1322" s="30"/>
      <c r="I1322" s="31" t="n">
        <f aca="false">ROUND(SUM(H1321:H1321),2)</f>
        <v>3</v>
      </c>
      <c r="J1322" s="32" t="n">
        <v>1.4</v>
      </c>
      <c r="K1322" s="31" t="n">
        <f aca="false">ROUND(I1322*J1322,2)</f>
        <v>4.2</v>
      </c>
      <c r="L1322" s="33" t="s">
        <v>122</v>
      </c>
      <c r="M1322" s="23" t="s">
        <v>123</v>
      </c>
      <c r="N1322" s="23" t="s">
        <v>75</v>
      </c>
      <c r="O1322" s="23" t="s">
        <v>1091</v>
      </c>
    </row>
    <row r="1323" customFormat="false" ht="15" hidden="false" customHeight="true" outlineLevel="0" collapsed="false">
      <c r="A1323" s="3" t="s">
        <v>1183</v>
      </c>
      <c r="B1323" s="3" t="s">
        <v>103</v>
      </c>
      <c r="C1323" s="3" t="s">
        <v>1184</v>
      </c>
      <c r="M1323" s="23"/>
      <c r="N1323" s="23"/>
      <c r="O1323" s="23"/>
    </row>
    <row r="1324" customFormat="false" ht="36" hidden="false" customHeight="true" outlineLevel="0" collapsed="false">
      <c r="C1324" s="26" t="s">
        <v>1185</v>
      </c>
      <c r="M1324" s="23"/>
      <c r="N1324" s="23"/>
      <c r="O1324" s="23"/>
    </row>
    <row r="1325" customFormat="false" ht="15" hidden="false" customHeight="true" outlineLevel="0" collapsed="false">
      <c r="C1325" s="27" t="s">
        <v>998</v>
      </c>
      <c r="D1325" s="28" t="n">
        <v>3</v>
      </c>
      <c r="H1325" s="29" t="n">
        <f aca="false">IF(COUNT(D1325:G1325)=0,0,D1325*IF(E1325="",1,E1325)*IF(F1325="",1,F1325)*IF(G1325="",1,G1325))</f>
        <v>3</v>
      </c>
      <c r="M1325" s="23"/>
      <c r="N1325" s="23"/>
      <c r="O1325" s="23"/>
    </row>
    <row r="1326" customFormat="false" ht="15" hidden="false" customHeight="true" outlineLevel="0" collapsed="false">
      <c r="H1326" s="30"/>
      <c r="I1326" s="31" t="n">
        <f aca="false">ROUND(SUM(H1325:H1325),2)</f>
        <v>3</v>
      </c>
      <c r="J1326" s="32" t="n">
        <v>3.47</v>
      </c>
      <c r="K1326" s="31" t="n">
        <f aca="false">ROUND(I1326*J1326,2)</f>
        <v>10.41</v>
      </c>
      <c r="L1326" s="33" t="s">
        <v>122</v>
      </c>
      <c r="M1326" s="23" t="s">
        <v>123</v>
      </c>
      <c r="N1326" s="23" t="s">
        <v>75</v>
      </c>
      <c r="O1326" s="23" t="s">
        <v>1091</v>
      </c>
    </row>
    <row r="1327" customFormat="false" ht="15" hidden="false" customHeight="true" outlineLevel="0" collapsed="false">
      <c r="A1327" s="3" t="s">
        <v>1186</v>
      </c>
      <c r="B1327" s="3" t="s">
        <v>103</v>
      </c>
      <c r="C1327" s="3" t="s">
        <v>1187</v>
      </c>
      <c r="M1327" s="23"/>
      <c r="N1327" s="23"/>
      <c r="O1327" s="23"/>
    </row>
    <row r="1328" customFormat="false" ht="36" hidden="false" customHeight="true" outlineLevel="0" collapsed="false">
      <c r="C1328" s="26" t="s">
        <v>1188</v>
      </c>
      <c r="M1328" s="23"/>
      <c r="N1328" s="23"/>
      <c r="O1328" s="23"/>
    </row>
    <row r="1329" customFormat="false" ht="15" hidden="false" customHeight="true" outlineLevel="0" collapsed="false">
      <c r="C1329" s="27" t="s">
        <v>998</v>
      </c>
      <c r="D1329" s="28" t="n">
        <v>6</v>
      </c>
      <c r="H1329" s="29" t="n">
        <f aca="false">IF(COUNT(D1329:G1329)=0,0,D1329*IF(E1329="",1,E1329)*IF(F1329="",1,F1329)*IF(G1329="",1,G1329))</f>
        <v>6</v>
      </c>
      <c r="M1329" s="23"/>
      <c r="N1329" s="23"/>
      <c r="O1329" s="23"/>
    </row>
    <row r="1330" customFormat="false" ht="15" hidden="false" customHeight="true" outlineLevel="0" collapsed="false">
      <c r="H1330" s="30"/>
      <c r="I1330" s="31" t="n">
        <f aca="false">ROUND(SUM(H1329:H1329),2)</f>
        <v>6</v>
      </c>
      <c r="J1330" s="32" t="n">
        <v>2.1</v>
      </c>
      <c r="K1330" s="31" t="n">
        <f aca="false">ROUND(I1330*J1330,2)</f>
        <v>12.6</v>
      </c>
      <c r="L1330" s="33" t="s">
        <v>122</v>
      </c>
      <c r="M1330" s="23" t="s">
        <v>123</v>
      </c>
      <c r="N1330" s="23" t="s">
        <v>75</v>
      </c>
      <c r="O1330" s="23" t="s">
        <v>1091</v>
      </c>
    </row>
    <row r="1331" customFormat="false" ht="15" hidden="false" customHeight="true" outlineLevel="0" collapsed="false">
      <c r="A1331" s="3" t="s">
        <v>1189</v>
      </c>
      <c r="B1331" s="3" t="s">
        <v>103</v>
      </c>
      <c r="C1331" s="3" t="s">
        <v>1190</v>
      </c>
      <c r="M1331" s="23"/>
      <c r="N1331" s="23"/>
      <c r="O1331" s="23"/>
    </row>
    <row r="1332" customFormat="false" ht="36" hidden="false" customHeight="true" outlineLevel="0" collapsed="false">
      <c r="C1332" s="26" t="s">
        <v>1191</v>
      </c>
      <c r="M1332" s="23"/>
      <c r="N1332" s="23"/>
      <c r="O1332" s="23"/>
    </row>
    <row r="1333" customFormat="false" ht="15" hidden="false" customHeight="true" outlineLevel="0" collapsed="false">
      <c r="C1333" s="27" t="s">
        <v>998</v>
      </c>
      <c r="D1333" s="28" t="n">
        <v>3</v>
      </c>
      <c r="H1333" s="29" t="n">
        <f aca="false">IF(COUNT(D1333:G1333)=0,0,D1333*IF(E1333="",1,E1333)*IF(F1333="",1,F1333)*IF(G1333="",1,G1333))</f>
        <v>3</v>
      </c>
      <c r="M1333" s="23"/>
      <c r="N1333" s="23"/>
      <c r="O1333" s="23"/>
    </row>
    <row r="1334" customFormat="false" ht="15" hidden="false" customHeight="true" outlineLevel="0" collapsed="false">
      <c r="H1334" s="30"/>
      <c r="I1334" s="31" t="n">
        <f aca="false">ROUND(SUM(H1333:H1333),2)</f>
        <v>3</v>
      </c>
      <c r="J1334" s="32" t="n">
        <v>4.21</v>
      </c>
      <c r="K1334" s="31" t="n">
        <f aca="false">ROUND(I1334*J1334,2)</f>
        <v>12.63</v>
      </c>
      <c r="L1334" s="33" t="s">
        <v>122</v>
      </c>
      <c r="M1334" s="23" t="s">
        <v>123</v>
      </c>
      <c r="N1334" s="23" t="s">
        <v>75</v>
      </c>
      <c r="O1334" s="23" t="s">
        <v>1091</v>
      </c>
    </row>
    <row r="1335" customFormat="false" ht="15" hidden="false" customHeight="true" outlineLevel="0" collapsed="false">
      <c r="A1335" s="3" t="s">
        <v>1192</v>
      </c>
      <c r="B1335" s="3" t="s">
        <v>103</v>
      </c>
      <c r="C1335" s="3" t="s">
        <v>1193</v>
      </c>
      <c r="M1335" s="23"/>
      <c r="N1335" s="23"/>
      <c r="O1335" s="23"/>
    </row>
    <row r="1336" customFormat="false" ht="36" hidden="false" customHeight="true" outlineLevel="0" collapsed="false">
      <c r="C1336" s="26" t="s">
        <v>1194</v>
      </c>
      <c r="M1336" s="23"/>
      <c r="N1336" s="23"/>
      <c r="O1336" s="23"/>
    </row>
    <row r="1337" customFormat="false" ht="15" hidden="false" customHeight="true" outlineLevel="0" collapsed="false">
      <c r="C1337" s="27" t="s">
        <v>998</v>
      </c>
      <c r="D1337" s="28" t="n">
        <v>1</v>
      </c>
      <c r="H1337" s="29" t="n">
        <f aca="false">IF(COUNT(D1337:G1337)=0,0,D1337*IF(E1337="",1,E1337)*IF(F1337="",1,F1337)*IF(G1337="",1,G1337))</f>
        <v>1</v>
      </c>
      <c r="M1337" s="23"/>
      <c r="N1337" s="23"/>
      <c r="O1337" s="23"/>
    </row>
    <row r="1338" customFormat="false" ht="15" hidden="false" customHeight="true" outlineLevel="0" collapsed="false">
      <c r="H1338" s="30"/>
      <c r="I1338" s="31" t="n">
        <f aca="false">ROUND(SUM(H1337:H1337),2)</f>
        <v>1</v>
      </c>
      <c r="J1338" s="32" t="n">
        <v>3.26</v>
      </c>
      <c r="K1338" s="31" t="n">
        <f aca="false">ROUND(I1338*J1338,2)</f>
        <v>3.26</v>
      </c>
      <c r="L1338" s="33" t="s">
        <v>122</v>
      </c>
      <c r="M1338" s="23" t="s">
        <v>123</v>
      </c>
      <c r="N1338" s="23" t="s">
        <v>75</v>
      </c>
      <c r="O1338" s="23" t="s">
        <v>1091</v>
      </c>
    </row>
    <row r="1339" customFormat="false" ht="15" hidden="false" customHeight="true" outlineLevel="0" collapsed="false">
      <c r="A1339" s="3" t="s">
        <v>1195</v>
      </c>
      <c r="B1339" s="3" t="s">
        <v>103</v>
      </c>
      <c r="C1339" s="3" t="s">
        <v>1196</v>
      </c>
      <c r="M1339" s="23"/>
      <c r="N1339" s="23"/>
      <c r="O1339" s="23"/>
    </row>
    <row r="1340" customFormat="false" ht="36" hidden="false" customHeight="true" outlineLevel="0" collapsed="false">
      <c r="C1340" s="26" t="s">
        <v>1197</v>
      </c>
      <c r="M1340" s="23"/>
      <c r="N1340" s="23"/>
      <c r="O1340" s="23"/>
    </row>
    <row r="1341" customFormat="false" ht="15" hidden="false" customHeight="true" outlineLevel="0" collapsed="false">
      <c r="C1341" s="27" t="s">
        <v>998</v>
      </c>
      <c r="D1341" s="28" t="n">
        <v>1</v>
      </c>
      <c r="H1341" s="29" t="n">
        <f aca="false">IF(COUNT(D1341:G1341)=0,0,D1341*IF(E1341="",1,E1341)*IF(F1341="",1,F1341)*IF(G1341="",1,G1341))</f>
        <v>1</v>
      </c>
      <c r="M1341" s="23"/>
      <c r="N1341" s="23"/>
      <c r="O1341" s="23"/>
    </row>
    <row r="1342" customFormat="false" ht="15" hidden="false" customHeight="true" outlineLevel="0" collapsed="false">
      <c r="H1342" s="30"/>
      <c r="I1342" s="31" t="n">
        <f aca="false">ROUND(SUM(H1341:H1341),2)</f>
        <v>1</v>
      </c>
      <c r="J1342" s="32" t="n">
        <v>10.06</v>
      </c>
      <c r="K1342" s="31" t="n">
        <f aca="false">ROUND(I1342*J1342,2)</f>
        <v>10.06</v>
      </c>
      <c r="L1342" s="33" t="s">
        <v>122</v>
      </c>
      <c r="M1342" s="23" t="s">
        <v>123</v>
      </c>
      <c r="N1342" s="23" t="s">
        <v>75</v>
      </c>
      <c r="O1342" s="23" t="s">
        <v>1091</v>
      </c>
    </row>
    <row r="1343" customFormat="false" ht="15" hidden="false" customHeight="true" outlineLevel="0" collapsed="false">
      <c r="A1343" s="3" t="s">
        <v>1198</v>
      </c>
      <c r="B1343" s="3" t="s">
        <v>103</v>
      </c>
      <c r="C1343" s="3" t="s">
        <v>1199</v>
      </c>
      <c r="M1343" s="23"/>
      <c r="N1343" s="23"/>
      <c r="O1343" s="23"/>
    </row>
    <row r="1344" customFormat="false" ht="36" hidden="false" customHeight="true" outlineLevel="0" collapsed="false">
      <c r="C1344" s="26" t="s">
        <v>1200</v>
      </c>
      <c r="M1344" s="23"/>
      <c r="N1344" s="23"/>
      <c r="O1344" s="23"/>
    </row>
    <row r="1345" customFormat="false" ht="15" hidden="false" customHeight="true" outlineLevel="0" collapsed="false">
      <c r="C1345" s="27" t="s">
        <v>998</v>
      </c>
      <c r="D1345" s="28" t="n">
        <v>1</v>
      </c>
      <c r="H1345" s="29" t="n">
        <f aca="false">IF(COUNT(D1345:G1345)=0,0,D1345*IF(E1345="",1,E1345)*IF(F1345="",1,F1345)*IF(G1345="",1,G1345))</f>
        <v>1</v>
      </c>
      <c r="M1345" s="23"/>
      <c r="N1345" s="23"/>
      <c r="O1345" s="23"/>
    </row>
    <row r="1346" customFormat="false" ht="15" hidden="false" customHeight="true" outlineLevel="0" collapsed="false">
      <c r="H1346" s="30"/>
      <c r="I1346" s="31" t="n">
        <f aca="false">ROUND(SUM(H1345:H1345),2)</f>
        <v>1</v>
      </c>
      <c r="J1346" s="32" t="n">
        <v>0.49</v>
      </c>
      <c r="K1346" s="31" t="n">
        <f aca="false">ROUND(I1346*J1346,2)</f>
        <v>0.49</v>
      </c>
      <c r="L1346" s="33" t="s">
        <v>122</v>
      </c>
      <c r="M1346" s="23" t="s">
        <v>123</v>
      </c>
      <c r="N1346" s="23" t="s">
        <v>75</v>
      </c>
      <c r="O1346" s="23" t="s">
        <v>1091</v>
      </c>
    </row>
    <row r="1347" customFormat="false" ht="15" hidden="false" customHeight="true" outlineLevel="0" collapsed="false">
      <c r="A1347" s="3" t="s">
        <v>1201</v>
      </c>
      <c r="B1347" s="3" t="s">
        <v>103</v>
      </c>
      <c r="C1347" s="3" t="s">
        <v>1202</v>
      </c>
      <c r="M1347" s="23"/>
      <c r="N1347" s="23"/>
      <c r="O1347" s="23"/>
    </row>
    <row r="1348" customFormat="false" ht="36" hidden="false" customHeight="true" outlineLevel="0" collapsed="false">
      <c r="C1348" s="26" t="s">
        <v>1203</v>
      </c>
      <c r="M1348" s="23"/>
      <c r="N1348" s="23"/>
      <c r="O1348" s="23"/>
    </row>
    <row r="1349" customFormat="false" ht="15" hidden="false" customHeight="true" outlineLevel="0" collapsed="false">
      <c r="C1349" s="27" t="s">
        <v>998</v>
      </c>
      <c r="D1349" s="28" t="n">
        <v>2</v>
      </c>
      <c r="H1349" s="29" t="n">
        <f aca="false">IF(COUNT(D1349:G1349)=0,0,D1349*IF(E1349="",1,E1349)*IF(F1349="",1,F1349)*IF(G1349="",1,G1349))</f>
        <v>2</v>
      </c>
      <c r="M1349" s="23"/>
      <c r="N1349" s="23"/>
      <c r="O1349" s="23"/>
    </row>
    <row r="1350" customFormat="false" ht="15" hidden="false" customHeight="true" outlineLevel="0" collapsed="false">
      <c r="H1350" s="30"/>
      <c r="I1350" s="31" t="n">
        <f aca="false">ROUND(SUM(H1349:H1349),2)</f>
        <v>2</v>
      </c>
      <c r="J1350" s="32" t="n">
        <v>4.62</v>
      </c>
      <c r="K1350" s="31" t="n">
        <f aca="false">ROUND(I1350*J1350,2)</f>
        <v>9.24</v>
      </c>
      <c r="L1350" s="33" t="s">
        <v>122</v>
      </c>
      <c r="M1350" s="23" t="s">
        <v>123</v>
      </c>
      <c r="N1350" s="23" t="s">
        <v>75</v>
      </c>
      <c r="O1350" s="23" t="s">
        <v>1091</v>
      </c>
    </row>
    <row r="1351" customFormat="false" ht="15" hidden="false" customHeight="true" outlineLevel="0" collapsed="false">
      <c r="A1351" s="3" t="s">
        <v>1204</v>
      </c>
      <c r="B1351" s="3" t="s">
        <v>103</v>
      </c>
      <c r="C1351" s="3" t="s">
        <v>1205</v>
      </c>
      <c r="M1351" s="23"/>
      <c r="N1351" s="23"/>
      <c r="O1351" s="23"/>
    </row>
    <row r="1352" customFormat="false" ht="36" hidden="false" customHeight="true" outlineLevel="0" collapsed="false">
      <c r="C1352" s="26" t="s">
        <v>1206</v>
      </c>
      <c r="M1352" s="23"/>
      <c r="N1352" s="23"/>
      <c r="O1352" s="23"/>
    </row>
    <row r="1353" customFormat="false" ht="15" hidden="false" customHeight="true" outlineLevel="0" collapsed="false">
      <c r="C1353" s="27" t="s">
        <v>998</v>
      </c>
      <c r="D1353" s="28" t="n">
        <v>5</v>
      </c>
      <c r="H1353" s="29" t="n">
        <f aca="false">IF(COUNT(D1353:G1353)=0,0,D1353*IF(E1353="",1,E1353)*IF(F1353="",1,F1353)*IF(G1353="",1,G1353))</f>
        <v>5</v>
      </c>
      <c r="M1353" s="23"/>
      <c r="N1353" s="23"/>
      <c r="O1353" s="23"/>
    </row>
    <row r="1354" customFormat="false" ht="15" hidden="false" customHeight="true" outlineLevel="0" collapsed="false">
      <c r="H1354" s="30"/>
      <c r="I1354" s="31" t="n">
        <f aca="false">ROUND(SUM(H1353:H1353),2)</f>
        <v>5</v>
      </c>
      <c r="J1354" s="32" t="n">
        <v>4.14</v>
      </c>
      <c r="K1354" s="31" t="n">
        <f aca="false">ROUND(I1354*J1354,2)</f>
        <v>20.7</v>
      </c>
      <c r="L1354" s="33" t="s">
        <v>122</v>
      </c>
      <c r="M1354" s="23" t="s">
        <v>123</v>
      </c>
      <c r="N1354" s="23" t="s">
        <v>75</v>
      </c>
      <c r="O1354" s="23" t="s">
        <v>1091</v>
      </c>
    </row>
    <row r="1355" customFormat="false" ht="15" hidden="false" customHeight="true" outlineLevel="0" collapsed="false">
      <c r="A1355" s="3" t="s">
        <v>1207</v>
      </c>
      <c r="B1355" s="3" t="s">
        <v>103</v>
      </c>
      <c r="C1355" s="3" t="s">
        <v>1208</v>
      </c>
      <c r="M1355" s="23"/>
      <c r="N1355" s="23"/>
      <c r="O1355" s="23"/>
    </row>
    <row r="1356" customFormat="false" ht="36" hidden="false" customHeight="true" outlineLevel="0" collapsed="false">
      <c r="C1356" s="26" t="s">
        <v>1209</v>
      </c>
      <c r="M1356" s="23"/>
      <c r="N1356" s="23"/>
      <c r="O1356" s="23"/>
    </row>
    <row r="1357" customFormat="false" ht="15" hidden="false" customHeight="true" outlineLevel="0" collapsed="false">
      <c r="C1357" s="27" t="s">
        <v>998</v>
      </c>
      <c r="D1357" s="28" t="n">
        <v>5</v>
      </c>
      <c r="H1357" s="29" t="n">
        <f aca="false">IF(COUNT(D1357:G1357)=0,0,D1357*IF(E1357="",1,E1357)*IF(F1357="",1,F1357)*IF(G1357="",1,G1357))</f>
        <v>5</v>
      </c>
      <c r="M1357" s="23"/>
      <c r="N1357" s="23"/>
      <c r="O1357" s="23"/>
    </row>
    <row r="1358" customFormat="false" ht="15" hidden="false" customHeight="true" outlineLevel="0" collapsed="false">
      <c r="H1358" s="30"/>
      <c r="I1358" s="31" t="n">
        <f aca="false">ROUND(SUM(H1357:H1357),2)</f>
        <v>5</v>
      </c>
      <c r="J1358" s="32" t="n">
        <v>3.58</v>
      </c>
      <c r="K1358" s="31" t="n">
        <f aca="false">ROUND(I1358*J1358,2)</f>
        <v>17.9</v>
      </c>
      <c r="L1358" s="33" t="s">
        <v>122</v>
      </c>
      <c r="M1358" s="23" t="s">
        <v>123</v>
      </c>
      <c r="N1358" s="23" t="s">
        <v>75</v>
      </c>
      <c r="O1358" s="23" t="s">
        <v>1091</v>
      </c>
    </row>
    <row r="1359" customFormat="false" ht="15" hidden="false" customHeight="true" outlineLevel="0" collapsed="false">
      <c r="A1359" s="3" t="s">
        <v>1210</v>
      </c>
      <c r="B1359" s="3" t="s">
        <v>103</v>
      </c>
      <c r="C1359" s="3" t="s">
        <v>1211</v>
      </c>
      <c r="M1359" s="23"/>
      <c r="N1359" s="23"/>
      <c r="O1359" s="23"/>
    </row>
    <row r="1360" customFormat="false" ht="36" hidden="false" customHeight="true" outlineLevel="0" collapsed="false">
      <c r="C1360" s="26" t="s">
        <v>1212</v>
      </c>
      <c r="M1360" s="23"/>
      <c r="N1360" s="23"/>
      <c r="O1360" s="23"/>
    </row>
    <row r="1361" customFormat="false" ht="15" hidden="false" customHeight="true" outlineLevel="0" collapsed="false">
      <c r="C1361" s="27" t="s">
        <v>998</v>
      </c>
      <c r="D1361" s="28" t="n">
        <v>1</v>
      </c>
      <c r="H1361" s="29" t="n">
        <f aca="false">IF(COUNT(D1361:G1361)=0,0,D1361*IF(E1361="",1,E1361)*IF(F1361="",1,F1361)*IF(G1361="",1,G1361))</f>
        <v>1</v>
      </c>
      <c r="M1361" s="23"/>
      <c r="N1361" s="23"/>
      <c r="O1361" s="23"/>
    </row>
    <row r="1362" customFormat="false" ht="15" hidden="false" customHeight="true" outlineLevel="0" collapsed="false">
      <c r="H1362" s="30"/>
      <c r="I1362" s="31" t="n">
        <f aca="false">ROUND(SUM(H1361:H1361),2)</f>
        <v>1</v>
      </c>
      <c r="J1362" s="32" t="n">
        <v>1.72</v>
      </c>
      <c r="K1362" s="31" t="n">
        <f aca="false">ROUND(I1362*J1362,2)</f>
        <v>1.72</v>
      </c>
      <c r="L1362" s="33" t="s">
        <v>122</v>
      </c>
      <c r="M1362" s="23" t="s">
        <v>123</v>
      </c>
      <c r="N1362" s="23" t="s">
        <v>75</v>
      </c>
      <c r="O1362" s="23" t="s">
        <v>1091</v>
      </c>
    </row>
    <row r="1363" customFormat="false" ht="15" hidden="false" customHeight="true" outlineLevel="0" collapsed="false">
      <c r="A1363" s="3" t="s">
        <v>1213</v>
      </c>
      <c r="B1363" s="3" t="s">
        <v>103</v>
      </c>
      <c r="C1363" s="3" t="s">
        <v>1214</v>
      </c>
      <c r="M1363" s="23"/>
      <c r="N1363" s="23"/>
      <c r="O1363" s="23"/>
    </row>
    <row r="1364" customFormat="false" ht="36" hidden="false" customHeight="true" outlineLevel="0" collapsed="false">
      <c r="C1364" s="26" t="s">
        <v>1215</v>
      </c>
      <c r="M1364" s="23"/>
      <c r="N1364" s="23"/>
      <c r="O1364" s="23"/>
    </row>
    <row r="1365" customFormat="false" ht="15" hidden="false" customHeight="true" outlineLevel="0" collapsed="false">
      <c r="C1365" s="27" t="s">
        <v>998</v>
      </c>
      <c r="D1365" s="28" t="n">
        <v>1</v>
      </c>
      <c r="H1365" s="29" t="n">
        <f aca="false">IF(COUNT(D1365:G1365)=0,0,D1365*IF(E1365="",1,E1365)*IF(F1365="",1,F1365)*IF(G1365="",1,G1365))</f>
        <v>1</v>
      </c>
      <c r="M1365" s="23"/>
      <c r="N1365" s="23"/>
      <c r="O1365" s="23"/>
    </row>
    <row r="1366" customFormat="false" ht="15" hidden="false" customHeight="true" outlineLevel="0" collapsed="false">
      <c r="H1366" s="30"/>
      <c r="I1366" s="31" t="n">
        <f aca="false">ROUND(SUM(H1365:H1365),2)</f>
        <v>1</v>
      </c>
      <c r="J1366" s="32" t="n">
        <v>3.04</v>
      </c>
      <c r="K1366" s="31" t="n">
        <f aca="false">ROUND(I1366*J1366,2)</f>
        <v>3.04</v>
      </c>
      <c r="L1366" s="33" t="s">
        <v>122</v>
      </c>
      <c r="M1366" s="23" t="s">
        <v>123</v>
      </c>
      <c r="N1366" s="23" t="s">
        <v>75</v>
      </c>
      <c r="O1366" s="23" t="s">
        <v>1091</v>
      </c>
    </row>
    <row r="1367" customFormat="false" ht="15" hidden="false" customHeight="true" outlineLevel="0" collapsed="false">
      <c r="A1367" s="3" t="s">
        <v>1216</v>
      </c>
      <c r="B1367" s="3" t="s">
        <v>103</v>
      </c>
      <c r="C1367" s="3" t="s">
        <v>1217</v>
      </c>
      <c r="M1367" s="23"/>
      <c r="N1367" s="23"/>
      <c r="O1367" s="23"/>
    </row>
    <row r="1368" customFormat="false" ht="36" hidden="false" customHeight="true" outlineLevel="0" collapsed="false">
      <c r="C1368" s="26" t="s">
        <v>1218</v>
      </c>
      <c r="M1368" s="23"/>
      <c r="N1368" s="23"/>
      <c r="O1368" s="23"/>
    </row>
    <row r="1369" customFormat="false" ht="15" hidden="false" customHeight="true" outlineLevel="0" collapsed="false">
      <c r="C1369" s="27" t="s">
        <v>998</v>
      </c>
      <c r="D1369" s="28" t="n">
        <v>6</v>
      </c>
      <c r="H1369" s="29" t="n">
        <f aca="false">IF(COUNT(D1369:G1369)=0,0,D1369*IF(E1369="",1,E1369)*IF(F1369="",1,F1369)*IF(G1369="",1,G1369))</f>
        <v>6</v>
      </c>
      <c r="M1369" s="23"/>
      <c r="N1369" s="23"/>
      <c r="O1369" s="23"/>
    </row>
    <row r="1370" customFormat="false" ht="15" hidden="false" customHeight="true" outlineLevel="0" collapsed="false">
      <c r="H1370" s="30"/>
      <c r="I1370" s="31" t="n">
        <f aca="false">ROUND(SUM(H1369:H1369),2)</f>
        <v>6</v>
      </c>
      <c r="J1370" s="32" t="n">
        <v>0.18</v>
      </c>
      <c r="K1370" s="31" t="n">
        <f aca="false">ROUND(I1370*J1370,2)</f>
        <v>1.08</v>
      </c>
      <c r="L1370" s="33" t="s">
        <v>122</v>
      </c>
      <c r="M1370" s="23" t="s">
        <v>123</v>
      </c>
      <c r="N1370" s="23" t="s">
        <v>75</v>
      </c>
      <c r="O1370" s="23" t="s">
        <v>1091</v>
      </c>
    </row>
    <row r="1371" customFormat="false" ht="15" hidden="false" customHeight="true" outlineLevel="0" collapsed="false">
      <c r="A1371" s="3" t="s">
        <v>1219</v>
      </c>
      <c r="B1371" s="3" t="s">
        <v>103</v>
      </c>
      <c r="C1371" s="3" t="s">
        <v>1220</v>
      </c>
      <c r="M1371" s="23"/>
      <c r="N1371" s="23"/>
      <c r="O1371" s="23"/>
    </row>
    <row r="1372" customFormat="false" ht="36" hidden="false" customHeight="true" outlineLevel="0" collapsed="false">
      <c r="C1372" s="26" t="s">
        <v>1221</v>
      </c>
      <c r="M1372" s="23"/>
      <c r="N1372" s="23"/>
      <c r="O1372" s="23"/>
    </row>
    <row r="1373" customFormat="false" ht="15" hidden="false" customHeight="true" outlineLevel="0" collapsed="false">
      <c r="C1373" s="27" t="s">
        <v>998</v>
      </c>
      <c r="D1373" s="28" t="n">
        <v>1</v>
      </c>
      <c r="H1373" s="29" t="n">
        <f aca="false">IF(COUNT(D1373:G1373)=0,0,D1373*IF(E1373="",1,E1373)*IF(F1373="",1,F1373)*IF(G1373="",1,G1373))</f>
        <v>1</v>
      </c>
      <c r="M1373" s="23"/>
      <c r="N1373" s="23"/>
      <c r="O1373" s="23"/>
    </row>
    <row r="1374" customFormat="false" ht="15" hidden="false" customHeight="true" outlineLevel="0" collapsed="false">
      <c r="H1374" s="30"/>
      <c r="I1374" s="31" t="n">
        <f aca="false">ROUND(SUM(H1373:H1373),2)</f>
        <v>1</v>
      </c>
      <c r="J1374" s="32" t="n">
        <v>0.26</v>
      </c>
      <c r="K1374" s="31" t="n">
        <f aca="false">ROUND(I1374*J1374,2)</f>
        <v>0.26</v>
      </c>
      <c r="L1374" s="33" t="s">
        <v>122</v>
      </c>
      <c r="M1374" s="23" t="s">
        <v>123</v>
      </c>
      <c r="N1374" s="23" t="s">
        <v>75</v>
      </c>
      <c r="O1374" s="23" t="s">
        <v>1091</v>
      </c>
    </row>
    <row r="1375" customFormat="false" ht="15" hidden="false" customHeight="true" outlineLevel="0" collapsed="false">
      <c r="A1375" s="3" t="s">
        <v>1222</v>
      </c>
      <c r="C1375" s="3" t="s">
        <v>1223</v>
      </c>
      <c r="M1375" s="23" t="s">
        <v>291</v>
      </c>
      <c r="N1375" s="23" t="s">
        <v>75</v>
      </c>
      <c r="O1375" s="23" t="s">
        <v>1222</v>
      </c>
    </row>
    <row r="1376" customFormat="false" ht="15" hidden="false" customHeight="true" outlineLevel="0" collapsed="false">
      <c r="A1376" s="3" t="s">
        <v>1224</v>
      </c>
      <c r="B1376" s="3" t="s">
        <v>103</v>
      </c>
      <c r="C1376" s="3" t="s">
        <v>1225</v>
      </c>
      <c r="M1376" s="23"/>
      <c r="N1376" s="23"/>
      <c r="O1376" s="23"/>
    </row>
    <row r="1377" customFormat="false" ht="72" hidden="false" customHeight="true" outlineLevel="0" collapsed="false">
      <c r="C1377" s="26" t="s">
        <v>1226</v>
      </c>
      <c r="M1377" s="23"/>
      <c r="N1377" s="23"/>
      <c r="O1377" s="23"/>
    </row>
    <row r="1378" customFormat="false" ht="15" hidden="false" customHeight="true" outlineLevel="0" collapsed="false">
      <c r="C1378" s="27" t="s">
        <v>998</v>
      </c>
      <c r="D1378" s="28" t="n">
        <v>1</v>
      </c>
      <c r="H1378" s="29" t="n">
        <f aca="false">IF(COUNT(D1378:G1378)=0,0,D1378*IF(E1378="",1,E1378)*IF(F1378="",1,F1378)*IF(G1378="",1,G1378))</f>
        <v>1</v>
      </c>
      <c r="M1378" s="23"/>
      <c r="N1378" s="23"/>
      <c r="O1378" s="23"/>
    </row>
    <row r="1379" customFormat="false" ht="15" hidden="false" customHeight="true" outlineLevel="0" collapsed="false">
      <c r="H1379" s="30"/>
      <c r="I1379" s="31" t="n">
        <f aca="false">ROUND(SUM(H1378:H1378),2)</f>
        <v>1</v>
      </c>
      <c r="J1379" s="32" t="n">
        <v>27.62</v>
      </c>
      <c r="K1379" s="31" t="n">
        <f aca="false">ROUND(I1379*J1379,2)</f>
        <v>27.62</v>
      </c>
      <c r="L1379" s="33" t="s">
        <v>122</v>
      </c>
      <c r="M1379" s="23" t="s">
        <v>123</v>
      </c>
      <c r="N1379" s="23" t="s">
        <v>75</v>
      </c>
      <c r="O1379" s="23" t="s">
        <v>1222</v>
      </c>
    </row>
    <row r="1380" customFormat="false" ht="15" hidden="false" customHeight="true" outlineLevel="0" collapsed="false">
      <c r="A1380" s="3" t="s">
        <v>1227</v>
      </c>
      <c r="B1380" s="3" t="s">
        <v>103</v>
      </c>
      <c r="C1380" s="3" t="s">
        <v>1228</v>
      </c>
      <c r="M1380" s="23"/>
      <c r="N1380" s="23"/>
      <c r="O1380" s="23"/>
    </row>
    <row r="1381" customFormat="false" ht="60" hidden="false" customHeight="true" outlineLevel="0" collapsed="false">
      <c r="C1381" s="26" t="s">
        <v>1229</v>
      </c>
      <c r="M1381" s="23"/>
      <c r="N1381" s="23"/>
      <c r="O1381" s="23"/>
    </row>
    <row r="1382" customFormat="false" ht="15" hidden="false" customHeight="true" outlineLevel="0" collapsed="false">
      <c r="C1382" s="27" t="s">
        <v>998</v>
      </c>
      <c r="D1382" s="28" t="n">
        <v>3</v>
      </c>
      <c r="H1382" s="29" t="n">
        <f aca="false">IF(COUNT(D1382:G1382)=0,0,D1382*IF(E1382="",1,E1382)*IF(F1382="",1,F1382)*IF(G1382="",1,G1382))</f>
        <v>3</v>
      </c>
      <c r="M1382" s="23"/>
      <c r="N1382" s="23"/>
      <c r="O1382" s="23"/>
    </row>
    <row r="1383" customFormat="false" ht="15" hidden="false" customHeight="true" outlineLevel="0" collapsed="false">
      <c r="H1383" s="30"/>
      <c r="I1383" s="31" t="n">
        <f aca="false">ROUND(SUM(H1382:H1382),2)</f>
        <v>3</v>
      </c>
      <c r="J1383" s="32" t="n">
        <v>31.56</v>
      </c>
      <c r="K1383" s="31" t="n">
        <f aca="false">ROUND(I1383*J1383,2)</f>
        <v>94.68</v>
      </c>
      <c r="L1383" s="33" t="s">
        <v>122</v>
      </c>
      <c r="M1383" s="23" t="s">
        <v>123</v>
      </c>
      <c r="N1383" s="23" t="s">
        <v>75</v>
      </c>
      <c r="O1383" s="23" t="s">
        <v>1222</v>
      </c>
    </row>
    <row r="1384" customFormat="false" ht="15" hidden="false" customHeight="true" outlineLevel="0" collapsed="false">
      <c r="A1384" s="3" t="s">
        <v>1230</v>
      </c>
      <c r="C1384" s="3" t="s">
        <v>1231</v>
      </c>
      <c r="M1384" s="23" t="s">
        <v>291</v>
      </c>
      <c r="N1384" s="23" t="s">
        <v>75</v>
      </c>
      <c r="O1384" s="23" t="s">
        <v>1230</v>
      </c>
    </row>
    <row r="1385" customFormat="false" ht="15" hidden="false" customHeight="true" outlineLevel="0" collapsed="false">
      <c r="A1385" s="3" t="s">
        <v>1232</v>
      </c>
      <c r="B1385" s="3" t="s">
        <v>140</v>
      </c>
      <c r="C1385" s="3" t="s">
        <v>1233</v>
      </c>
      <c r="M1385" s="23"/>
      <c r="N1385" s="23"/>
      <c r="O1385" s="23"/>
    </row>
    <row r="1386" customFormat="false" ht="48" hidden="false" customHeight="true" outlineLevel="0" collapsed="false">
      <c r="C1386" s="26" t="s">
        <v>1234</v>
      </c>
      <c r="M1386" s="23"/>
      <c r="N1386" s="23"/>
      <c r="O1386" s="23"/>
    </row>
    <row r="1387" customFormat="false" ht="15" hidden="false" customHeight="true" outlineLevel="0" collapsed="false">
      <c r="C1387" s="27" t="s">
        <v>998</v>
      </c>
      <c r="D1387" s="28" t="n">
        <v>20</v>
      </c>
      <c r="H1387" s="29" t="n">
        <f aca="false">IF(COUNT(D1387:G1387)=0,0,D1387*IF(E1387="",1,E1387)*IF(F1387="",1,F1387)*IF(G1387="",1,G1387))</f>
        <v>20</v>
      </c>
      <c r="M1387" s="23"/>
      <c r="N1387" s="23"/>
      <c r="O1387" s="23"/>
    </row>
    <row r="1388" customFormat="false" ht="15" hidden="false" customHeight="true" outlineLevel="0" collapsed="false">
      <c r="H1388" s="30"/>
      <c r="I1388" s="31" t="n">
        <f aca="false">ROUND(SUM(H1387:H1387),2)</f>
        <v>20</v>
      </c>
      <c r="J1388" s="32" t="n">
        <v>0.95</v>
      </c>
      <c r="K1388" s="31" t="n">
        <f aca="false">ROUND(I1388*J1388,2)</f>
        <v>19</v>
      </c>
      <c r="L1388" s="33" t="s">
        <v>122</v>
      </c>
      <c r="M1388" s="23" t="s">
        <v>123</v>
      </c>
      <c r="N1388" s="23" t="s">
        <v>75</v>
      </c>
      <c r="O1388" s="23" t="s">
        <v>1230</v>
      </c>
    </row>
    <row r="1389" customFormat="false" ht="15" hidden="false" customHeight="true" outlineLevel="0" collapsed="false">
      <c r="A1389" s="3" t="s">
        <v>1235</v>
      </c>
      <c r="B1389" s="3" t="s">
        <v>140</v>
      </c>
      <c r="C1389" s="3" t="s">
        <v>1236</v>
      </c>
      <c r="M1389" s="23"/>
      <c r="N1389" s="23"/>
      <c r="O1389" s="23"/>
    </row>
    <row r="1390" customFormat="false" ht="108" hidden="false" customHeight="true" outlineLevel="0" collapsed="false">
      <c r="C1390" s="26" t="s">
        <v>1237</v>
      </c>
      <c r="M1390" s="23"/>
      <c r="N1390" s="23"/>
      <c r="O1390" s="23"/>
    </row>
    <row r="1391" customFormat="false" ht="15" hidden="false" customHeight="true" outlineLevel="0" collapsed="false">
      <c r="C1391" s="27" t="s">
        <v>998</v>
      </c>
      <c r="D1391" s="28" t="n">
        <v>12</v>
      </c>
      <c r="H1391" s="29" t="n">
        <f aca="false">IF(COUNT(D1391:G1391)=0,0,D1391*IF(E1391="",1,E1391)*IF(F1391="",1,F1391)*IF(G1391="",1,G1391))</f>
        <v>12</v>
      </c>
      <c r="M1391" s="23"/>
      <c r="N1391" s="23"/>
      <c r="O1391" s="23"/>
    </row>
    <row r="1392" customFormat="false" ht="15" hidden="false" customHeight="true" outlineLevel="0" collapsed="false">
      <c r="H1392" s="30"/>
      <c r="I1392" s="31" t="n">
        <f aca="false">ROUND(SUM(H1391:H1391),2)</f>
        <v>12</v>
      </c>
      <c r="J1392" s="32" t="n">
        <v>11.84</v>
      </c>
      <c r="K1392" s="31" t="n">
        <f aca="false">ROUND(I1392*J1392,2)</f>
        <v>142.08</v>
      </c>
      <c r="L1392" s="33" t="s">
        <v>122</v>
      </c>
      <c r="M1392" s="23" t="s">
        <v>123</v>
      </c>
      <c r="N1392" s="23" t="s">
        <v>75</v>
      </c>
      <c r="O1392" s="23" t="s">
        <v>1230</v>
      </c>
    </row>
    <row r="1393" customFormat="false" ht="15" hidden="false" customHeight="true" outlineLevel="0" collapsed="false">
      <c r="A1393" s="3" t="s">
        <v>1238</v>
      </c>
      <c r="B1393" s="3" t="s">
        <v>103</v>
      </c>
      <c r="C1393" s="3" t="s">
        <v>1239</v>
      </c>
      <c r="M1393" s="23"/>
      <c r="N1393" s="23"/>
      <c r="O1393" s="23"/>
    </row>
    <row r="1394" customFormat="false" ht="60" hidden="false" customHeight="true" outlineLevel="0" collapsed="false">
      <c r="C1394" s="26" t="s">
        <v>1240</v>
      </c>
      <c r="M1394" s="23"/>
      <c r="N1394" s="23"/>
      <c r="O1394" s="23"/>
    </row>
    <row r="1395" customFormat="false" ht="15" hidden="false" customHeight="true" outlineLevel="0" collapsed="false">
      <c r="C1395" s="27" t="s">
        <v>998</v>
      </c>
      <c r="D1395" s="28" t="n">
        <v>1</v>
      </c>
      <c r="H1395" s="29" t="n">
        <f aca="false">IF(COUNT(D1395:G1395)=0,0,D1395*IF(E1395="",1,E1395)*IF(F1395="",1,F1395)*IF(G1395="",1,G1395))</f>
        <v>1</v>
      </c>
      <c r="M1395" s="23"/>
      <c r="N1395" s="23"/>
      <c r="O1395" s="23"/>
    </row>
    <row r="1396" customFormat="false" ht="15" hidden="false" customHeight="true" outlineLevel="0" collapsed="false">
      <c r="H1396" s="30"/>
      <c r="I1396" s="31" t="n">
        <f aca="false">ROUND(SUM(H1395:H1395),2)</f>
        <v>1</v>
      </c>
      <c r="J1396" s="32" t="n">
        <v>18.91</v>
      </c>
      <c r="K1396" s="31" t="n">
        <f aca="false">ROUND(I1396*J1396,2)</f>
        <v>18.91</v>
      </c>
      <c r="L1396" s="33" t="s">
        <v>122</v>
      </c>
      <c r="M1396" s="23" t="s">
        <v>123</v>
      </c>
      <c r="N1396" s="23" t="s">
        <v>75</v>
      </c>
      <c r="O1396" s="23" t="s">
        <v>1230</v>
      </c>
    </row>
    <row r="1397" customFormat="false" ht="15" hidden="false" customHeight="true" outlineLevel="0" collapsed="false">
      <c r="C1397" s="34" t="s">
        <v>1241</v>
      </c>
      <c r="K1397" s="14" t="n">
        <f aca="false">SUMIFS($K$5:$K$1396,$M$5:$M$1396,"P",$N$5:$N$1396,"20")</f>
        <v>4095.6</v>
      </c>
      <c r="M1397" s="23"/>
      <c r="N1397" s="23"/>
      <c r="O1397" s="23"/>
    </row>
    <row r="1398" customFormat="false" ht="15" hidden="false" customHeight="true" outlineLevel="0" collapsed="false">
      <c r="M1398" s="23"/>
      <c r="N1398" s="23"/>
      <c r="O1398" s="23"/>
    </row>
    <row r="1399" customFormat="false" ht="15" hidden="false" customHeight="true" outlineLevel="0" collapsed="false">
      <c r="M1399" s="23"/>
      <c r="N1399" s="23"/>
      <c r="O1399" s="23"/>
    </row>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0"/>
  </cols>
  <sheetData>
    <row r="1" customFormat="false" ht="15" hidden="false" customHeight="true" outlineLevel="0" collapsed="false">
      <c r="A1" s="2" t="s">
        <v>1242</v>
      </c>
    </row>
    <row r="3" customFormat="false" ht="42" hidden="false" customHeight="true" outlineLevel="0" collapsed="false">
      <c r="A3" s="38" t="s">
        <v>1243</v>
      </c>
      <c r="B3" s="26" t="s">
        <v>1244</v>
      </c>
    </row>
    <row r="4" customFormat="false" ht="13.5" hidden="false" customHeight="true" outlineLevel="0" collapsed="false">
      <c r="A4" s="38" t="s">
        <v>1245</v>
      </c>
      <c r="B4" s="26" t="s">
        <v>1246</v>
      </c>
    </row>
    <row r="5" customFormat="false" ht="27.75" hidden="false" customHeight="true" outlineLevel="0" collapsed="false">
      <c r="A5" s="38" t="s">
        <v>1247</v>
      </c>
      <c r="B5" s="26" t="s">
        <v>1248</v>
      </c>
    </row>
    <row r="6" customFormat="false" ht="42" hidden="false" customHeight="true" outlineLevel="0" collapsed="false">
      <c r="A6" s="38" t="s">
        <v>1249</v>
      </c>
      <c r="B6" s="26" t="s">
        <v>1250</v>
      </c>
    </row>
    <row r="7" customFormat="false" ht="13.5" hidden="false" customHeight="true" outlineLevel="0" collapsed="false">
      <c r="A7" s="38" t="s">
        <v>1251</v>
      </c>
      <c r="B7" s="26" t="s">
        <v>1252</v>
      </c>
    </row>
    <row r="8" customFormat="false" ht="63.75" hidden="false" customHeight="true" outlineLevel="0" collapsed="false">
      <c r="A8" s="38" t="s">
        <v>1253</v>
      </c>
      <c r="B8" s="26" t="s">
        <v>1254</v>
      </c>
    </row>
    <row r="9" customFormat="false" ht="63.75" hidden="false" customHeight="true" outlineLevel="0" collapsed="false">
      <c r="A9" s="38" t="s">
        <v>1255</v>
      </c>
      <c r="B9" s="26" t="s">
        <v>1256</v>
      </c>
    </row>
    <row r="10" customFormat="false" ht="102" hidden="false" customHeight="true" outlineLevel="0" collapsed="false">
      <c r="A10" s="38" t="s">
        <v>1257</v>
      </c>
      <c r="B10" s="26" t="s">
        <v>1258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
    <col collapsed="false" customWidth="true" hidden="false" outlineLevel="0" max="3" min="3" style="1" width="46"/>
    <col collapsed="false" customWidth="true" hidden="false" outlineLevel="0" max="5" min="4" style="1" width="12"/>
    <col collapsed="false" customWidth="true" hidden="false" outlineLevel="0" max="6" min="6" style="1" width="11"/>
    <col collapsed="false" customWidth="true" hidden="false" outlineLevel="0" max="7" min="7" style="1" width="8"/>
    <col collapsed="false" customWidth="true" hidden="false" outlineLevel="0" max="8" min="8" style="1" width="10"/>
    <col collapsed="false" customWidth="true" hidden="false" outlineLevel="0" max="10" min="9" style="1" width="13"/>
    <col collapsed="false" customWidth="true" hidden="false" outlineLevel="0" max="11" min="11" style="1" width="12"/>
    <col collapsed="false" customWidth="true" hidden="false" outlineLevel="0" max="12" min="12" style="1" width="70"/>
  </cols>
  <sheetData>
    <row r="1" customFormat="false" ht="15" hidden="false" customHeight="true" outlineLevel="0" collapsed="false">
      <c r="A1" s="39" t="s">
        <v>1259</v>
      </c>
    </row>
    <row r="2" customFormat="false" ht="15" hidden="false" customHeight="true" outlineLevel="0" collapsed="false">
      <c r="A2" s="11" t="s">
        <v>1260</v>
      </c>
    </row>
    <row r="3" customFormat="false" ht="15" hidden="false" customHeight="true" outlineLevel="0" collapsed="false">
      <c r="A3" s="11" t="s">
        <v>1261</v>
      </c>
    </row>
    <row r="5" customFormat="false" ht="21.75" hidden="false" customHeight="true" outlineLevel="0" collapsed="false">
      <c r="A5" s="40" t="s">
        <v>102</v>
      </c>
      <c r="B5" s="40" t="s">
        <v>103</v>
      </c>
      <c r="C5" s="40" t="s">
        <v>4</v>
      </c>
      <c r="D5" s="40" t="s">
        <v>1262</v>
      </c>
      <c r="E5" s="40" t="s">
        <v>1263</v>
      </c>
      <c r="F5" s="40" t="s">
        <v>1264</v>
      </c>
      <c r="G5" s="40" t="s">
        <v>1265</v>
      </c>
      <c r="H5" s="40" t="s">
        <v>110</v>
      </c>
      <c r="I5" s="40" t="s">
        <v>1266</v>
      </c>
      <c r="J5" s="40" t="s">
        <v>1267</v>
      </c>
      <c r="K5" s="40" t="s">
        <v>1268</v>
      </c>
      <c r="L5" s="40" t="s">
        <v>1269</v>
      </c>
    </row>
    <row r="6" customFormat="false" ht="32.25" hidden="false" customHeight="true" outlineLevel="0" collapsed="false">
      <c r="A6" s="41" t="str">
        <f aca="false">Presupuesto!A224</f>
        <v>05.01.03</v>
      </c>
      <c r="B6" s="41" t="str">
        <f aca="false">Presupuesto!B224</f>
        <v>m3</v>
      </c>
      <c r="C6" s="41" t="str">
        <f aca="false">Presupuesto!C224</f>
        <v>ZÓCALO DE HORMIGÓN ARMADO HA-25 DE 0,90 M</v>
      </c>
      <c r="D6" s="42" t="n">
        <v>20.07</v>
      </c>
      <c r="E6" s="42" t="n">
        <v>27.71</v>
      </c>
      <c r="F6" s="29" t="n">
        <f aca="false">E6-D6</f>
        <v>7.64</v>
      </c>
      <c r="G6" s="43" t="n">
        <f aca="false">IF(D6=0,"-",F6/D6)</f>
        <v>0.380667663178874</v>
      </c>
      <c r="H6" s="44" t="n">
        <f aca="false">Presupuesto!J227</f>
        <v>365.9</v>
      </c>
      <c r="I6" s="29" t="n">
        <f aca="false">ROUND(D6*H6,2)</f>
        <v>7343.61</v>
      </c>
      <c r="J6" s="44" t="n">
        <f aca="false">Presupuesto!K227</f>
        <v>10139.09</v>
      </c>
      <c r="K6" s="29" t="n">
        <f aca="false">J6-I6</f>
        <v>2795.48</v>
      </c>
      <c r="L6" s="26" t="s">
        <v>1270</v>
      </c>
    </row>
    <row r="7" customFormat="false" ht="15" hidden="false" customHeight="true" outlineLevel="0" collapsed="false">
      <c r="A7" s="41" t="str">
        <f aca="false">Presupuesto!A232</f>
        <v>05.01.05</v>
      </c>
      <c r="B7" s="41" t="str">
        <f aca="false">Presupuesto!B232</f>
        <v>m2</v>
      </c>
      <c r="C7" s="41" t="str">
        <f aca="false">Presupuesto!C232</f>
        <v>FORJADO SANITARIO CUPOLEX CON CAPA DE COMPRESIÓN</v>
      </c>
      <c r="D7" s="42" t="n">
        <v>111</v>
      </c>
      <c r="E7" s="42" t="n">
        <v>109.44</v>
      </c>
      <c r="F7" s="29" t="n">
        <f aca="false">E7-D7</f>
        <v>-1.56</v>
      </c>
      <c r="G7" s="43" t="n">
        <f aca="false">IF(D7=0,"-",F7/D7)</f>
        <v>-0.0140540540540541</v>
      </c>
      <c r="H7" s="44" t="n">
        <f aca="false">Presupuesto!J235</f>
        <v>60.2</v>
      </c>
      <c r="I7" s="29" t="n">
        <f aca="false">ROUND(D7*H7,2)</f>
        <v>6682.2</v>
      </c>
      <c r="J7" s="44" t="n">
        <f aca="false">Presupuesto!K235</f>
        <v>6588.29</v>
      </c>
      <c r="K7" s="29" t="n">
        <f aca="false">J7-I7</f>
        <v>-93.9099999999999</v>
      </c>
      <c r="L7" s="26" t="s">
        <v>1271</v>
      </c>
    </row>
    <row r="8" customFormat="false" ht="53.25" hidden="false" customHeight="true" outlineLevel="0" collapsed="false">
      <c r="A8" s="41" t="str">
        <f aca="false">Presupuesto!A237</f>
        <v>05.02.01</v>
      </c>
      <c r="B8" s="41" t="str">
        <f aca="false">Presupuesto!B237</f>
        <v>m2</v>
      </c>
      <c r="C8" s="41" t="str">
        <f aca="false">Presupuesto!C237</f>
        <v>FORJADO UNIDIRECCIONAL DE VIGUETAS Y BOVEDILLAS DE EPS 20+5</v>
      </c>
      <c r="D8" s="42" t="n">
        <v>238</v>
      </c>
      <c r="E8" s="42" t="n">
        <v>244.03</v>
      </c>
      <c r="F8" s="29" t="n">
        <f aca="false">E8-D8</f>
        <v>6.03</v>
      </c>
      <c r="G8" s="43" t="n">
        <f aca="false">IF(D8=0,"-",F8/D8)</f>
        <v>0.0253361344537815</v>
      </c>
      <c r="H8" s="44" t="n">
        <f aca="false">Presupuesto!J242</f>
        <v>74</v>
      </c>
      <c r="I8" s="29" t="n">
        <f aca="false">ROUND(D8*H8,2)</f>
        <v>17612</v>
      </c>
      <c r="J8" s="44" t="n">
        <f aca="false">Presupuesto!K242</f>
        <v>18058.22</v>
      </c>
      <c r="K8" s="29" t="n">
        <f aca="false">J8-I8</f>
        <v>446.220000000001</v>
      </c>
      <c r="L8" s="26" t="s">
        <v>1272</v>
      </c>
    </row>
    <row r="9" customFormat="false" ht="21.75" hidden="false" customHeight="true" outlineLevel="0" collapsed="false">
      <c r="A9" s="41" t="str">
        <f aca="false">Presupuesto!A243</f>
        <v>05.02.02</v>
      </c>
      <c r="B9" s="41" t="str">
        <f aca="false">Presupuesto!B243</f>
        <v>m3</v>
      </c>
      <c r="C9" s="41" t="str">
        <f aca="false">Presupuesto!C243</f>
        <v>VIGAS DE HORMIGÓN ARMADO HA-25 (PLANAS Y DESCOLGADAS)</v>
      </c>
      <c r="D9" s="42" t="n">
        <v>0</v>
      </c>
      <c r="E9" s="42" t="n">
        <v>0</v>
      </c>
      <c r="F9" s="29" t="n">
        <f aca="false">E9-D9</f>
        <v>0</v>
      </c>
      <c r="G9" s="43" t="str">
        <f aca="false">IF(D9=0,"-",F9/D9)</f>
        <v>-</v>
      </c>
      <c r="H9" s="44" t="n">
        <f aca="false">Presupuesto!J246</f>
        <v>420</v>
      </c>
      <c r="I9" s="29" t="n">
        <f aca="false">ROUND(D9*H9,2)</f>
        <v>0</v>
      </c>
      <c r="J9" s="44" t="n">
        <f aca="false">Presupuesto!K246</f>
        <v>8051.4</v>
      </c>
      <c r="K9" s="29" t="n">
        <f aca="false">J9-I9</f>
        <v>8051.4</v>
      </c>
      <c r="L9" s="26" t="s">
        <v>1273</v>
      </c>
    </row>
    <row r="10" customFormat="false" ht="21.75" hidden="false" customHeight="true" outlineLevel="0" collapsed="false">
      <c r="A10" s="41" t="str">
        <f aca="false">Presupuesto!A251</f>
        <v>05.02.04</v>
      </c>
      <c r="B10" s="41" t="str">
        <f aca="false">Presupuesto!B251</f>
        <v>m</v>
      </c>
      <c r="C10" s="41" t="str">
        <f aca="false">Presupuesto!C251</f>
        <v>ZUNCHO DE CORONACIÓN Y DINTEL EN PIEZA U DE YTONG</v>
      </c>
      <c r="D10" s="42" t="n">
        <v>198</v>
      </c>
      <c r="E10" s="42" t="n">
        <v>217.99</v>
      </c>
      <c r="F10" s="29" t="n">
        <f aca="false">E10-D10</f>
        <v>19.99</v>
      </c>
      <c r="G10" s="43" t="n">
        <f aca="false">IF(D10=0,"-",F10/D10)</f>
        <v>0.100959595959596</v>
      </c>
      <c r="H10" s="44" t="n">
        <f aca="false">Presupuesto!J256</f>
        <v>46</v>
      </c>
      <c r="I10" s="29" t="n">
        <f aca="false">ROUND(D10*H10,2)</f>
        <v>9108</v>
      </c>
      <c r="J10" s="44" t="n">
        <f aca="false">Presupuesto!K256</f>
        <v>10027.54</v>
      </c>
      <c r="K10" s="29" t="n">
        <f aca="false">J10-I10</f>
        <v>919.540000000001</v>
      </c>
      <c r="L10" s="26" t="s">
        <v>1274</v>
      </c>
    </row>
    <row r="11" customFormat="false" ht="15" hidden="false" customHeight="true" outlineLevel="0" collapsed="false">
      <c r="A11" s="41" t="str">
        <f aca="false">Presupuesto!A265</f>
        <v>05.02.07</v>
      </c>
      <c r="B11" s="41" t="str">
        <f aca="false">Presupuesto!B265</f>
        <v>m2</v>
      </c>
      <c r="C11" s="41" t="str">
        <f aca="false">Presupuesto!C265</f>
        <v>LOSA ARMADA DE HORMIGÓN CELULAR YTONG PARA CUBIERTA, 25 CM</v>
      </c>
      <c r="D11" s="42" t="n">
        <v>70</v>
      </c>
      <c r="E11" s="42" t="n">
        <v>82.06</v>
      </c>
      <c r="F11" s="29" t="n">
        <f aca="false">E11-D11</f>
        <v>12.06</v>
      </c>
      <c r="G11" s="43" t="n">
        <f aca="false">IF(D11=0,"-",F11/D11)</f>
        <v>0.172285714285714</v>
      </c>
      <c r="H11" s="44" t="n">
        <f aca="false">Presupuesto!J268</f>
        <v>108</v>
      </c>
      <c r="I11" s="29" t="n">
        <f aca="false">ROUND(D11*H11,2)</f>
        <v>7560</v>
      </c>
      <c r="J11" s="44" t="n">
        <f aca="false">Presupuesto!K268</f>
        <v>8862.48</v>
      </c>
      <c r="K11" s="29" t="n">
        <f aca="false">J11-I11</f>
        <v>1302.48</v>
      </c>
      <c r="L11" s="26" t="s">
        <v>1275</v>
      </c>
    </row>
    <row r="12" customFormat="false" ht="21.75" hidden="false" customHeight="true" outlineLevel="0" collapsed="false">
      <c r="A12" s="41" t="str">
        <f aca="false">Presupuesto!A278</f>
        <v>05.02.10</v>
      </c>
      <c r="B12" s="41" t="str">
        <f aca="false">Presupuesto!B278</f>
        <v>kg</v>
      </c>
      <c r="C12" s="41" t="str">
        <f aca="false">Presupuesto!C278</f>
        <v>ZANCAS DE PLETINA 200×12 S275 DE LA ESCALERA</v>
      </c>
      <c r="D12" s="42" t="n">
        <v>0</v>
      </c>
      <c r="E12" s="42" t="n">
        <v>0</v>
      </c>
      <c r="F12" s="29" t="n">
        <f aca="false">E12-D12</f>
        <v>0</v>
      </c>
      <c r="G12" s="43" t="str">
        <f aca="false">IF(D12=0,"-",F12/D12)</f>
        <v>-</v>
      </c>
      <c r="H12" s="44" t="n">
        <f aca="false">Presupuesto!J281</f>
        <v>3.2</v>
      </c>
      <c r="I12" s="29" t="n">
        <f aca="false">ROUND(D12*H12,2)</f>
        <v>0</v>
      </c>
      <c r="J12" s="44" t="n">
        <f aca="false">Presupuesto!K281</f>
        <v>1513.6</v>
      </c>
      <c r="K12" s="29" t="n">
        <f aca="false">J12-I12</f>
        <v>1513.6</v>
      </c>
      <c r="L12" s="26" t="s">
        <v>1276</v>
      </c>
    </row>
    <row r="13" customFormat="false" ht="15" hidden="false" customHeight="true" outlineLevel="0" collapsed="false">
      <c r="A13" s="41" t="str">
        <f aca="false">Presupuesto!A282</f>
        <v>05.02.11</v>
      </c>
      <c r="B13" s="41" t="str">
        <f aca="false">Presupuesto!B282</f>
        <v>m2</v>
      </c>
      <c r="C13" s="41" t="str">
        <f aca="false">Presupuesto!C282</f>
        <v>FORJADO UNIDIRECCIONAL DE VIGUETAS Y BOVEDILLAS DE EPS 15+5 (TERRAZA DE PLANTA SEGUNDA)</v>
      </c>
      <c r="D13" s="42" t="n">
        <v>0</v>
      </c>
      <c r="E13" s="42" t="n">
        <v>11.06</v>
      </c>
      <c r="F13" s="29" t="n">
        <f aca="false">E13-D13</f>
        <v>11.06</v>
      </c>
      <c r="G13" s="43" t="str">
        <f aca="false">IF(D13=0,"-",F13/D13)</f>
        <v>-</v>
      </c>
      <c r="H13" s="44" t="n">
        <f aca="false">Presupuesto!J285</f>
        <v>68</v>
      </c>
      <c r="I13" s="29" t="n">
        <f aca="false">ROUND(D13*H13,2)</f>
        <v>0</v>
      </c>
      <c r="J13" s="44" t="n">
        <f aca="false">Presupuesto!K285</f>
        <v>752.08</v>
      </c>
      <c r="K13" s="29" t="n">
        <f aca="false">J13-I13</f>
        <v>752.08</v>
      </c>
      <c r="L13" s="26" t="s">
        <v>1277</v>
      </c>
    </row>
    <row r="14" customFormat="false" ht="15" hidden="false" customHeight="true" outlineLevel="0" collapsed="false">
      <c r="A14" s="41" t="str">
        <f aca="false">Presupuesto!A289</f>
        <v>06.01</v>
      </c>
      <c r="B14" s="41" t="str">
        <f aca="false">Presupuesto!B289</f>
        <v>m2</v>
      </c>
      <c r="C14" s="41" t="str">
        <f aca="false">Presupuesto!C289</f>
        <v>FÁBRICA DE HORMIGÓN CELULAR YTONG 30 CM, D350 (FACHADAS)</v>
      </c>
      <c r="D14" s="42" t="n">
        <v>85.85</v>
      </c>
      <c r="E14" s="42" t="n">
        <v>81.61</v>
      </c>
      <c r="F14" s="29" t="n">
        <f aca="false">E14-D14</f>
        <v>-4.24</v>
      </c>
      <c r="G14" s="43" t="n">
        <f aca="false">IF(D14=0,"-",F14/D14)</f>
        <v>-0.0493884682585905</v>
      </c>
      <c r="H14" s="44" t="n">
        <f aca="false">Presupuesto!J299</f>
        <v>82</v>
      </c>
      <c r="I14" s="29" t="n">
        <f aca="false">ROUND(D14*H14,2)</f>
        <v>7039.7</v>
      </c>
      <c r="J14" s="44" t="n">
        <f aca="false">Presupuesto!K299</f>
        <v>6692.02</v>
      </c>
      <c r="K14" s="29" t="n">
        <f aca="false">J14-I14</f>
        <v>-347.679999999999</v>
      </c>
      <c r="L14" s="26" t="s">
        <v>1278</v>
      </c>
    </row>
    <row r="15" customFormat="false" ht="15" hidden="false" customHeight="true" outlineLevel="0" collapsed="false">
      <c r="A15" s="41" t="str">
        <f aca="false">Presupuesto!A300</f>
        <v>06.02</v>
      </c>
      <c r="B15" s="41" t="str">
        <f aca="false">Presupuesto!B300</f>
        <v>m2</v>
      </c>
      <c r="C15" s="41" t="str">
        <f aca="false">Presupuesto!C300</f>
        <v>FÁBRICA DE HORMIGÓN CELULAR YTONG 20 CM, D350 (MUROS A PATIO)</v>
      </c>
      <c r="D15" s="42" t="n">
        <v>70.54</v>
      </c>
      <c r="E15" s="42" t="n">
        <v>83.8</v>
      </c>
      <c r="F15" s="29" t="n">
        <f aca="false">E15-D15</f>
        <v>13.26</v>
      </c>
      <c r="G15" s="43" t="n">
        <f aca="false">IF(D15=0,"-",F15/D15)</f>
        <v>0.18797845194216</v>
      </c>
      <c r="H15" s="44" t="n">
        <f aca="false">Presupuesto!J306</f>
        <v>58</v>
      </c>
      <c r="I15" s="29" t="n">
        <f aca="false">ROUND(D15*H15,2)</f>
        <v>4091.32</v>
      </c>
      <c r="J15" s="44" t="n">
        <f aca="false">Presupuesto!K306</f>
        <v>4860.4</v>
      </c>
      <c r="K15" s="29" t="n">
        <f aca="false">J15-I15</f>
        <v>769.08</v>
      </c>
      <c r="L15" s="26" t="s">
        <v>1279</v>
      </c>
    </row>
    <row r="16" customFormat="false" ht="15" hidden="false" customHeight="true" outlineLevel="0" collapsed="false">
      <c r="A16" s="41" t="str">
        <f aca="false">Presupuesto!A307</f>
        <v>06.03</v>
      </c>
      <c r="B16" s="41" t="str">
        <f aca="false">Presupuesto!B307</f>
        <v>m2</v>
      </c>
      <c r="C16" s="41" t="str">
        <f aca="false">Presupuesto!C307</f>
        <v>FÁBRICA DE HORMIGÓN CELULAR YTONG 20 CM (MEDIANERAS Y MUROS DE CARGA)</v>
      </c>
      <c r="D16" s="42" t="n">
        <v>327.98</v>
      </c>
      <c r="E16" s="42" t="n">
        <v>374.64</v>
      </c>
      <c r="F16" s="29" t="n">
        <f aca="false">E16-D16</f>
        <v>46.66</v>
      </c>
      <c r="G16" s="43" t="n">
        <f aca="false">IF(D16=0,"-",F16/D16)</f>
        <v>0.14226477224221</v>
      </c>
      <c r="H16" s="44" t="n">
        <f aca="false">Presupuesto!J314</f>
        <v>54</v>
      </c>
      <c r="I16" s="29" t="n">
        <f aca="false">ROUND(D16*H16,2)</f>
        <v>17710.92</v>
      </c>
      <c r="J16" s="44" t="n">
        <f aca="false">Presupuesto!K314</f>
        <v>20230.56</v>
      </c>
      <c r="K16" s="29" t="n">
        <f aca="false">J16-I16</f>
        <v>2519.64</v>
      </c>
      <c r="L16" s="26" t="s">
        <v>1280</v>
      </c>
    </row>
    <row r="17" customFormat="false" ht="15" hidden="false" customHeight="true" outlineLevel="0" collapsed="false">
      <c r="A17" s="41" t="str">
        <f aca="false">Presupuesto!A315</f>
        <v>06.04</v>
      </c>
      <c r="B17" s="41" t="str">
        <f aca="false">Presupuesto!B315</f>
        <v>m2</v>
      </c>
      <c r="C17" s="41" t="str">
        <f aca="false">Presupuesto!C315</f>
        <v>JUNTA DE POLIESTIRENO EXPANDIDO 10 MM CONTRA MEDIANERA</v>
      </c>
      <c r="D17" s="42" t="n">
        <v>350.03</v>
      </c>
      <c r="E17" s="42" t="n">
        <v>328.06</v>
      </c>
      <c r="F17" s="29" t="n">
        <f aca="false">E17-D17</f>
        <v>-21.97</v>
      </c>
      <c r="G17" s="43" t="n">
        <f aca="false">IF(D17=0,"-",F17/D17)</f>
        <v>-0.0627660486244036</v>
      </c>
      <c r="H17" s="44" t="n">
        <f aca="false">Presupuesto!J320</f>
        <v>4.8</v>
      </c>
      <c r="I17" s="29" t="n">
        <f aca="false">ROUND(D17*H17,2)</f>
        <v>1680.14</v>
      </c>
      <c r="J17" s="44" t="n">
        <f aca="false">Presupuesto!K320</f>
        <v>1574.69</v>
      </c>
      <c r="K17" s="29" t="n">
        <f aca="false">J17-I17</f>
        <v>-105.45</v>
      </c>
      <c r="L17" s="26" t="s">
        <v>1281</v>
      </c>
    </row>
    <row r="18" customFormat="false" ht="15" hidden="false" customHeight="true" outlineLevel="0" collapsed="false">
      <c r="A18" s="41" t="str">
        <f aca="false">Presupuesto!A321</f>
        <v>06.05</v>
      </c>
      <c r="B18" s="41" t="str">
        <f aca="false">Presupuesto!B321</f>
        <v>m2</v>
      </c>
      <c r="C18" s="41" t="str">
        <f aca="false">Presupuesto!C321</f>
        <v>TRASDOSADO DE HORMIGÓN CELULAR YTONG 7 CM CON CÁMARA</v>
      </c>
      <c r="D18" s="42" t="n">
        <v>83.01</v>
      </c>
      <c r="E18" s="42" t="n">
        <v>99.47</v>
      </c>
      <c r="F18" s="29" t="n">
        <f aca="false">E18-D18</f>
        <v>16.46</v>
      </c>
      <c r="G18" s="43" t="n">
        <f aca="false">IF(D18=0,"-",F18/D18)</f>
        <v>0.198289362727382</v>
      </c>
      <c r="H18" s="44" t="n">
        <f aca="false">Presupuesto!J326</f>
        <v>34</v>
      </c>
      <c r="I18" s="29" t="n">
        <f aca="false">ROUND(D18*H18,2)</f>
        <v>2822.34</v>
      </c>
      <c r="J18" s="44" t="n">
        <f aca="false">Presupuesto!K326</f>
        <v>3381.98</v>
      </c>
      <c r="K18" s="29" t="n">
        <f aca="false">J18-I18</f>
        <v>559.64</v>
      </c>
      <c r="L18" s="26" t="s">
        <v>1282</v>
      </c>
    </row>
    <row r="19" customFormat="false" ht="15" hidden="false" customHeight="true" outlineLevel="0" collapsed="false">
      <c r="A19" s="41" t="str">
        <f aca="false">Presupuesto!A327</f>
        <v>06.06</v>
      </c>
      <c r="B19" s="41" t="str">
        <f aca="false">Presupuesto!B327</f>
        <v>m2</v>
      </c>
      <c r="C19" s="41" t="str">
        <f aca="false">Presupuesto!C327</f>
        <v>TABIQUE DE HORMIGÓN CELULAR YTONG 7 CM</v>
      </c>
      <c r="D19" s="42" t="n">
        <v>77.47</v>
      </c>
      <c r="E19" s="42" t="n">
        <v>111.98</v>
      </c>
      <c r="F19" s="29" t="n">
        <f aca="false">E19-D19</f>
        <v>34.51</v>
      </c>
      <c r="G19" s="43" t="n">
        <f aca="false">IF(D19=0,"-",F19/D19)</f>
        <v>0.445462759777979</v>
      </c>
      <c r="H19" s="44" t="n">
        <f aca="false">Presupuesto!J332</f>
        <v>33</v>
      </c>
      <c r="I19" s="29" t="n">
        <f aca="false">ROUND(D19*H19,2)</f>
        <v>2556.51</v>
      </c>
      <c r="J19" s="44" t="n">
        <f aca="false">Presupuesto!K332</f>
        <v>3695.34</v>
      </c>
      <c r="K19" s="29" t="n">
        <f aca="false">J19-I19</f>
        <v>1138.83</v>
      </c>
      <c r="L19" s="26" t="s">
        <v>1283</v>
      </c>
    </row>
    <row r="20" customFormat="false" ht="15" hidden="false" customHeight="true" outlineLevel="0" collapsed="false">
      <c r="A20" s="41" t="str">
        <f aca="false">Presupuesto!A340</f>
        <v>06.08</v>
      </c>
      <c r="B20" s="41" t="str">
        <f aca="false">Presupuesto!B340</f>
        <v>m</v>
      </c>
      <c r="C20" s="41" t="str">
        <f aca="false">Presupuesto!C340</f>
        <v>FRENTE DE FORJADO CON PLAQUETA YTONG Y XPS 4 CM</v>
      </c>
      <c r="D20" s="42" t="n">
        <v>62.72</v>
      </c>
      <c r="E20" s="42" t="n">
        <v>43.78</v>
      </c>
      <c r="F20" s="29" t="n">
        <f aca="false">E20-D20</f>
        <v>-18.94</v>
      </c>
      <c r="G20" s="43" t="n">
        <f aca="false">IF(D20=0,"-",F20/D20)</f>
        <v>-0.301977040816327</v>
      </c>
      <c r="H20" s="44" t="n">
        <f aca="false">Presupuesto!J344</f>
        <v>29</v>
      </c>
      <c r="I20" s="29" t="n">
        <f aca="false">ROUND(D20*H20,2)</f>
        <v>1818.88</v>
      </c>
      <c r="J20" s="44" t="n">
        <f aca="false">Presupuesto!K344</f>
        <v>1269.62</v>
      </c>
      <c r="K20" s="29" t="n">
        <f aca="false">J20-I20</f>
        <v>-549.26</v>
      </c>
      <c r="L20" s="26" t="s">
        <v>1284</v>
      </c>
    </row>
    <row r="21" customFormat="false" ht="15" hidden="false" customHeight="true" outlineLevel="0" collapsed="false">
      <c r="A21" s="41" t="str">
        <f aca="false">Presupuesto!A368</f>
        <v>07.01</v>
      </c>
      <c r="B21" s="41" t="str">
        <f aca="false">Presupuesto!B368</f>
        <v>m2</v>
      </c>
      <c r="C21" s="41" t="str">
        <f aca="false">Presupuesto!C368</f>
        <v>AISLAMIENTO XPS 10 CM SOBRE LOSA DE CUBIERTA</v>
      </c>
      <c r="D21" s="42" t="n">
        <v>70</v>
      </c>
      <c r="E21" s="42" t="n">
        <v>82.06</v>
      </c>
      <c r="F21" s="29" t="n">
        <f aca="false">E21-D21</f>
        <v>12.06</v>
      </c>
      <c r="G21" s="43" t="n">
        <f aca="false">IF(D21=0,"-",F21/D21)</f>
        <v>0.172285714285714</v>
      </c>
      <c r="H21" s="44" t="n">
        <f aca="false">Presupuesto!J371</f>
        <v>17.5</v>
      </c>
      <c r="I21" s="29" t="n">
        <f aca="false">ROUND(D21*H21,2)</f>
        <v>1225</v>
      </c>
      <c r="J21" s="44" t="n">
        <f aca="false">Presupuesto!K371</f>
        <v>1436.05</v>
      </c>
      <c r="K21" s="29" t="n">
        <f aca="false">J21-I21</f>
        <v>211.05</v>
      </c>
      <c r="L21" s="26" t="s">
        <v>1285</v>
      </c>
    </row>
    <row r="22" customFormat="false" ht="15" hidden="false" customHeight="true" outlineLevel="0" collapsed="false">
      <c r="A22" s="41" t="str">
        <f aca="false">Presupuesto!A384</f>
        <v>07.05</v>
      </c>
      <c r="B22" s="41" t="str">
        <f aca="false">Presupuesto!B384</f>
        <v>m²</v>
      </c>
      <c r="C22" s="41" t="str">
        <f aca="false">Presupuesto!C384</f>
        <v>COBERTURA DE TEJA CERÁMICA MIXTA</v>
      </c>
      <c r="D22" s="42" t="n">
        <v>70</v>
      </c>
      <c r="E22" s="42" t="n">
        <v>88.37</v>
      </c>
      <c r="F22" s="29" t="n">
        <f aca="false">E22-D22</f>
        <v>18.37</v>
      </c>
      <c r="G22" s="43" t="n">
        <f aca="false">IF(D22=0,"-",F22/D22)</f>
        <v>0.262428571428572</v>
      </c>
      <c r="H22" s="44" t="n">
        <f aca="false">Presupuesto!J387</f>
        <v>36.12</v>
      </c>
      <c r="I22" s="29" t="n">
        <f aca="false">ROUND(D22*H22,2)</f>
        <v>2528.4</v>
      </c>
      <c r="J22" s="44" t="n">
        <f aca="false">Presupuesto!K387</f>
        <v>3191.92</v>
      </c>
      <c r="K22" s="29" t="n">
        <f aca="false">J22-I22</f>
        <v>663.52</v>
      </c>
      <c r="L22" s="26" t="s">
        <v>1286</v>
      </c>
    </row>
    <row r="23" customFormat="false" ht="53.25" hidden="false" customHeight="true" outlineLevel="0" collapsed="false">
      <c r="A23" s="41" t="str">
        <f aca="false">Presupuesto!A402</f>
        <v>07.09</v>
      </c>
      <c r="B23" s="41" t="str">
        <f aca="false">Presupuesto!B402</f>
        <v>m2</v>
      </c>
      <c r="C23" s="41" t="str">
        <f aca="false">Presupuesto!C402</f>
        <v>AISLAMIENTO XPS 14 CM EN CUBIERTA PLANA</v>
      </c>
      <c r="D23" s="42" t="n">
        <v>77.3</v>
      </c>
      <c r="E23" s="42" t="n">
        <v>29.31</v>
      </c>
      <c r="F23" s="29" t="n">
        <f aca="false">E23-D23</f>
        <v>-47.99</v>
      </c>
      <c r="G23" s="43" t="n">
        <f aca="false">IF(D23=0,"-",F23/D23)</f>
        <v>-0.620827943078913</v>
      </c>
      <c r="H23" s="44" t="n">
        <f aca="false">Presupuesto!J405</f>
        <v>24.5</v>
      </c>
      <c r="I23" s="42" t="n">
        <v>5720.2</v>
      </c>
      <c r="J23" s="44" t="n">
        <f aca="false">Presupuesto!K405</f>
        <v>718.1</v>
      </c>
      <c r="K23" s="29" t="n">
        <f aca="false">J23-I23</f>
        <v>-5002.1</v>
      </c>
      <c r="L23" s="26" t="s">
        <v>1287</v>
      </c>
    </row>
    <row r="24" customFormat="false" ht="15" hidden="false" customHeight="true" outlineLevel="0" collapsed="false">
      <c r="A24" s="41" t="str">
        <f aca="false">Presupuesto!A414</f>
        <v>07.12</v>
      </c>
      <c r="B24" s="41" t="str">
        <f aca="false">Presupuesto!B414</f>
        <v>m2</v>
      </c>
      <c r="C24" s="41" t="str">
        <f aca="false">Presupuesto!C414</f>
        <v>FORMACIÓN DE PENDIENTES CON MORTERO (1–2 %) EN PATIO, PORCHE, TERRAZA Y CUBIERTA PLANA</v>
      </c>
      <c r="D24" s="42" t="n">
        <v>0</v>
      </c>
      <c r="E24" s="42" t="n">
        <v>70.01</v>
      </c>
      <c r="F24" s="29" t="n">
        <f aca="false">E24-D24</f>
        <v>70.01</v>
      </c>
      <c r="G24" s="43" t="str">
        <f aca="false">IF(D24=0,"-",F24/D24)</f>
        <v>-</v>
      </c>
      <c r="H24" s="44" t="n">
        <f aca="false">Presupuesto!J417</f>
        <v>13</v>
      </c>
      <c r="I24" s="29" t="n">
        <f aca="false">ROUND(D24*H24,2)</f>
        <v>0</v>
      </c>
      <c r="J24" s="44" t="n">
        <f aca="false">Presupuesto!K417</f>
        <v>910.13</v>
      </c>
      <c r="K24" s="29" t="n">
        <f aca="false">J24-I24</f>
        <v>910.13</v>
      </c>
      <c r="L24" s="26" t="s">
        <v>1288</v>
      </c>
    </row>
    <row r="25" customFormat="false" ht="15" hidden="false" customHeight="true" outlineLevel="0" collapsed="false">
      <c r="A25" s="41" t="str">
        <f aca="false">Presupuesto!A418</f>
        <v>07.13</v>
      </c>
      <c r="B25" s="41" t="str">
        <f aca="false">Presupuesto!B418</f>
        <v>m2</v>
      </c>
      <c r="C25" s="41" t="str">
        <f aca="false">Presupuesto!C418</f>
        <v>BARRERA DE VAPOR BAJO EL AISLAMIENTO EN CUBIERTA PLANA, PATIO Y PORCHE</v>
      </c>
      <c r="D25" s="42" t="n">
        <v>0</v>
      </c>
      <c r="E25" s="42" t="n">
        <v>58.96</v>
      </c>
      <c r="F25" s="29" t="n">
        <f aca="false">E25-D25</f>
        <v>58.96</v>
      </c>
      <c r="G25" s="43" t="str">
        <f aca="false">IF(D25=0,"-",F25/D25)</f>
        <v>-</v>
      </c>
      <c r="H25" s="44" t="n">
        <f aca="false">Presupuesto!J421</f>
        <v>3.8</v>
      </c>
      <c r="I25" s="29" t="n">
        <f aca="false">ROUND(D25*H25,2)</f>
        <v>0</v>
      </c>
      <c r="J25" s="44" t="n">
        <f aca="false">Presupuesto!K421</f>
        <v>224.05</v>
      </c>
      <c r="K25" s="29" t="n">
        <f aca="false">J25-I25</f>
        <v>224.05</v>
      </c>
      <c r="L25" s="26" t="s">
        <v>1289</v>
      </c>
    </row>
    <row r="26" customFormat="false" ht="15" hidden="false" customHeight="true" outlineLevel="0" collapsed="false">
      <c r="A26" s="41" t="str">
        <f aca="false">Presupuesto!A425</f>
        <v>08.01</v>
      </c>
      <c r="B26" s="41" t="str">
        <f aca="false">Presupuesto!B425</f>
        <v>m2</v>
      </c>
      <c r="C26" s="41" t="str">
        <f aca="false">Presupuesto!C425</f>
        <v>AISLAMIENTO XPS 10 CM SOBRE FORJADO SANITARIO</v>
      </c>
      <c r="D26" s="42" t="n">
        <v>60</v>
      </c>
      <c r="E26" s="42" t="n">
        <v>59.92</v>
      </c>
      <c r="F26" s="29" t="n">
        <f aca="false">E26-D26</f>
        <v>-0.0799999999999983</v>
      </c>
      <c r="G26" s="43" t="n">
        <f aca="false">IF(D26=0,"-",F26/D26)</f>
        <v>-0.0013333333333333</v>
      </c>
      <c r="H26" s="44" t="n">
        <f aca="false">Presupuesto!J428</f>
        <v>16.5</v>
      </c>
      <c r="I26" s="29" t="n">
        <f aca="false">ROUND(D26*H26,2)</f>
        <v>990</v>
      </c>
      <c r="J26" s="44" t="n">
        <f aca="false">Presupuesto!K428</f>
        <v>988.68</v>
      </c>
      <c r="K26" s="29" t="n">
        <f aca="false">J26-I26</f>
        <v>-1.32000000000005</v>
      </c>
      <c r="L26" s="26" t="s">
        <v>1290</v>
      </c>
    </row>
    <row r="27" customFormat="false" ht="21.75" hidden="false" customHeight="true" outlineLevel="0" collapsed="false">
      <c r="A27" s="41" t="str">
        <f aca="false">Presupuesto!A429</f>
        <v>08.02</v>
      </c>
      <c r="B27" s="41" t="str">
        <f aca="false">Presupuesto!B429</f>
        <v>m2</v>
      </c>
      <c r="C27" s="41" t="str">
        <f aca="false">Presupuesto!C429</f>
        <v>XPS 4 CM SOBRE FORJADOS (PASO DE INSTALACIONES)</v>
      </c>
      <c r="D27" s="42" t="n">
        <v>163</v>
      </c>
      <c r="E27" s="42" t="n">
        <v>191.09</v>
      </c>
      <c r="F27" s="29" t="n">
        <f aca="false">E27-D27</f>
        <v>28.09</v>
      </c>
      <c r="G27" s="43" t="n">
        <f aca="false">IF(D27=0,"-",F27/D27)</f>
        <v>0.172331288343558</v>
      </c>
      <c r="H27" s="44" t="n">
        <f aca="false">Presupuesto!J433</f>
        <v>7.47</v>
      </c>
      <c r="I27" s="29" t="n">
        <f aca="false">ROUND(D27*H27,2)</f>
        <v>1217.61</v>
      </c>
      <c r="J27" s="44" t="n">
        <f aca="false">Presupuesto!K433</f>
        <v>1427.44</v>
      </c>
      <c r="K27" s="29" t="n">
        <f aca="false">J27-I27</f>
        <v>209.83</v>
      </c>
      <c r="L27" s="26" t="s">
        <v>1291</v>
      </c>
    </row>
    <row r="28" customFormat="false" ht="21.75" hidden="false" customHeight="true" outlineLevel="0" collapsed="false">
      <c r="A28" s="41" t="str">
        <f aca="false">Presupuesto!A434</f>
        <v>08.03</v>
      </c>
      <c r="B28" s="41" t="str">
        <f aca="false">Presupuesto!B434</f>
        <v>m2</v>
      </c>
      <c r="C28" s="41" t="str">
        <f aca="false">Presupuesto!C434</f>
        <v>LÁMINA ANTIIMPACTO 5 MM Y BANDA PERIMETRAL</v>
      </c>
      <c r="D28" s="42" t="n">
        <v>163</v>
      </c>
      <c r="E28" s="42" t="n">
        <v>220.41</v>
      </c>
      <c r="F28" s="29" t="n">
        <f aca="false">E28-D28</f>
        <v>57.41</v>
      </c>
      <c r="G28" s="43" t="n">
        <f aca="false">IF(D28=0,"-",F28/D28)</f>
        <v>0.352208588957055</v>
      </c>
      <c r="H28" s="44" t="n">
        <f aca="false">Presupuesto!J437</f>
        <v>4.6</v>
      </c>
      <c r="I28" s="29" t="n">
        <f aca="false">ROUND(D28*H28,2)</f>
        <v>749.8</v>
      </c>
      <c r="J28" s="44" t="n">
        <f aca="false">Presupuesto!K437</f>
        <v>1013.89</v>
      </c>
      <c r="K28" s="29" t="n">
        <f aca="false">J28-I28</f>
        <v>264.09</v>
      </c>
      <c r="L28" s="26" t="s">
        <v>1292</v>
      </c>
    </row>
    <row r="29" customFormat="false" ht="21.75" hidden="false" customHeight="true" outlineLevel="0" collapsed="false">
      <c r="A29" s="41" t="str">
        <f aca="false">Presupuesto!A454</f>
        <v>08.08</v>
      </c>
      <c r="B29" s="41" t="str">
        <f aca="false">Presupuesto!B454</f>
        <v>m2</v>
      </c>
      <c r="C29" s="41" t="str">
        <f aca="false">Presupuesto!C454</f>
        <v>IMPERMEABILIZACIÓN CON LÁMINA DE BETÚN MODIFICADO EN PATIO, PORCHE, TERRAZA Y CUBIERTA PLANA</v>
      </c>
      <c r="D29" s="42" t="n">
        <v>0</v>
      </c>
      <c r="E29" s="42" t="n">
        <v>70.01</v>
      </c>
      <c r="F29" s="29" t="n">
        <f aca="false">E29-D29</f>
        <v>70.01</v>
      </c>
      <c r="G29" s="43" t="str">
        <f aca="false">IF(D29=0,"-",F29/D29)</f>
        <v>-</v>
      </c>
      <c r="H29" s="44" t="n">
        <f aca="false">Presupuesto!J457</f>
        <v>22</v>
      </c>
      <c r="I29" s="29" t="n">
        <f aca="false">ROUND(D29*H29,2)</f>
        <v>0</v>
      </c>
      <c r="J29" s="44" t="n">
        <f aca="false">Presupuesto!K457</f>
        <v>1540.22</v>
      </c>
      <c r="K29" s="29" t="n">
        <f aca="false">J29-I29</f>
        <v>1540.22</v>
      </c>
      <c r="L29" s="26" t="s">
        <v>1293</v>
      </c>
    </row>
    <row r="30" customFormat="false" ht="15" hidden="false" customHeight="true" outlineLevel="0" collapsed="false">
      <c r="A30" s="41" t="str">
        <f aca="false">Presupuesto!A461</f>
        <v>09.01</v>
      </c>
      <c r="B30" s="41" t="str">
        <f aca="false">Presupuesto!B461</f>
        <v>m2</v>
      </c>
      <c r="C30" s="41" t="str">
        <f aca="false">Presupuesto!C461</f>
        <v>FALSO TECHO DE PLACA DE YESO LAMINADO 15 MM</v>
      </c>
      <c r="D30" s="42" t="n">
        <v>99.35</v>
      </c>
      <c r="E30" s="42" t="n">
        <v>88.49</v>
      </c>
      <c r="F30" s="29" t="n">
        <f aca="false">E30-D30</f>
        <v>-10.86</v>
      </c>
      <c r="G30" s="43" t="n">
        <f aca="false">IF(D30=0,"-",F30/D30)</f>
        <v>-0.109310518369401</v>
      </c>
      <c r="H30" s="44" t="n">
        <f aca="false">Presupuesto!J464</f>
        <v>27</v>
      </c>
      <c r="I30" s="29" t="n">
        <f aca="false">ROUND(D30*H30,2)</f>
        <v>2682.45</v>
      </c>
      <c r="J30" s="44" t="n">
        <f aca="false">Presupuesto!K464</f>
        <v>2389.23</v>
      </c>
      <c r="K30" s="29" t="n">
        <f aca="false">J30-I30</f>
        <v>-293.22</v>
      </c>
      <c r="L30" s="26" t="s">
        <v>1294</v>
      </c>
    </row>
    <row r="31" customFormat="false" ht="21.75" hidden="false" customHeight="true" outlineLevel="0" collapsed="false">
      <c r="A31" s="41" t="str">
        <f aca="false">Presupuesto!A469</f>
        <v>09.03</v>
      </c>
      <c r="B31" s="41" t="str">
        <f aca="false">Presupuesto!B469</f>
        <v>m2</v>
      </c>
      <c r="C31" s="41" t="str">
        <f aca="false">Presupuesto!C469</f>
        <v>TABICA DE PLACA DE YESO LAMINADO EN LOS BORDES DEL FALSO TECHO</v>
      </c>
      <c r="D31" s="42" t="n">
        <v>0</v>
      </c>
      <c r="E31" s="42" t="n">
        <v>22.3</v>
      </c>
      <c r="F31" s="29" t="n">
        <f aca="false">E31-D31</f>
        <v>22.3</v>
      </c>
      <c r="G31" s="43" t="str">
        <f aca="false">IF(D31=0,"-",F31/D31)</f>
        <v>-</v>
      </c>
      <c r="H31" s="44" t="n">
        <f aca="false">Presupuesto!J472</f>
        <v>34</v>
      </c>
      <c r="I31" s="29" t="n">
        <f aca="false">ROUND(D31*H31,2)</f>
        <v>0</v>
      </c>
      <c r="J31" s="44" t="n">
        <f aca="false">Presupuesto!K472</f>
        <v>758.2</v>
      </c>
      <c r="K31" s="29" t="n">
        <f aca="false">J31-I31</f>
        <v>758.2</v>
      </c>
      <c r="L31" s="26" t="s">
        <v>1295</v>
      </c>
    </row>
    <row r="32" customFormat="false" ht="15" hidden="false" customHeight="true" outlineLevel="0" collapsed="false">
      <c r="A32" s="41" t="str">
        <f aca="false">Presupuesto!A476</f>
        <v>10.01</v>
      </c>
      <c r="B32" s="41" t="str">
        <f aca="false">Presupuesto!B476</f>
        <v>m2</v>
      </c>
      <c r="C32" s="41" t="str">
        <f aca="false">Presupuesto!C476</f>
        <v>MORTERO AUTONIVELANTE DE 4 CM CON SUELO RADIANTE</v>
      </c>
      <c r="D32" s="42" t="n">
        <v>188.3</v>
      </c>
      <c r="E32" s="42" t="n">
        <v>210.32</v>
      </c>
      <c r="F32" s="29" t="n">
        <f aca="false">E32-D32</f>
        <v>22.02</v>
      </c>
      <c r="G32" s="43" t="n">
        <f aca="false">IF(D32=0,"-",F32/D32)</f>
        <v>0.116941051513542</v>
      </c>
      <c r="H32" s="44" t="n">
        <f aca="false">Presupuesto!J479</f>
        <v>15</v>
      </c>
      <c r="I32" s="29" t="n">
        <f aca="false">ROUND(D32*H32,2)</f>
        <v>2824.5</v>
      </c>
      <c r="J32" s="44" t="n">
        <f aca="false">Presupuesto!K479</f>
        <v>3154.8</v>
      </c>
      <c r="K32" s="29" t="n">
        <f aca="false">J32-I32</f>
        <v>330.3</v>
      </c>
      <c r="L32" s="26" t="s">
        <v>1296</v>
      </c>
    </row>
    <row r="33" customFormat="false" ht="15" hidden="false" customHeight="true" outlineLevel="0" collapsed="false">
      <c r="A33" s="41" t="str">
        <f aca="false">Presupuesto!A484</f>
        <v>10.03</v>
      </c>
      <c r="B33" s="41" t="str">
        <f aca="false">Presupuesto!B484</f>
        <v>m2</v>
      </c>
      <c r="C33" s="41" t="str">
        <f aca="false">Presupuesto!C484</f>
        <v>PAVIMENTO CONTINUO DE MICROCEMENTO PULIDO INTERIOR</v>
      </c>
      <c r="D33" s="42" t="n">
        <v>191.01</v>
      </c>
      <c r="E33" s="42" t="n">
        <v>192.65</v>
      </c>
      <c r="F33" s="29" t="n">
        <f aca="false">E33-D33</f>
        <v>1.64000000000001</v>
      </c>
      <c r="G33" s="43" t="n">
        <f aca="false">IF(D33=0,"-",F33/D33)</f>
        <v>0.00858593790901008</v>
      </c>
      <c r="H33" s="44" t="n">
        <f aca="false">Presupuesto!J488</f>
        <v>48</v>
      </c>
      <c r="I33" s="29" t="n">
        <f aca="false">ROUND(D33*H33,2)</f>
        <v>9168.48</v>
      </c>
      <c r="J33" s="44" t="n">
        <f aca="false">Presupuesto!K488</f>
        <v>9247.2</v>
      </c>
      <c r="K33" s="29" t="n">
        <f aca="false">J33-I33</f>
        <v>78.7200000000012</v>
      </c>
      <c r="L33" s="26" t="s">
        <v>1297</v>
      </c>
    </row>
    <row r="34" customFormat="false" ht="15" hidden="false" customHeight="true" outlineLevel="0" collapsed="false">
      <c r="A34" s="41" t="str">
        <f aca="false">Presupuesto!A489</f>
        <v>10.04</v>
      </c>
      <c r="B34" s="41" t="str">
        <f aca="false">Presupuesto!B489</f>
        <v>m2</v>
      </c>
      <c r="C34" s="41" t="str">
        <f aca="false">Presupuesto!C489</f>
        <v>PAVIMENTO CONTINUO DE MICROCEMENTO EXTERIOR</v>
      </c>
      <c r="D34" s="42" t="n">
        <v>91.93</v>
      </c>
      <c r="E34" s="42" t="n">
        <v>70.01</v>
      </c>
      <c r="F34" s="29" t="n">
        <f aca="false">E34-D34</f>
        <v>-21.92</v>
      </c>
      <c r="G34" s="43" t="n">
        <f aca="false">IF(D34=0,"-",F34/D34)</f>
        <v>-0.238442293049059</v>
      </c>
      <c r="H34" s="44" t="n">
        <f aca="false">Presupuesto!J493</f>
        <v>56</v>
      </c>
      <c r="I34" s="29" t="n">
        <f aca="false">ROUND(D34*H34,2)</f>
        <v>5148.08</v>
      </c>
      <c r="J34" s="44" t="n">
        <f aca="false">Presupuesto!K493</f>
        <v>3920.56</v>
      </c>
      <c r="K34" s="29" t="n">
        <f aca="false">J34-I34</f>
        <v>-1227.52</v>
      </c>
      <c r="L34" s="26" t="s">
        <v>1298</v>
      </c>
    </row>
    <row r="35" customFormat="false" ht="15" hidden="false" customHeight="true" outlineLevel="0" collapsed="false">
      <c r="A35" s="41" t="str">
        <f aca="false">Presupuesto!A494</f>
        <v>10.05</v>
      </c>
      <c r="B35" s="41" t="str">
        <f aca="false">Presupuesto!B494</f>
        <v>m2</v>
      </c>
      <c r="C35" s="41" t="str">
        <f aca="false">Presupuesto!C494</f>
        <v>PAVIMENTO DE GRES PORCELÁNICO EN BAÑOS Y ASEOS</v>
      </c>
      <c r="D35" s="42" t="n">
        <v>17.81</v>
      </c>
      <c r="E35" s="42" t="n">
        <v>17.67</v>
      </c>
      <c r="F35" s="29" t="n">
        <f aca="false">E35-D35</f>
        <v>-0.139999999999997</v>
      </c>
      <c r="G35" s="43" t="n">
        <f aca="false">IF(D35=0,"-",F35/D35)</f>
        <v>-0.00786075238629966</v>
      </c>
      <c r="H35" s="44" t="n">
        <f aca="false">Presupuesto!J497</f>
        <v>54</v>
      </c>
      <c r="I35" s="29" t="n">
        <f aca="false">ROUND(D35*H35,2)</f>
        <v>961.74</v>
      </c>
      <c r="J35" s="44" t="n">
        <f aca="false">Presupuesto!K497</f>
        <v>954.18</v>
      </c>
      <c r="K35" s="29" t="n">
        <f aca="false">J35-I35</f>
        <v>-7.56000000000006</v>
      </c>
      <c r="L35" s="26" t="s">
        <v>704</v>
      </c>
    </row>
    <row r="36" customFormat="false" ht="15" hidden="false" customHeight="true" outlineLevel="0" collapsed="false">
      <c r="A36" s="41" t="str">
        <f aca="false">Presupuesto!A498</f>
        <v>10.06</v>
      </c>
      <c r="B36" s="41" t="str">
        <f aca="false">Presupuesto!B498</f>
        <v>m2</v>
      </c>
      <c r="C36" s="41" t="str">
        <f aca="false">Presupuesto!C498</f>
        <v>PAVIMENTO CONTINUO DE CUARZO EN GARAJE</v>
      </c>
      <c r="D36" s="42" t="n">
        <v>49.52</v>
      </c>
      <c r="E36" s="42" t="n">
        <v>49.52</v>
      </c>
      <c r="F36" s="29" t="n">
        <f aca="false">E36-D36</f>
        <v>0</v>
      </c>
      <c r="G36" s="43" t="n">
        <f aca="false">IF(D36=0,"-",F36/D36)</f>
        <v>0</v>
      </c>
      <c r="H36" s="44" t="n">
        <f aca="false">Presupuesto!J501</f>
        <v>15.61</v>
      </c>
      <c r="I36" s="29" t="n">
        <f aca="false">ROUND(D36*H36,2)</f>
        <v>773.01</v>
      </c>
      <c r="J36" s="44" t="n">
        <f aca="false">Presupuesto!K501</f>
        <v>773.01</v>
      </c>
      <c r="K36" s="29" t="n">
        <f aca="false">J36-I36</f>
        <v>0</v>
      </c>
      <c r="L36" s="26" t="s">
        <v>954</v>
      </c>
    </row>
    <row r="37" customFormat="false" ht="15" hidden="false" customHeight="true" outlineLevel="0" collapsed="false">
      <c r="A37" s="41" t="str">
        <f aca="false">Presupuesto!A510</f>
        <v>10.09</v>
      </c>
      <c r="B37" s="41" t="str">
        <f aca="false">Presupuesto!B510</f>
        <v>m2</v>
      </c>
      <c r="C37" s="41" t="str">
        <f aca="false">Presupuesto!C510</f>
        <v>MORTERO DE PROTECCIÓN DE 4 CM SOBRE LA LÁMINA (PATIO, PORCHE, TERRAZA Y CUBIERTA PLANA)</v>
      </c>
      <c r="D37" s="42" t="n">
        <v>0</v>
      </c>
      <c r="E37" s="42" t="n">
        <v>70.01</v>
      </c>
      <c r="F37" s="29" t="n">
        <f aca="false">E37-D37</f>
        <v>70.01</v>
      </c>
      <c r="G37" s="43" t="str">
        <f aca="false">IF(D37=0,"-",F37/D37)</f>
        <v>-</v>
      </c>
      <c r="H37" s="44" t="n">
        <f aca="false">Presupuesto!J513</f>
        <v>15</v>
      </c>
      <c r="I37" s="29" t="n">
        <f aca="false">ROUND(D37*H37,2)</f>
        <v>0</v>
      </c>
      <c r="J37" s="44" t="n">
        <f aca="false">Presupuesto!K513</f>
        <v>1050.15</v>
      </c>
      <c r="K37" s="29" t="n">
        <f aca="false">J37-I37</f>
        <v>1050.15</v>
      </c>
      <c r="L37" s="26" t="s">
        <v>1299</v>
      </c>
    </row>
    <row r="38" customFormat="false" ht="15" hidden="false" customHeight="true" outlineLevel="0" collapsed="false">
      <c r="A38" s="41" t="str">
        <f aca="false">Presupuesto!A517</f>
        <v>11.01</v>
      </c>
      <c r="B38" s="41" t="str">
        <f aca="false">Presupuesto!B517</f>
        <v>m²</v>
      </c>
      <c r="C38" s="41" t="str">
        <f aca="false">Presupuesto!C517</f>
        <v>REVOCO DE CAL / MONOCAPA EN FACHADAS Y PATIOS</v>
      </c>
      <c r="D38" s="42" t="n">
        <v>196.3</v>
      </c>
      <c r="E38" s="42" t="n">
        <v>316.1</v>
      </c>
      <c r="F38" s="29" t="n">
        <f aca="false">E38-D38</f>
        <v>119.8</v>
      </c>
      <c r="G38" s="43" t="n">
        <f aca="false">IF(D38=0,"-",F38/D38)</f>
        <v>0.610290371879776</v>
      </c>
      <c r="H38" s="44" t="n">
        <f aca="false">Presupuesto!J522</f>
        <v>29.56</v>
      </c>
      <c r="I38" s="29" t="n">
        <f aca="false">ROUND(D38*H38,2)</f>
        <v>5802.63</v>
      </c>
      <c r="J38" s="44" t="n">
        <f aca="false">Presupuesto!K522</f>
        <v>9343.92</v>
      </c>
      <c r="K38" s="29" t="n">
        <f aca="false">J38-I38</f>
        <v>3541.29</v>
      </c>
      <c r="L38" s="26" t="s">
        <v>1300</v>
      </c>
    </row>
    <row r="39" customFormat="false" ht="21.75" hidden="false" customHeight="true" outlineLevel="0" collapsed="false">
      <c r="A39" s="41" t="str">
        <f aca="false">Presupuesto!A523</f>
        <v>11.02</v>
      </c>
      <c r="B39" s="41" t="str">
        <f aca="false">Presupuesto!B523</f>
        <v>m2</v>
      </c>
      <c r="C39" s="41" t="str">
        <f aca="false">Presupuesto!C523</f>
        <v>GUARNECIDO Y ENLUCIDO DE YESO EN PAREDES Y TECHOS</v>
      </c>
      <c r="D39" s="42" t="n">
        <v>701.6</v>
      </c>
      <c r="E39" s="42" t="n">
        <v>950.13</v>
      </c>
      <c r="F39" s="29" t="n">
        <f aca="false">E39-D39</f>
        <v>248.53</v>
      </c>
      <c r="G39" s="43" t="n">
        <f aca="false">IF(D39=0,"-",F39/D39)</f>
        <v>0.354233181299886</v>
      </c>
      <c r="H39" s="44" t="n">
        <f aca="false">Presupuesto!J532</f>
        <v>14</v>
      </c>
      <c r="I39" s="29" t="n">
        <f aca="false">ROUND(D39*H39,2)</f>
        <v>9822.4</v>
      </c>
      <c r="J39" s="44" t="n">
        <f aca="false">Presupuesto!K532</f>
        <v>13301.82</v>
      </c>
      <c r="K39" s="29" t="n">
        <f aca="false">J39-I39</f>
        <v>3479.42</v>
      </c>
      <c r="L39" s="26" t="s">
        <v>1301</v>
      </c>
    </row>
    <row r="40" customFormat="false" ht="15" hidden="false" customHeight="true" outlineLevel="0" collapsed="false">
      <c r="A40" s="41" t="str">
        <f aca="false">Presupuesto!A533</f>
        <v>11.03</v>
      </c>
      <c r="B40" s="41" t="str">
        <f aca="false">Presupuesto!B533</f>
        <v>m2</v>
      </c>
      <c r="C40" s="41" t="str">
        <f aca="false">Presupuesto!C533</f>
        <v>ALICATADO CERÁMICO 10 MM EN BAÑOS Y ASEOS</v>
      </c>
      <c r="D40" s="42" t="n">
        <v>67.81</v>
      </c>
      <c r="E40" s="42" t="n">
        <v>88.02</v>
      </c>
      <c r="F40" s="29" t="n">
        <f aca="false">E40-D40</f>
        <v>20.21</v>
      </c>
      <c r="G40" s="43" t="n">
        <f aca="false">IF(D40=0,"-",F40/D40)</f>
        <v>0.29803863736912</v>
      </c>
      <c r="H40" s="44" t="n">
        <f aca="false">Presupuesto!J540</f>
        <v>64</v>
      </c>
      <c r="I40" s="29" t="n">
        <f aca="false">ROUND(D40*H40,2)</f>
        <v>4339.84</v>
      </c>
      <c r="J40" s="44" t="n">
        <f aca="false">Presupuesto!K540</f>
        <v>5633.28</v>
      </c>
      <c r="K40" s="29" t="n">
        <f aca="false">J40-I40</f>
        <v>1293.44</v>
      </c>
      <c r="L40" s="26" t="s">
        <v>1302</v>
      </c>
    </row>
    <row r="41" customFormat="false" ht="15" hidden="false" customHeight="true" outlineLevel="0" collapsed="false">
      <c r="A41" s="41" t="str">
        <f aca="false">Presupuesto!A548</f>
        <v>12.01</v>
      </c>
      <c r="B41" s="41" t="str">
        <f aca="false">Presupuesto!B548</f>
        <v>ud</v>
      </c>
      <c r="C41" s="41" t="str">
        <f aca="false">Presupuesto!C548</f>
        <v>PUERTA DE PASO P2 ENRASADA 0,85 × 2,05</v>
      </c>
      <c r="D41" s="42" t="n">
        <v>7</v>
      </c>
      <c r="E41" s="42" t="n">
        <v>8</v>
      </c>
      <c r="F41" s="29" t="n">
        <f aca="false">E41-D41</f>
        <v>1</v>
      </c>
      <c r="G41" s="43" t="n">
        <f aca="false">IF(D41=0,"-",F41/D41)</f>
        <v>0.142857142857143</v>
      </c>
      <c r="H41" s="44" t="n">
        <f aca="false">Presupuesto!J551</f>
        <v>899.66</v>
      </c>
      <c r="I41" s="29" t="n">
        <f aca="false">ROUND(D41*H41,2)</f>
        <v>6297.62</v>
      </c>
      <c r="J41" s="44" t="n">
        <f aca="false">Presupuesto!K551</f>
        <v>7197.28</v>
      </c>
      <c r="K41" s="29" t="n">
        <f aca="false">J41-I41</f>
        <v>899.66</v>
      </c>
      <c r="L41" s="26" t="s">
        <v>1303</v>
      </c>
    </row>
    <row r="42" customFormat="false" ht="15" hidden="false" customHeight="true" outlineLevel="0" collapsed="false">
      <c r="A42" s="41" t="str">
        <f aca="false">Presupuesto!A552</f>
        <v>12.02</v>
      </c>
      <c r="B42" s="41" t="str">
        <f aca="false">Presupuesto!B552</f>
        <v>ud</v>
      </c>
      <c r="C42" s="41" t="str">
        <f aca="false">Presupuesto!C552</f>
        <v>PUERTA CORREDERA P3 OCULTA EN TABIQUE (VESTIDOR)</v>
      </c>
      <c r="D42" s="42" t="n">
        <v>1</v>
      </c>
      <c r="E42" s="42" t="n">
        <v>1</v>
      </c>
      <c r="F42" s="29" t="n">
        <f aca="false">E42-D42</f>
        <v>0</v>
      </c>
      <c r="G42" s="43" t="n">
        <f aca="false">IF(D42=0,"-",F42/D42)</f>
        <v>0</v>
      </c>
      <c r="H42" s="44" t="n">
        <f aca="false">Presupuesto!J555</f>
        <v>1650</v>
      </c>
      <c r="I42" s="29" t="n">
        <f aca="false">ROUND(D42*H42,2)</f>
        <v>1650</v>
      </c>
      <c r="J42" s="44" t="n">
        <f aca="false">Presupuesto!K555</f>
        <v>1650</v>
      </c>
      <c r="K42" s="29" t="n">
        <f aca="false">J42-I42</f>
        <v>0</v>
      </c>
      <c r="L42" s="26" t="s">
        <v>1304</v>
      </c>
    </row>
    <row r="43" customFormat="false" ht="15" hidden="false" customHeight="true" outlineLevel="0" collapsed="false">
      <c r="A43" s="41" t="str">
        <f aca="false">Presupuesto!A556</f>
        <v>12.03</v>
      </c>
      <c r="B43" s="41" t="str">
        <f aca="false">Presupuesto!B556</f>
        <v>ud</v>
      </c>
      <c r="C43" s="41" t="str">
        <f aca="false">Presupuesto!C556</f>
        <v>PUERTA P4 EI2 45-C5 GARAJE–ALMACÉN</v>
      </c>
      <c r="D43" s="42" t="n">
        <v>1</v>
      </c>
      <c r="E43" s="42" t="n">
        <v>1</v>
      </c>
      <c r="F43" s="29" t="n">
        <f aca="false">E43-D43</f>
        <v>0</v>
      </c>
      <c r="G43" s="43" t="n">
        <f aca="false">IF(D43=0,"-",F43/D43)</f>
        <v>0</v>
      </c>
      <c r="H43" s="44" t="n">
        <f aca="false">Presupuesto!J559</f>
        <v>1250</v>
      </c>
      <c r="I43" s="29" t="n">
        <f aca="false">ROUND(D43*H43,2)</f>
        <v>1250</v>
      </c>
      <c r="J43" s="44" t="n">
        <f aca="false">Presupuesto!K559</f>
        <v>1250</v>
      </c>
      <c r="K43" s="29" t="n">
        <f aca="false">J43-I43</f>
        <v>0</v>
      </c>
      <c r="L43" s="26" t="s">
        <v>1305</v>
      </c>
    </row>
    <row r="44" customFormat="false" ht="15" hidden="false" customHeight="true" outlineLevel="0" collapsed="false">
      <c r="A44" s="41" t="str">
        <f aca="false">Presupuesto!A567</f>
        <v>13.01</v>
      </c>
      <c r="B44" s="41" t="str">
        <f aca="false">Presupuesto!B567</f>
        <v>ud</v>
      </c>
      <c r="C44" s="41" t="str">
        <f aca="false">Presupuesto!C567</f>
        <v>CARPINTERÍA V1 · 1,15 × 2,28, FACHADA C. ANCHA</v>
      </c>
      <c r="D44" s="42" t="n">
        <v>4</v>
      </c>
      <c r="E44" s="42" t="n">
        <v>4</v>
      </c>
      <c r="F44" s="29" t="n">
        <f aca="false">E44-D44</f>
        <v>0</v>
      </c>
      <c r="G44" s="43" t="n">
        <f aca="false">IF(D44=0,"-",F44/D44)</f>
        <v>0</v>
      </c>
      <c r="H44" s="44" t="n">
        <f aca="false">Presupuesto!J570</f>
        <v>1809.53</v>
      </c>
      <c r="I44" s="29" t="n">
        <f aca="false">ROUND(D44*H44,2)</f>
        <v>7238.12</v>
      </c>
      <c r="J44" s="44" t="n">
        <f aca="false">Presupuesto!K570</f>
        <v>7238.12</v>
      </c>
      <c r="K44" s="29" t="n">
        <f aca="false">J44-I44</f>
        <v>0</v>
      </c>
      <c r="L44" s="26" t="s">
        <v>382</v>
      </c>
    </row>
    <row r="45" customFormat="false" ht="15" hidden="false" customHeight="true" outlineLevel="0" collapsed="false">
      <c r="A45" s="41" t="str">
        <f aca="false">Presupuesto!A571</f>
        <v>13.02</v>
      </c>
      <c r="B45" s="41" t="str">
        <f aca="false">Presupuesto!B571</f>
        <v>ud</v>
      </c>
      <c r="C45" s="41" t="str">
        <f aca="false">Presupuesto!C571</f>
        <v>CARPINTERÍA V2 / V3 · FACHADA C. DEL PESO</v>
      </c>
      <c r="D45" s="42" t="n">
        <v>3</v>
      </c>
      <c r="E45" s="42" t="n">
        <v>3</v>
      </c>
      <c r="F45" s="29" t="n">
        <f aca="false">E45-D45</f>
        <v>0</v>
      </c>
      <c r="G45" s="43" t="n">
        <f aca="false">IF(D45=0,"-",F45/D45)</f>
        <v>0</v>
      </c>
      <c r="H45" s="44" t="n">
        <f aca="false">Presupuesto!J574</f>
        <v>2097.6</v>
      </c>
      <c r="I45" s="29" t="n">
        <f aca="false">ROUND(D45*H45,2)</f>
        <v>6292.8</v>
      </c>
      <c r="J45" s="44" t="n">
        <f aca="false">Presupuesto!K574</f>
        <v>6292.8</v>
      </c>
      <c r="K45" s="29" t="n">
        <f aca="false">J45-I45</f>
        <v>0</v>
      </c>
      <c r="L45" s="26" t="s">
        <v>1306</v>
      </c>
    </row>
    <row r="46" customFormat="false" ht="15" hidden="false" customHeight="true" outlineLevel="0" collapsed="false">
      <c r="A46" s="41" t="str">
        <f aca="false">Presupuesto!A575</f>
        <v>13.03</v>
      </c>
      <c r="B46" s="41" t="str">
        <f aca="false">Presupuesto!B575</f>
        <v>ud</v>
      </c>
      <c r="C46" s="41" t="str">
        <f aca="false">Presupuesto!C575</f>
        <v>CARPINTERÍA V4 · PLANTA BAJA, C. ANCHA</v>
      </c>
      <c r="D46" s="42" t="n">
        <v>1</v>
      </c>
      <c r="E46" s="42" t="n">
        <v>1</v>
      </c>
      <c r="F46" s="29" t="n">
        <f aca="false">E46-D46</f>
        <v>0</v>
      </c>
      <c r="G46" s="43" t="n">
        <f aca="false">IF(D46=0,"-",F46/D46)</f>
        <v>0</v>
      </c>
      <c r="H46" s="44" t="n">
        <f aca="false">Presupuesto!J578</f>
        <v>631.56</v>
      </c>
      <c r="I46" s="29" t="n">
        <f aca="false">ROUND(D46*H46,2)</f>
        <v>631.56</v>
      </c>
      <c r="J46" s="44" t="n">
        <f aca="false">Presupuesto!K578</f>
        <v>631.56</v>
      </c>
      <c r="K46" s="29" t="n">
        <f aca="false">J46-I46</f>
        <v>0</v>
      </c>
      <c r="L46" s="26" t="s">
        <v>1307</v>
      </c>
    </row>
    <row r="47" customFormat="false" ht="21.75" hidden="false" customHeight="true" outlineLevel="0" collapsed="false">
      <c r="A47" s="41" t="str">
        <f aca="false">Presupuesto!A579</f>
        <v>13.04</v>
      </c>
      <c r="B47" s="41" t="str">
        <f aca="false">Presupuesto!B579</f>
        <v>ud</v>
      </c>
      <c r="C47" s="41" t="str">
        <f aca="false">Presupuesto!C579</f>
        <v>CARPINTERÍA V5 · FIJO EN ESQUINA AL PATIO PEQUEÑO (PLANTAS 1ª Y 2ª)</v>
      </c>
      <c r="D47" s="42" t="n">
        <v>2</v>
      </c>
      <c r="E47" s="42" t="n">
        <v>2</v>
      </c>
      <c r="F47" s="29" t="n">
        <f aca="false">E47-D47</f>
        <v>0</v>
      </c>
      <c r="G47" s="43" t="n">
        <f aca="false">IF(D47=0,"-",F47/D47)</f>
        <v>0</v>
      </c>
      <c r="H47" s="44" t="n">
        <f aca="false">Presupuesto!J582</f>
        <v>3281.6</v>
      </c>
      <c r="I47" s="29" t="n">
        <f aca="false">ROUND(D47*H47,2)</f>
        <v>6563.2</v>
      </c>
      <c r="J47" s="44" t="n">
        <f aca="false">Presupuesto!K582</f>
        <v>6563.2</v>
      </c>
      <c r="K47" s="29" t="n">
        <f aca="false">J47-I47</f>
        <v>0</v>
      </c>
      <c r="L47" s="26" t="s">
        <v>1308</v>
      </c>
    </row>
    <row r="48" customFormat="false" ht="15" hidden="false" customHeight="true" outlineLevel="0" collapsed="false">
      <c r="A48" s="41" t="str">
        <f aca="false">Presupuesto!A583</f>
        <v>13.05</v>
      </c>
      <c r="B48" s="41" t="str">
        <f aca="false">Presupuesto!B583</f>
        <v>ud</v>
      </c>
      <c r="C48" s="41" t="str">
        <f aca="false">Presupuesto!C583</f>
        <v>CARPINTERÍA V5b · FIJO EN ESQUINA AL PATIO PEQUEÑO (PLANTA BAJA)</v>
      </c>
      <c r="D48" s="42" t="n">
        <v>1</v>
      </c>
      <c r="E48" s="42" t="n">
        <v>1</v>
      </c>
      <c r="F48" s="29" t="n">
        <f aca="false">E48-D48</f>
        <v>0</v>
      </c>
      <c r="G48" s="43" t="n">
        <f aca="false">IF(D48=0,"-",F48/D48)</f>
        <v>0</v>
      </c>
      <c r="H48" s="44" t="n">
        <f aca="false">Presupuesto!J586</f>
        <v>3528</v>
      </c>
      <c r="I48" s="29" t="n">
        <f aca="false">ROUND(D48*H48,2)</f>
        <v>3528</v>
      </c>
      <c r="J48" s="44" t="n">
        <f aca="false">Presupuesto!K586</f>
        <v>3528</v>
      </c>
      <c r="K48" s="29" t="n">
        <f aca="false">J48-I48</f>
        <v>0</v>
      </c>
      <c r="L48" s="26" t="s">
        <v>1309</v>
      </c>
    </row>
    <row r="49" customFormat="false" ht="15" hidden="false" customHeight="true" outlineLevel="0" collapsed="false">
      <c r="A49" s="41" t="str">
        <f aca="false">Presupuesto!A587</f>
        <v>13.06</v>
      </c>
      <c r="B49" s="41" t="str">
        <f aca="false">Presupuesto!B587</f>
        <v>ud</v>
      </c>
      <c r="C49" s="41" t="str">
        <f aca="false">Presupuesto!C587</f>
        <v>CARPINTERÍA V6 · ASEO AL PATIO PEQUEÑO (PLANTAS 1ª Y 2ª)</v>
      </c>
      <c r="D49" s="42" t="n">
        <v>2</v>
      </c>
      <c r="E49" s="42" t="n">
        <v>2</v>
      </c>
      <c r="F49" s="29" t="n">
        <f aca="false">E49-D49</f>
        <v>0</v>
      </c>
      <c r="G49" s="43" t="n">
        <f aca="false">IF(D49=0,"-",F49/D49)</f>
        <v>0</v>
      </c>
      <c r="H49" s="44" t="n">
        <f aca="false">Presupuesto!J590</f>
        <v>483.41</v>
      </c>
      <c r="I49" s="29" t="n">
        <f aca="false">ROUND(D49*H49,2)</f>
        <v>966.82</v>
      </c>
      <c r="J49" s="44" t="n">
        <f aca="false">Presupuesto!K590</f>
        <v>966.82</v>
      </c>
      <c r="K49" s="29" t="n">
        <f aca="false">J49-I49</f>
        <v>0</v>
      </c>
      <c r="L49" s="26" t="s">
        <v>1310</v>
      </c>
    </row>
    <row r="50" customFormat="false" ht="15" hidden="false" customHeight="true" outlineLevel="0" collapsed="false">
      <c r="A50" s="41" t="str">
        <f aca="false">Presupuesto!A591</f>
        <v>13.07</v>
      </c>
      <c r="B50" s="41" t="str">
        <f aca="false">Presupuesto!B591</f>
        <v>ud</v>
      </c>
      <c r="C50" s="41" t="str">
        <f aca="false">Presupuesto!C591</f>
        <v>CARPINTERÍA V6b · ASEO AL PATIO PEQUEÑO (PLANTA BAJA)</v>
      </c>
      <c r="D50" s="42" t="n">
        <v>1</v>
      </c>
      <c r="E50" s="42" t="n">
        <v>1</v>
      </c>
      <c r="F50" s="29" t="n">
        <f aca="false">E50-D50</f>
        <v>0</v>
      </c>
      <c r="G50" s="43" t="n">
        <f aca="false">IF(D50=0,"-",F50/D50)</f>
        <v>0</v>
      </c>
      <c r="H50" s="44" t="n">
        <f aca="false">Presupuesto!J594</f>
        <v>545.79</v>
      </c>
      <c r="I50" s="29" t="n">
        <f aca="false">ROUND(D50*H50,2)</f>
        <v>545.79</v>
      </c>
      <c r="J50" s="44" t="n">
        <f aca="false">Presupuesto!K594</f>
        <v>545.79</v>
      </c>
      <c r="K50" s="29" t="n">
        <f aca="false">J50-I50</f>
        <v>0</v>
      </c>
      <c r="L50" s="26" t="s">
        <v>1311</v>
      </c>
    </row>
    <row r="51" customFormat="false" ht="15" hidden="false" customHeight="true" outlineLevel="0" collapsed="false">
      <c r="A51" s="41" t="str">
        <f aca="false">Presupuesto!A595</f>
        <v>13.08</v>
      </c>
      <c r="B51" s="41" t="str">
        <f aca="false">Presupuesto!B595</f>
        <v>ud</v>
      </c>
      <c r="C51" s="41" t="str">
        <f aca="false">Presupuesto!C595</f>
        <v>CARPINTERÍA V7 · COCINA A PATIO</v>
      </c>
      <c r="D51" s="42" t="n">
        <v>1</v>
      </c>
      <c r="E51" s="42" t="n">
        <v>1</v>
      </c>
      <c r="F51" s="29" t="n">
        <f aca="false">E51-D51</f>
        <v>0</v>
      </c>
      <c r="G51" s="43" t="n">
        <f aca="false">IF(D51=0,"-",F51/D51)</f>
        <v>0</v>
      </c>
      <c r="H51" s="44" t="n">
        <f aca="false">Presupuesto!J598</f>
        <v>1787.1</v>
      </c>
      <c r="I51" s="29" t="n">
        <f aca="false">ROUND(D51*H51,2)</f>
        <v>1787.1</v>
      </c>
      <c r="J51" s="44" t="n">
        <f aca="false">Presupuesto!K598</f>
        <v>1787.1</v>
      </c>
      <c r="K51" s="29" t="n">
        <f aca="false">J51-I51</f>
        <v>0</v>
      </c>
      <c r="L51" s="26" t="s">
        <v>614</v>
      </c>
    </row>
    <row r="52" customFormat="false" ht="15" hidden="false" customHeight="true" outlineLevel="0" collapsed="false">
      <c r="A52" s="41" t="str">
        <f aca="false">Presupuesto!A599</f>
        <v>13.09</v>
      </c>
      <c r="B52" s="41" t="str">
        <f aca="false">Presupuesto!B599</f>
        <v>ud</v>
      </c>
      <c r="C52" s="41" t="str">
        <f aca="false">Presupuesto!C599</f>
        <v>CARPINTERÍA V8 · COCINA, BAJO EL FORJADO</v>
      </c>
      <c r="D52" s="42" t="n">
        <v>1</v>
      </c>
      <c r="E52" s="42" t="n">
        <v>1</v>
      </c>
      <c r="F52" s="29" t="n">
        <f aca="false">E52-D52</f>
        <v>0</v>
      </c>
      <c r="G52" s="43" t="n">
        <f aca="false">IF(D52=0,"-",F52/D52)</f>
        <v>0</v>
      </c>
      <c r="H52" s="44" t="n">
        <f aca="false">Presupuesto!J602</f>
        <v>4092</v>
      </c>
      <c r="I52" s="29" t="n">
        <f aca="false">ROUND(D52*H52,2)</f>
        <v>4092</v>
      </c>
      <c r="J52" s="44" t="n">
        <f aca="false">Presupuesto!K602</f>
        <v>4092</v>
      </c>
      <c r="K52" s="29" t="n">
        <f aca="false">J52-I52</f>
        <v>0</v>
      </c>
      <c r="L52" s="26" t="s">
        <v>1312</v>
      </c>
    </row>
    <row r="53" customFormat="false" ht="15" hidden="false" customHeight="true" outlineLevel="0" collapsed="false">
      <c r="A53" s="41" t="str">
        <f aca="false">Presupuesto!A603</f>
        <v>13.10</v>
      </c>
      <c r="B53" s="41" t="str">
        <f aca="false">Presupuesto!B603</f>
        <v>ud</v>
      </c>
      <c r="C53" s="41" t="str">
        <f aca="false">Presupuesto!C603</f>
        <v>CARPINTERÍA V9 · LAVANDERÍA, CON PANEL OPACO</v>
      </c>
      <c r="D53" s="42" t="n">
        <v>1</v>
      </c>
      <c r="E53" s="42" t="n">
        <v>1</v>
      </c>
      <c r="F53" s="29" t="n">
        <f aca="false">E53-D53</f>
        <v>0</v>
      </c>
      <c r="G53" s="43" t="n">
        <f aca="false">IF(D53=0,"-",F53/D53)</f>
        <v>0</v>
      </c>
      <c r="H53" s="44" t="n">
        <f aca="false">Presupuesto!J606</f>
        <v>2660</v>
      </c>
      <c r="I53" s="29" t="n">
        <f aca="false">ROUND(D53*H53,2)</f>
        <v>2660</v>
      </c>
      <c r="J53" s="44" t="n">
        <f aca="false">Presupuesto!K606</f>
        <v>2660</v>
      </c>
      <c r="K53" s="29" t="n">
        <f aca="false">J53-I53</f>
        <v>0</v>
      </c>
      <c r="L53" s="26" t="s">
        <v>1313</v>
      </c>
    </row>
    <row r="54" customFormat="false" ht="15" hidden="false" customHeight="true" outlineLevel="0" collapsed="false">
      <c r="A54" s="41" t="str">
        <f aca="false">Presupuesto!A607</f>
        <v>13.11</v>
      </c>
      <c r="B54" s="41" t="str">
        <f aca="false">Presupuesto!B607</f>
        <v>ud</v>
      </c>
      <c r="C54" s="41" t="str">
        <f aca="false">Presupuesto!C607</f>
        <v>CARPINTERÍA V11 · BAÑO PRINCIPAL A PATIO</v>
      </c>
      <c r="D54" s="42" t="n">
        <v>1</v>
      </c>
      <c r="E54" s="42" t="n">
        <v>1</v>
      </c>
      <c r="F54" s="29" t="n">
        <f aca="false">E54-D54</f>
        <v>0</v>
      </c>
      <c r="G54" s="43" t="n">
        <f aca="false">IF(D54=0,"-",F54/D54)</f>
        <v>0</v>
      </c>
      <c r="H54" s="44" t="n">
        <f aca="false">Presupuesto!J610</f>
        <v>1428.3</v>
      </c>
      <c r="I54" s="29" t="n">
        <f aca="false">ROUND(D54*H54,2)</f>
        <v>1428.3</v>
      </c>
      <c r="J54" s="44" t="n">
        <f aca="false">Presupuesto!K610</f>
        <v>1428.3</v>
      </c>
      <c r="K54" s="29" t="n">
        <f aca="false">J54-I54</f>
        <v>0</v>
      </c>
      <c r="L54" s="26" t="s">
        <v>1314</v>
      </c>
    </row>
    <row r="55" customFormat="false" ht="42.75" hidden="false" customHeight="true" outlineLevel="0" collapsed="false">
      <c r="A55" s="41" t="str">
        <f aca="false">Presupuesto!A646</f>
        <v>14.03</v>
      </c>
      <c r="B55" s="41" t="str">
        <f aca="false">Presupuesto!B646</f>
        <v>m</v>
      </c>
      <c r="C55" s="41" t="str">
        <f aca="false">Presupuesto!C646</f>
        <v>BARANDILLA DE ACERO LACADO DE BARROTES REDONDOS</v>
      </c>
      <c r="D55" s="42" t="n">
        <v>26</v>
      </c>
      <c r="E55" s="42" t="n">
        <v>24.08</v>
      </c>
      <c r="F55" s="29" t="n">
        <f aca="false">E55-D55</f>
        <v>-1.92</v>
      </c>
      <c r="G55" s="43" t="n">
        <f aca="false">IF(D55=0,"-",F55/D55)</f>
        <v>-0.0738461538461539</v>
      </c>
      <c r="H55" s="44" t="n">
        <f aca="false">Presupuesto!J651</f>
        <v>215</v>
      </c>
      <c r="I55" s="29" t="n">
        <f aca="false">ROUND(D55*H55,2)</f>
        <v>5590</v>
      </c>
      <c r="J55" s="44" t="n">
        <f aca="false">Presupuesto!K651</f>
        <v>5177.2</v>
      </c>
      <c r="K55" s="29" t="n">
        <f aca="false">J55-I55</f>
        <v>-412.8</v>
      </c>
      <c r="L55" s="26" t="s">
        <v>1315</v>
      </c>
    </row>
    <row r="56" customFormat="false" ht="15" hidden="false" customHeight="true" outlineLevel="0" collapsed="false">
      <c r="A56" s="41" t="str">
        <f aca="false">Presupuesto!A652</f>
        <v>14.04</v>
      </c>
      <c r="B56" s="41" t="str">
        <f aca="false">Presupuesto!B652</f>
        <v>ud</v>
      </c>
      <c r="C56" s="41" t="str">
        <f aca="false">Presupuesto!C652</f>
        <v>MINI-BALCÓN DE CHAPA DE ACERO EN VENTANA DE FACHADA</v>
      </c>
      <c r="D56" s="42" t="n">
        <v>7</v>
      </c>
      <c r="E56" s="42" t="n">
        <v>7</v>
      </c>
      <c r="F56" s="29" t="n">
        <f aca="false">E56-D56</f>
        <v>0</v>
      </c>
      <c r="G56" s="43" t="n">
        <f aca="false">IF(D56=0,"-",F56/D56)</f>
        <v>0</v>
      </c>
      <c r="H56" s="44" t="n">
        <f aca="false">Presupuesto!J655</f>
        <v>480</v>
      </c>
      <c r="I56" s="29" t="n">
        <f aca="false">ROUND(D56*H56,2)</f>
        <v>3360</v>
      </c>
      <c r="J56" s="44" t="n">
        <f aca="false">Presupuesto!K655</f>
        <v>3360</v>
      </c>
      <c r="K56" s="29" t="n">
        <f aca="false">J56-I56</f>
        <v>0</v>
      </c>
      <c r="L56" s="26" t="s">
        <v>1316</v>
      </c>
    </row>
    <row r="57" customFormat="false" ht="15" hidden="false" customHeight="true" outlineLevel="0" collapsed="false">
      <c r="A57" s="41" t="str">
        <f aca="false">Presupuesto!A667</f>
        <v>15.01</v>
      </c>
      <c r="B57" s="41" t="str">
        <f aca="false">Presupuesto!B667</f>
        <v>m2</v>
      </c>
      <c r="C57" s="41" t="str">
        <f aca="false">Presupuesto!C667</f>
        <v>PINTURA PLÁSTICA LISA EN PAREDES Y TECHOS</v>
      </c>
      <c r="D57" s="42" t="n">
        <v>818.95</v>
      </c>
      <c r="E57" s="42" t="n">
        <v>1038.62</v>
      </c>
      <c r="F57" s="29" t="n">
        <f aca="false">E57-D57</f>
        <v>219.67</v>
      </c>
      <c r="G57" s="43" t="n">
        <f aca="false">IF(D57=0,"-",F57/D57)</f>
        <v>0.268233713901947</v>
      </c>
      <c r="H57" s="44" t="n">
        <f aca="false">Presupuesto!J671</f>
        <v>6.37</v>
      </c>
      <c r="I57" s="29" t="n">
        <f aca="false">ROUND(D57*H57,2)</f>
        <v>5216.71</v>
      </c>
      <c r="J57" s="44" t="n">
        <f aca="false">Presupuesto!K671</f>
        <v>6616.01</v>
      </c>
      <c r="K57" s="29" t="n">
        <f aca="false">J57-I57</f>
        <v>1399.3</v>
      </c>
      <c r="L57" s="26" t="s">
        <v>1317</v>
      </c>
    </row>
    <row r="58" customFormat="false" ht="15" hidden="false" customHeight="true" outlineLevel="0" collapsed="false">
      <c r="A58" s="41" t="str">
        <f aca="false">Presupuesto!A672</f>
        <v>15.02</v>
      </c>
      <c r="B58" s="41" t="str">
        <f aca="false">Presupuesto!B672</f>
        <v>m²</v>
      </c>
      <c r="C58" s="41" t="str">
        <f aca="false">Presupuesto!C672</f>
        <v>PINTURA AL SILICATO EN EXTERIORES (SI EL REVOCO NO VA COLOREADO)</v>
      </c>
      <c r="D58" s="42" t="n">
        <v>196.3</v>
      </c>
      <c r="E58" s="42" t="n">
        <v>316.1</v>
      </c>
      <c r="F58" s="29" t="n">
        <f aca="false">E58-D58</f>
        <v>119.8</v>
      </c>
      <c r="G58" s="43" t="n">
        <f aca="false">IF(D58=0,"-",F58/D58)</f>
        <v>0.610290371879776</v>
      </c>
      <c r="H58" s="44" t="n">
        <f aca="false">Presupuesto!J675</f>
        <v>7.55</v>
      </c>
      <c r="I58" s="29" t="n">
        <f aca="false">ROUND(D58*H58,2)</f>
        <v>1482.07</v>
      </c>
      <c r="J58" s="44" t="n">
        <f aca="false">Presupuesto!K675</f>
        <v>2386.56</v>
      </c>
      <c r="K58" s="29" t="n">
        <f aca="false">J58-I58</f>
        <v>904.49</v>
      </c>
      <c r="L58" s="26" t="s">
        <v>1318</v>
      </c>
    </row>
    <row r="60" customFormat="false" ht="15" hidden="false" customHeight="true" outlineLevel="0" collapsed="false">
      <c r="C60" s="3" t="s">
        <v>1319</v>
      </c>
      <c r="I60" s="45" t="n">
        <f aca="false">SUM(I6:I58)</f>
        <v>200559.85</v>
      </c>
      <c r="J60" s="45" t="n">
        <f aca="false">SUM(J6:J58)</f>
        <v>231044.88</v>
      </c>
      <c r="K60" s="45" t="n">
        <f aca="false">SUM(K6:K58)</f>
        <v>30485.03</v>
      </c>
    </row>
    <row r="62" customFormat="false" ht="15" hidden="false" customHeight="true" outlineLevel="0" collapsed="false">
      <c r="C62" s="11" t="s">
        <v>1320</v>
      </c>
      <c r="J62" s="42" t="n">
        <v>359203.02</v>
      </c>
    </row>
    <row r="63" customFormat="false" ht="15" hidden="false" customHeight="true" outlineLevel="0" collapsed="false">
      <c r="C63" s="11" t="s">
        <v>1321</v>
      </c>
      <c r="J63" s="44" t="n">
        <f aca="false">Resumen!C48</f>
        <v>378523</v>
      </c>
    </row>
    <row r="64" customFormat="false" ht="15" hidden="false" customHeight="true" outlineLevel="0" collapsed="false">
      <c r="C64" s="3" t="s">
        <v>1264</v>
      </c>
      <c r="J64" s="45" t="n">
        <f aca="false">J63-J62</f>
        <v>19319.9799999999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2026-10-11T17:39:11Z</dcterms:created>
  <dc:creator>openpyxl</dc:creator>
  <dc:description/>
  <dc:language>en-US</dc:language>
  <cp:lastModifiedBy/>
  <dcterms:modified xsi:type="dcterms:W3CDTF">2026-10-24T09:49:52Z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