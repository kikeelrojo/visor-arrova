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<sst xmlns="http://schemas.openxmlformats.org/spreadsheetml/2006/main" count="3081" uniqueCount="1316">
  <si>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</si>
  <si>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</si>
  <si>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</si>
  <si>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</si>
  <si>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</si>
  <si>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</si>
  <si>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</si>
  <si>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</si>
  <si>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</si>
  <si>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</si>
  <si>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</si>
  <si>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</si>
  <si>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</si>
  <si>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</si>
  <si>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</si>
  <si>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</si>
  <si>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</si>
  <si>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</si>
  <si>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</si>
  <si>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</si>
  <si>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</si>
  <si>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</si>
  <si>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</si>
  <si>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</si>
  <si>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</si>
  <si>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</si>
  <si>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</si>
  <si>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</si>
  <si>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</si>
  <si>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</si>
  <si>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</si>
  <si>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</si>
  <si>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</si>
  <si>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</si>
  <si>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</si>
  <si>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</si>
  <si>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</si>
  <si>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</si>
  <si>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</si>
  <si>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</si>
  <si>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</si>
  <si>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</si>
  <si>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</si>
  <si>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</si>
  <si>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</si>
  <si>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</si>
  <si>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</si>
  <si>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</si>
  <si>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</si>
  <si>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</si>
  <si>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</si>
  <si>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</si>
  <si>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</si>
  <si>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</si>
  <si>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</si>
  <si>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</si>
  <si>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</si>
  <si>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</si>
  <si>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</si>
  <si>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</si>
  <si>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</si>
  <si>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</si>
  <si>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</si>
  <si>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</si>
  <si>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</si>
  <si>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</si>
  <si>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</si>
  <si>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</si>
  <si>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</si>
  <si>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</si>
  <si>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</si>
  <si>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</si>
  <si>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</si>
  <si>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</si>
  <si>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</si>
  <si>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</si>
  <si>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</si>
  <si>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</si>
  <si>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</si>
  <si>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</si>
  <si>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</si>
  <si>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</si>
  <si>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</si>
  <si>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</si>
  <si>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</si>
  <si>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</si>
  <si>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</si>
  <si>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</si>
  <si>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</si>
  <si>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</si>
  <si>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</si>
  <si>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</si>
  <si>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</si>
  <si>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</si>
  <si>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</si>
  <si>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</si>
  <si>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</si>
  <si>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</si>
  <si>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</si>
  <si>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</si>
  <si>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</si>
  <si>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</si>
  <si>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</si>
  <si>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</si>
  <si>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</si>
  <si>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</si>
  <si>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</si>
  <si>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</si>
  <si>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</si>
  <si>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</si>
  <si>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</si>
  <si>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</si>
  <si>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</si>
  <si>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</si>
  <si>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</si>
  <si>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</si>
  <si>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</si>
  <si>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</si>
  <si>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</si>
  <si>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</si>
  <si>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</si>
  <si>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</si>
  <si>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</si>
  <si>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</si>
  <si>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</si>
  <si>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</si>
  <si>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</si>
  <si>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</si>
  <si>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</si>
  <si>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</si>
  <si>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</si>
  <si>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</si>
  <si>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</si>
  <si>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</si>
  <si>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</si>
  <si>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</si>
  <si>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</si>
  <si>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</si>
  <si>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</si>
  <si>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</si>
  <si>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</si>
  <si>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</si>
  <si>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</si>
  <si>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</si>
  <si>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</si>
  <si>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</si>
  <si>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</si>
  <si>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</si>
  <si>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</si>
  <si>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</si>
  <si>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</si>
  <si>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</si>
  <si>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</si>
  <si>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</si>
  <si>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</si>
  <si>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</si>
  <si>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</si>
  <si>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</si>
  <si>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</si>
  <si>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</si>
  <si>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</si>
  <si>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</si>
  <si>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</si>
  <si>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</si>
  <si>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</si>
  <si>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</si>
  <si>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</si>
  <si>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</si>
  <si>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</si>
  <si>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</si>
  <si>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</si>
  <si>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</si>
  <si>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</si>
  <si>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</si>
  <si>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</si>
  <si>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</si>
  <si>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</si>
  <si>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</si>
  <si>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</si>
  <si>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</si>
  <si>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</si>
  <si>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</si>
  <si>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</si>
  <si>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</si>
  <si>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</si>
  <si>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</si>
  <si>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</si>
  <si>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</si>
  <si>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</si>
  <si>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</si>
  <si>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</si>
  <si>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</si>
  <si>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</si>
  <si>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</si>
  <si>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</si>
  <si>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</si>
  <si>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</si>
  <si>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</si>
  <si>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</si>
  <si>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</si>
  <si>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</si>
  <si>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</si>
  <si>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</si>
  <si>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</si>
  <si>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</si>
  <si>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</si>
  <si>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</si>
  <si>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</si>
  <si>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</si>
  <si>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</si>
  <si>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</si>
  <si>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</si>
  <si>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</si>
  <si>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</si>
  <si>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</si>
  <si>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</si>
  <si>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</si>
  <si>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</si>
  <si>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</si>
  <si>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</si>
  <si>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</si>
  <si>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</si>
  <si>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</si>
  <si>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</si>
  <si>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</si>
  <si>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</si>
  <si>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</si>
  <si>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</si>
  <si>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</si>
  <si>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</si>
  <si>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</si>
  <si>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</si>
  <si>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</si>
  <si>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</si>
  <si>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</si>
  <si>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</si>
  <si>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</si>
  <si>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</si>
  <si>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</si>
  <si>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</si>
  <si>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</si>
  <si>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</si>
  <si>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</si>
  <si>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</si>
  <si>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</si>
  <si>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</si>
  <si>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</si>
  <si>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</si>
  <si>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</si>
  <si>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</si>
  <si>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</si>
  <si>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</si>
  <si>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</si>
  <si>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</si>
  <si>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</si>
  <si>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</si>
  <si>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</si>
  <si>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</si>
  <si>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</si>
  <si>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</si>
  <si>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</si>
  <si>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</si>
  <si>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</si>
  <si>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</si>
  <si>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</si>
  <si>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</si>
  <si>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</si>
  <si>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</si>
  <si>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</si>
  <si>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</si>
  <si>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</si>
  <si>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</si>
  <si>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</si>
  <si>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</si>
  <si>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</si>
  <si>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</si>
  <si>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</si>
  <si>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</si>
  <si>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</si>
  <si>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</si>
  <si>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</si>
  <si>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</si>
  <si>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</si>
  <si>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</si>
  <si>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</si>
  <si>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</si>
  <si>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</si>
  <si>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</si>
  <si>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</si>
  <si>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</si>
  <si>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</si>
  <si>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</si>
  <si>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</si>
  <si>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</si>
  <si>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</si>
  <si>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</si>
  <si>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</si>
  <si>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</si>
  <si>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</si>
  <si>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</si>
  <si>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</si>
  <si>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</si>
  <si>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</si>
  <si>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</si>
  <si>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</si>
  <si>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</si>
  <si>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</si>
  <si>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</si>
  <si>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</si>
  <si>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</si>
  <si>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</si>
  <si>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</si>
  <si>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</si>
  <si>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</si>
  <si>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</si>
  <si>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</si>
  <si>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</si>
  <si>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</si>
  <si>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</si>
  <si>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</si>
  <si>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</si>
  <si>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</si>
  <si>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</si>
  <si>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</si>
  <si>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</si>
  <si>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</si>
  <si>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</si>
  <si>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</si>
  <si>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</si>
  <si>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</si>
  <si>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</si>
  <si>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</si>
  <si>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</si>
  <si>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</si>
  <si>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</si>
  <si>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</si>
  <si>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</si>
  <si>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</si>
  <si>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</si>
  <si>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</si>
  <si>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</si>
  <si>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</si>
  <si>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</si>
  <si>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</si>
  <si>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</si>
  <si>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</si>
  <si>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</si>
  <si>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</si>
  <si>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</si>
  <si>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</si>
  <si>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</si>
  <si>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</si>
  <si>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</si>
  <si>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</si>
  <si>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</si>
  <si>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</si>
  <si>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</si>
  <si>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</si>
  <si>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</si>
  <si>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</si>
  <si>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</si>
  <si>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</si>
  <si>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</si>
  <si>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</si>
  <si>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</si>
  <si>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</si>
  <si>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</si>
  <si>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</si>
  <si>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</si>
  <si>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</si>
  <si>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</si>
  <si>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</si>
  <si>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</si>
  <si>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</si>
  <si>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</si>
  <si>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</si>
  <si>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</si>
  <si>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</si>
  <si>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</si>
  <si>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</si>
  <si>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</si>
  <si>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</si>
  <si>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</si>
  <si>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</si>
  <si>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</si>
  <si>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</si>
  <si>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</si>
  <si>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</si>
  <si>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</si>
  <si>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</si>
  <si>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</si>
  <si>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</si>
  <si>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</si>
  <si>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</si>
  <si>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</si>
  <si>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</si>
  <si>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</si>
  <si>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</si>
  <si>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</si>
  <si>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</si>
  <si>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</si>
  <si>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</si>
  <si>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</si>
  <si>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</si>
  <si>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</si>
  <si>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</si>
  <si>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</si>
  <si>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</si>
  <si>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</si>
  <si>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</si>
  <si>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</si>
  <si>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</si>
  <si>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</si>
  <si>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</si>
  <si>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</si>
  <si>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</si>
  <si>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</si>
  <si>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</si>
  <si>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</si>
  <si>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</si>
  <si>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</si>
  <si>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</si>
  <si>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</si>
  <si>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</si>
  <si>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</si>
  <si>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</si>
  <si>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</si>
  <si>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</si>
  <si>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</si>
  <si>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</si>
  <si>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</si>
  <si>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</si>
  <si>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</si>
  <si>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</si>
  <si>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</si>
  <si>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</si>
  <si>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</si>
  <si>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</si>
  <si>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</si>
  <si>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</si>
  <si>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</si>
  <si>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</si>
  <si>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</si>
  <si>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</si>
  <si>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</si>
  <si>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</si>
  <si>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</si>
  <si>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</si>
  <si>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</si>
  <si>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</si>
  <si>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</si>
  <si>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</si>
  <si>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</si>
  <si>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</si>
  <si>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</si>
  <si>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</si>
  <si>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</si>
  <si>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</si>
  <si>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</si>
  <si>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</si>
  <si>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</si>
  <si>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</si>
  <si>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</si>
  <si>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</si>
  <si>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</si>
  <si>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</si>
  <si>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</si>
  <si>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</si>
  <si>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</si>
  <si>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</si>
  <si>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</si>
  <si>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</si>
  <si>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</si>
  <si>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</si>
  <si>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</si>
  <si>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</si>
  <si>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</si>
  <si>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</si>
  <si>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</si>
  <si>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</si>
  <si>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</si>
  <si>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</si>
  <si>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</si>
  <si>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</si>
  <si>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</si>
  <si>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</si>
  <si>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</si>
  <si>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</si>
  <si>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</si>
  <si>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</si>
  <si>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</si>
  <si>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</si>
  <si>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</si>
  <si>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</si>
  <si>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</si>
  <si>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</si>
  <si>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</si>
  <si>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</si>
  <si>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</si>
  <si>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</si>
  <si>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</si>
  <si>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</si>
  <si>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</si>
  <si>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</si>
  <si>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</si>
  <si>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</si>
  <si>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</si>
  <si>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</si>
  <si>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</si>
  <si>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</si>
  <si>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</si>
  <si>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</si>
  <si>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</si>
  <si>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</si>
  <si>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</si>
  <si>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</si>
  <si>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</si>
  <si>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</si>
  <si>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</si>
  <si>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</si>
  <si>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</si>
  <si>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</si>
  <si>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</si>
  <si>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</si>
  <si>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</si>
  <si>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</si>
  <si>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</si>
  <si>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</si>
  <si>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</si>
  <si>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</si>
  <si>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</si>
  <si>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</si>
  <si>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</si>
  <si>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</si>
  <si>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</si>
  <si>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</si>
  <si>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</si>
  <si>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</si>
  <si>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</si>
  <si>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</si>
  <si>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</si>
  <si>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</si>
  <si>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</si>
  <si>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</si>
  <si>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</si>
  <si>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</si>
  <si>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</si>
  <si>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</si>
  <si>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</si>
  <si>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</si>
  <si>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</si>
  <si>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</si>
  <si>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</si>
  <si>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</si>
  <si>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</si>
  <si>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</si>
  <si>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</si>
  <si>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</si>
  <si>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</si>
  <si>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</si>
  <si>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</si>
  <si>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</si>
  <si>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</si>
  <si>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</si>
  <si>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</si>
  <si>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</si>
  <si>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</si>
  <si>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</si>
  <si>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</si>
  <si>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</si>
  <si>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</si>
  <si>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</si>
  <si>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</si>
  <si>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</si>
  <si>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</si>
  <si>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</si>
  <si>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</si>
  <si>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</si>
  <si>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</si>
  <si>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</si>
  <si>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</si>
  <si>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</si>
  <si>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</si>
  <si>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</si>
  <si>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</si>
  <si>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</si>
  <si>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</si>
  <si>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</si>
  <si>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</si>
  <si>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</si>
  <si>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</si>
  <si>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</si>
  <si>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</si>
  <si>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</si>
  <si>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</si>
  <si>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</si>
  <si>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</si>
  <si>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</si>
  <si>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</si>
  <si>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</si>
  <si>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</si>
  <si>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</si>
  <si>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</si>
  <si>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</si>
  <si>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</si>
  <si>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</si>
  <si>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</si>
  <si>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</si>
  <si>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</si>
  <si>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</si>
  <si>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</si>
  <si>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</si>
  <si>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</si>
  <si>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</si>
  <si>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</si>
  <si>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</si>
  <si>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</si>
  <si>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</si>
  <si>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</si>
  <si>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</si>
  <si>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</si>
  <si>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</si>
  <si>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</si>
  <si>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</si>
  <si>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</si>
  <si>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</si>
  <si>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</si>
  <si>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</si>
  <si>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</si>
  <si>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</si>
  <si>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</si>
  <si>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</si>
  <si>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</si>
  <si>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</si>
  <si>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</si>
  <si>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</si>
  <si>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</si>
  <si>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</si>
  <si>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</si>
  <si>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</si>
  <si>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</si>
  <si>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</si>
  <si>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</si>
  <si>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</si>
  <si>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</si>
  <si>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</si>
  <si>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</si>
  <si>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</si>
  <si>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</si>
  <si>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</si>
  <si>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</si>
  <si>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</si>
  <si>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</si>
  <si>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</si>
  <si>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</si>
  <si>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</si>
  <si>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</si>
  <si>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</si>
  <si>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</si>
  <si>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</si>
  <si>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</si>
  <si>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</si>
  <si>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</si>
  <si>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</si>
  <si>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</si>
  <si>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</si>
  <si>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</si>
  <si>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</si>
  <si>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</si>
  <si>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</si>
  <si>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</si>
  <si>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</si>
  <si>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</si>
  <si>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</si>
  <si>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</si>
  <si>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</si>
  <si>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</si>
  <si>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</si>
  <si>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</si>
  <si>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</si>
  <si>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</si>
  <si>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</si>
  <si>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</si>
  <si>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</si>
  <si>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</si>
  <si>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</si>
  <si>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</si>
  <si>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</si>
  <si>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</si>
  <si>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</si>
  <si>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</si>
  <si>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</si>
  <si>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</si>
  <si>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</si>
  <si>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</si>
  <si>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</si>
  <si>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</si>
  <si>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</si>
  <si>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</si>
  <si>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</si>
  <si>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</si>
  <si>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</si>
  <si>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</si>
  <si>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</si>
  <si>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</si>
  <si>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</si>
  <si>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</si>
  <si>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</si>
  <si>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</si>
  <si>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</si>
  <si>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</si>
  <si>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</si>
  <si>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</si>
  <si>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</si>
  <si>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</si>
  <si>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</si>
  <si>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</si>
  <si>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</si>
  <si>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</si>
  <si>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</si>
  <si>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</si>
  <si>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</si>
  <si>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</si>
  <si>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</si>
  <si>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</si>
  <si>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</si>
  <si>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</si>
  <si>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</si>
  <si>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</si>
  <si>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</si>
  <si>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</si>
  <si>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</si>
  <si>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</si>
  <si>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</si>
  <si>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</si>
  <si>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</si>
  <si>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</si>
  <si>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</si>
  <si>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</si>
  <si>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</si>
  <si>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</si>
  <si>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</si>
  <si>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</si>
  <si>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</si>
  <si>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</si>
  <si>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</si>
  <si>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</si>
  <si>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</si>
  <si>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</si>
  <si>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</si>
  <si>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</si>
  <si>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</si>
  <si>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</si>
  <si>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</si>
  <si>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</si>
  <si>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</si>
  <si>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</si>
  <si>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</si>
  <si>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</si>
  <si>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</si>
  <si>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</si>
  <si>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</si>
  <si>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</si>
  <si>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</si>
  <si>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</si>
  <si>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</si>
  <si>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</si>
  <si>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</si>
  <si>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</si>
  <si>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</si>
  <si>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</si>
  <si>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</si>
  <si>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</si>
  <si>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</si>
  <si>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</si>
  <si>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</si>
  <si>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</si>
  <si>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</si>
  <si>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</si>
  <si>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</si>
  <si>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</si>
  <si>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</si>
  <si>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</si>
  <si>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</si>
  <si>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</si>
  <si>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</si>
  <si>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</si>
  <si>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</si>
  <si>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</si>
  <si>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</si>
  <si>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</si>
  <si>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</si>
  <si>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</si>
  <si>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</si>
  <si>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</si>
  <si>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</si>
  <si>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</si>
  <si>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</si>
  <si>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</si>
  <si>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</si>
  <si>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</si>
  <si>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</si>
  <si>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</si>
  <si>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</si>
  <si>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</si>
  <si>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</si>
  <si>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</si>
  <si>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</si>
  <si>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</si>
  <si>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</si>
  <si>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</si>
  <si>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</si>
  <si>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</si>
  <si>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</si>
  <si>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</si>
  <si>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</si>
  <si>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</si>
  <si>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</si>
  <si>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</si>
  <si>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</si>
  <si>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</si>
  <si>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</si>
  <si>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</si>
  <si>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</si>
  <si>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</si>
  <si>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</si>
  <si>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</si>
  <si>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</si>
  <si>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</si>
  <si>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</si>
  <si>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</si>
  <si>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</si>
  <si>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</si>
  <si>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</si>
  <si>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</si>
  <si>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</si>
  <si>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</si>
  <si>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</si>
  <si>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</si>
  <si>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</si>
  <si>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</si>
  <si>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</si>
  <si>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</si>
  <si>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</si>
  <si>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</si>
  <si>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</si>
  <si>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</si>
  <si>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</si>
  <si>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</si>
  <si>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</si>
  <si>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</si>
  <si>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</si>
  <si>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</si>
  <si>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</si>
  <si>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</si>
  <si>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</si>
  <si>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</si>
  <si>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</si>
  <si>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</si>
  <si>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</si>
  <si>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</si>
  <si>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</si>
  <si>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</si>
  <si>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</si>
  <si>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</si>
  <si>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</si>
  <si>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</si>
  <si>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</si>
  <si>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</si>
  <si>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</si>
  <si>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</si>
  <si>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</si>
  <si>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</si>
  <si>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</si>
  <si>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</si>
  <si>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</si>
  <si>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</si>
  <si>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</si>
  <si>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</si>
  <si>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</si>
  <si>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</si>
  <si>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</si>
  <si>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</si>
  <si>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</si>
  <si>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</si>
  <si>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</si>
  <si>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</si>
  <si>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</si>
  <si>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</si>
  <si>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</si>
  <si>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</si>
  <si>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</si>
  <si>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</si>
  <si>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</si>
  <si>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</si>
  <si>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</si>
  <si>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</si>
  <si>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</si>
  <si>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</si>
  <si>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</si>
  <si>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</si>
  <si>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</si>
  <si>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</si>
  <si>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</si>
  <si>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</si>
  <si>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</si>
  <si>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</si>
  <si>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</si>
  <si>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</si>
  <si>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</si>
  <si>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</si>
  <si>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</si>
  <si>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</si>
  <si>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</si>
  <si>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</si>
  <si>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</si>
  <si>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</si>
  <si>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</si>
  <si>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</si>
  <si>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</si>
  <si>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</si>
  <si>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</si>
  <si>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</si>
  <si>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</si>
  <si>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</si>
  <si>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</si>
  <si>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</si>
  <si>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</si>
  <si>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</si>
  <si>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</si>
  <si>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</si>
  <si>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</si>
  <si>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</si>
  <si>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</si>
  <si>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</si>
  <si>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</si>
  <si>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</si>
  <si>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</si>
  <si>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</si>
  <si>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</si>
  <si>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</si>
  <si>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</si>
  <si>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</si>
  <si>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</si>
  <si>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</si>
  <si>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</si>
  <si>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</si>
  <si>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</si>
  <si>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</si>
  <si>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</si>
  <si>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</si>
  <si>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</si>
  <si>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</si>
  <si>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</si>
  <si>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</si>
  <si>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</si>
  <si>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</si>
  <si>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</si>
  <si>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</si>
  <si>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</si>
  <si>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</si>
  <si>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</si>
  <si>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</si>
  <si>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</si>
  <si>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</si>
  <si>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</si>
  <si>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</si>
  <si>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</si>
  <si>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</si>
  <si>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</si>
  <si>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</si>
  <si>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</si>
  <si>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</si>
  <si>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</si>
  <si>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</si>
  <si>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</si>
  <si>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</si>
  <si>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</si>
  <si>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</si>
  <si>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</si>
  <si>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</si>
  <si>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</si>
  <si>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</si>
  <si>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</si>
  <si>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</si>
  <si>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</si>
  <si>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</si>
  <si>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</si>
  <si>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</si>
  <si>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</si>
  <si>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</si>
  <si>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</si>
  <si>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</si>
  <si>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</si>
  <si>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</si>
  <si>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</si>
  <si>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</si>
  <si>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</si>
  <si>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</si>
  <si>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</si>
  <si>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</si>
  <si>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</si>
  <si>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</si>
  <si>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</si>
  <si>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</si>
  <si>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</si>
  <si>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</si>
  <si>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</si>
  <si>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</si>
  <si>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</si>
  <si>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</si>
  <si>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</si>
  <si>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</si>
  <si>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</si>
  <si>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</si>
  <si>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</si>
  <si>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</si>
  <si>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</si>
  <si>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</si>
  <si>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</si>
  <si>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</si>
  <si>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</si>
  <si>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</si>
  <si>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</si>
  <si>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</si>
  <si>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</si>
  <si>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</si>
  <si>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</si>
  <si>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</si>
  <si>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</si>
  <si>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</si>
  <si>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</si>
  <si>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</si>
  <si>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</si>
  <si>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</si>
  <si>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</si>
  <si>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</si>
  <si>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</si>
  <si>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</si>
  <si>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</si>
  <si>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</si>
  <si>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</si>
  <si>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</si>
  <si>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</si>
  <si>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</si>
  <si>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</si>
  <si>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</si>
  <si>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</si>
  <si>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</si>
  <si>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</si>
  <si>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</si>
  <si>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</si>
  <si>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</si>
  <si>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</si>
  <si>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</si>
  <si>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</si>
  <si>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</si>
  <si>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</si>
  <si>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</si>
  <si>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</si>
  <si>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</si>
  <si>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</si>
  <si>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</si>
  <si>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</si>
  <si>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</si>
  <si>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</si>
  <si>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</si>
  <si>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</si>
  <si>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</si>
  <si>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</si>
  <si>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</si>
  <si>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</si>
  <si>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</si>
  <si>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</si>
  <si>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</si>
  <si>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</si>
  <si>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</si>
  <si>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</si>
  <si>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</si>
  <si>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</si>
  <si>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</si>
  <si>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</si>
  <si>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</si>
  <si>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</si>
  <si>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</si>
  <si>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</si>
  <si>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</si>
  <si>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</si>
  <si>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</si>
  <si>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</si>
  <si>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</si>
  <si>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</si>
  <si>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</si>
  <si>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</si>
  <si>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</si>
  <si>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</si>
  <si>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</si>
  <si>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</si>
  <si>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</si>
  <si>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</si>
  <si>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</si>
  <si>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</si>
  <si>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</si>
  <si>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</si>
  <si>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</si>
  <si>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</si>
  <si>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</si>
  <si>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</si>
  <si>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</si>
  <si>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</si>
  <si>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</si>
  <si>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</si>
  <si>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</si>
  <si>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</si>
  <si>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</si>
  <si>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</si>
  <si>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</si>
  <si>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</si>
  <si>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</si>
  <si>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</si>
  <si>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</si>
  <si>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</si>
  <si>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</si>
  <si>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</si>
  <si>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</si>
  <si>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</si>
  <si>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</si>
  <si>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</si>
  <si>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</si>
  <si>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</si>
  <si>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</si>
  <si>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</si>
  <si>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</si>
  <si>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</si>
  <si>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</si>
  <si>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</si>
  <si>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</si>
  <si>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</si>
  <si>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</si>
  <si>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</si>
  <si>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</si>
  <si>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</si>
  <si>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</si>
  <si>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</si>
  <si>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</si>
  <si>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</si>
  <si>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</si>
  <si>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</si>
  <si>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</si>
  <si>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</si>
  <si>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</si>
  <si>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</si>
  <si>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</si>
  <si>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</si>
  <si>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</si>
  <si>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</si>
  <si>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</si>
  <si>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</si>
  <si>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</si>
  <si>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</si>
  <si>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</si>
  <si>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</si>
  <si>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</si>
  <si>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</si>
  <si>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</si>
  <si>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</si>
  <si>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</si>
  <si>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</si>
  <si>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</si>
  <si>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</si>
  <si>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</si>
  <si>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</si>
  <si>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</si>
  <si>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</si>
  <si>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</si>
  <si>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</si>
  <si>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</si>
  <si>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</si>
  <si>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</si>
  <si>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</si>
  <si>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</si>
  <si>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</si>
  <si>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</si>
  <si>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</si>
  <si>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</si>
  <si>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</si>
  <si>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</si>
  <si>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</si>
  <si>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</si>
  <si>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</si>
  <si>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</si>
  <si>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</si>
  <si>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</si>
  <si>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</si>
  <si>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</si>
  <si>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</si>
  <si>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</si>
  <si>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</si>
  <si>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</si>
  <si>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</si>
  <si>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</si>
  <si>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</si>
  <si>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</si>
  <si>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</si>
  <si>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</si>
  <si>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</si>
  <si>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</si>
  <si>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</si>
  <si>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</si>
  <si>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</si>
  <si>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</si>
  <si>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</si>
  <si>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</si>
  <si>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</si>
  <si>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</si>
  <si>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</si>
  <si>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</si>
  <si>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</si>
  <si>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</si>
  <si>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</si>
  <si>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</si>
  <si>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</si>
  <si>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</si>
  <si>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</si>
  <si>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</si>
  <si>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</si>
  <si>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</si>
  <si>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</si>
  <si>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</si>
  <si>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</si>
  <si>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</si>
  <si>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</si>
  <si>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</si>
  <si>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</si>
  <si>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</si>
  <si>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</si>
  <si>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</si>
  <si>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</si>
  <si>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</si>
  <si>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</si>
  <si>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</si>
  <si>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</si>
  <si>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</si>
  <si>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</si>
  <si>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</si>
  <si>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</si>
  <si>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</si>
  <si>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</si>
  <si>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</si>
  <si>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</si>
  <si>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</si>
  <si>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</si>
  <si>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(lodosa_bim_20261021-2001.ifc,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(322,29 m², con 13,43 m² de cantos de losas y faldones que quedaban vistos;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</si>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</sst>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0.00248239800897721</v>
      </c>
    </row>
    <row r="8" customFormat="false" ht="15" hidden="false" customHeight="true" outlineLevel="0" collapsed="false">
      <c r="A8" s="3" t="s">
        <v>11</v>
      </c>
      <c r="B8" s="3" t="s">
        <v>12</v>
      </c>
      <c r="C8" s="8" t="n">
        <f aca="false">Presupuesto!K61</f>
        <v>9292.58</v>
      </c>
      <c r="D8" s="9" t="n">
        <f aca="false">IF($C$50=0,0,C8/$C$50)</f>
        <v>0.02420046379591</v>
      </c>
    </row>
    <row r="9" customFormat="false" ht="15" hidden="false" customHeight="true" outlineLevel="0" collapsed="false">
      <c r="A9" s="3" t="s">
        <v>13</v>
      </c>
      <c r="B9" s="3" t="s">
        <v>14</v>
      </c>
      <c r="C9" s="8" t="n">
        <f aca="false">Presupuesto!K88</f>
        <v>9643.5</v>
      </c>
      <c r="D9" s="9" t="n">
        <f aca="false">IF($C$50=0,0,C9/$C$50)</f>
        <v>0.0251143571124336</v>
      </c>
    </row>
    <row r="10" customFormat="false" ht="15" hidden="false" customHeight="true" outlineLevel="0" collapsed="false">
      <c r="A10" s="3" t="s">
        <v>15</v>
      </c>
      <c r="B10" s="3" t="s">
        <v>16</v>
      </c>
      <c r="C10" s="8" t="n">
        <f aca="false">Presupuesto!K112</f>
        <v>1450</v>
      </c>
      <c r="D10" s="9" t="n">
        <f aca="false">IF($C$50=0,0,C10/$C$50)</f>
        <v>0.0037762034337148</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0.00398688954253379</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0.0130889200852484</v>
      </c>
    </row>
    <row r="17" customFormat="false" ht="15" hidden="false" customHeight="true" outlineLevel="0" collapsed="false">
      <c r="A17" s="3" t="s">
        <v>26</v>
      </c>
      <c r="B17" s="3" t="s">
        <v>27</v>
      </c>
      <c r="C17" s="8" t="n">
        <f aca="false">Presupuesto!K212</f>
        <v>6481.94</v>
      </c>
      <c r="D17" s="9" t="n">
        <f aca="false">IF($C$50=0,0,C17/$C$50)</f>
        <v>0.0168807752311264</v>
      </c>
    </row>
    <row r="18" customFormat="false" ht="15" hidden="false" customHeight="true" outlineLevel="0" collapsed="false">
      <c r="A18" s="3" t="s">
        <v>28</v>
      </c>
      <c r="B18" s="3" t="s">
        <v>29</v>
      </c>
      <c r="C18" s="8" t="n">
        <f aca="false">Presupuesto!K286</f>
        <v>71882.81</v>
      </c>
      <c r="D18" s="9" t="n">
        <f aca="false">IF($C$50=0,0,C18/$C$50)</f>
        <v>0.187202837204875</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56216.97</v>
      </c>
      <c r="D21" s="9" t="n">
        <f aca="false">IF($C$50=0,0,C21/$C$50)</f>
        <v>0.146404631135891</v>
      </c>
    </row>
    <row r="22" customFormat="false" ht="15" hidden="false" customHeight="true" outlineLevel="0" collapsed="false">
      <c r="A22" s="3" t="s">
        <v>36</v>
      </c>
      <c r="B22" s="3" t="s">
        <v>37</v>
      </c>
      <c r="C22" s="8" t="n">
        <f aca="false">Presupuesto!K422</f>
        <v>14386.83</v>
      </c>
      <c r="D22" s="9" t="n">
        <f aca="false">IF($C$50=0,0,C22/$C$50)</f>
        <v>0.0374673081698422</v>
      </c>
    </row>
    <row r="23" customFormat="false" ht="15" hidden="false" customHeight="true" outlineLevel="0" collapsed="false">
      <c r="A23" s="3" t="s">
        <v>38</v>
      </c>
      <c r="B23" s="3" t="s">
        <v>39</v>
      </c>
      <c r="C23" s="8" t="n">
        <f aca="false">Presupuesto!K458</f>
        <v>7531.54</v>
      </c>
      <c r="D23" s="9" t="n">
        <f aca="false">IF($C$50=0,0,C23/$C$50)</f>
        <v>0.0196142256614899</v>
      </c>
    </row>
    <row r="24" customFormat="false" ht="15" hidden="false" customHeight="true" outlineLevel="0" collapsed="false">
      <c r="A24" s="3" t="s">
        <v>40</v>
      </c>
      <c r="B24" s="3" t="s">
        <v>41</v>
      </c>
      <c r="C24" s="8" t="n">
        <f aca="false">Presupuesto!K473</f>
        <v>3675.43</v>
      </c>
      <c r="D24" s="9" t="n">
        <f aca="false">IF($C$50=0,0,C24/$C$50)</f>
        <v>0.00957184233543338</v>
      </c>
    </row>
    <row r="25" customFormat="false" ht="15" hidden="false" customHeight="true" outlineLevel="0" collapsed="false">
      <c r="A25" s="3" t="s">
        <v>42</v>
      </c>
      <c r="B25" s="3" t="s">
        <v>43</v>
      </c>
      <c r="C25" s="8" t="n">
        <f aca="false">Presupuesto!K514</f>
        <v>21764.7</v>
      </c>
      <c r="D25" s="9" t="n">
        <f aca="false">IF($C$50=0,0,C25/$C$50)</f>
        <v>0.0566813343957052</v>
      </c>
    </row>
    <row r="26" customFormat="false" ht="15" hidden="false" customHeight="true" outlineLevel="0" collapsed="false">
      <c r="A26" s="3" t="s">
        <v>44</v>
      </c>
      <c r="B26" s="3" t="s">
        <v>45</v>
      </c>
      <c r="C26" s="8" t="n">
        <f aca="false">Presupuesto!K545</f>
        <v>28920.71</v>
      </c>
      <c r="D26" s="9" t="n">
        <f aca="false">IF($C$50=0,0,C26/$C$50)</f>
        <v>0.0753175754534276</v>
      </c>
    </row>
    <row r="27" customFormat="false" ht="15" hidden="false" customHeight="true" outlineLevel="0" collapsed="false">
      <c r="A27" s="3" t="s">
        <v>46</v>
      </c>
      <c r="B27" s="3" t="s">
        <v>47</v>
      </c>
      <c r="C27" s="8" t="n">
        <f aca="false">Presupuesto!K564</f>
        <v>10570.72</v>
      </c>
      <c r="D27" s="9" t="n">
        <f aca="false">IF($C$50=0,0,C27/$C$50)</f>
        <v>0.0275290959729916</v>
      </c>
    </row>
    <row r="28" customFormat="false" ht="15" hidden="false" customHeight="true" outlineLevel="0" collapsed="false">
      <c r="A28" s="3" t="s">
        <v>48</v>
      </c>
      <c r="B28" s="3" t="s">
        <v>49</v>
      </c>
      <c r="C28" s="8" t="n">
        <f aca="false">Presupuesto!K632</f>
        <v>52569.01</v>
      </c>
      <c r="D28" s="9" t="n">
        <f aca="false">IF($C$50=0,0,C28/$C$50)</f>
        <v>0.13690432832344</v>
      </c>
    </row>
    <row r="29" customFormat="false" ht="15" hidden="false" customHeight="true" outlineLevel="0" collapsed="false">
      <c r="A29" s="3" t="s">
        <v>50</v>
      </c>
      <c r="B29" s="3" t="s">
        <v>51</v>
      </c>
      <c r="C29" s="8" t="n">
        <f aca="false">Presupuesto!K664</f>
        <v>20576.15</v>
      </c>
      <c r="D29" s="9" t="n">
        <f aca="false">IF($C$50=0,0,C29/$C$50)</f>
        <v>0.0535860195052627</v>
      </c>
    </row>
    <row r="30" customFormat="false" ht="15" hidden="false" customHeight="true" outlineLevel="0" collapsed="false">
      <c r="A30" s="3" t="s">
        <v>52</v>
      </c>
      <c r="B30" s="3" t="s">
        <v>53</v>
      </c>
      <c r="C30" s="8" t="n">
        <f aca="false">Presupuesto!K676</f>
        <v>9049.3</v>
      </c>
      <c r="D30" s="9" t="n">
        <f aca="false">IF($C$50=0,0,C30/$C$50)</f>
        <v>0.0235668949880796</v>
      </c>
    </row>
    <row r="31" customFormat="false" ht="15" hidden="false" customHeight="true" outlineLevel="0" collapsed="false">
      <c r="A31" s="3" t="s">
        <v>54</v>
      </c>
      <c r="B31" s="3" t="s">
        <v>55</v>
      </c>
      <c r="C31" s="8" t="n">
        <f aca="false">Presupuesto!K1073</f>
        <v>44091.19</v>
      </c>
      <c r="D31" s="9" t="n">
        <f aca="false">IF($C$50=0,0,C31/$C$50)</f>
        <v>0.114825726258325</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2249.5</v>
      </c>
    </row>
    <row r="36" customFormat="false" ht="15" hidden="false" customHeight="true" outlineLevel="0" collapsed="false">
      <c r="A36" s="11" t="s">
        <v>64</v>
      </c>
      <c r="B36" s="11" t="s">
        <v>65</v>
      </c>
      <c r="C36" s="12" t="n">
        <f aca="false">SUMIFS(Presupuesto!$K$5:$K$1399,Presupuesto!$M$5:$M$1399,"P",Presupuesto!$O$5:$O$1399,"16.05")</f>
        <v>12449.21</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0.00397022216186084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0.00716186930403659</v>
      </c>
    </row>
    <row r="42" customFormat="false" ht="15" hidden="false" customHeight="true" outlineLevel="0" collapsed="false">
      <c r="A42" s="3" t="s">
        <v>75</v>
      </c>
      <c r="B42" s="3" t="s">
        <v>16</v>
      </c>
      <c r="C42" s="8" t="n">
        <f aca="false">Presupuesto!K1397</f>
        <v>4095.6</v>
      </c>
      <c r="D42" s="9" t="n">
        <f aca="false">IF($C$50=0,0,C42/$C$50)</f>
        <v>0.0106660819193947</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362644.27</v>
      </c>
    </row>
    <row r="50" customFormat="false" ht="15" hidden="false" customHeight="true" outlineLevel="0" collapsed="false">
      <c r="B50" s="13" t="s">
        <v>87</v>
      </c>
      <c r="C50" s="14" t="n">
        <f aca="false">C11+C48</f>
        <v>383983.55</v>
      </c>
    </row>
    <row r="52" customFormat="false" ht="15" hidden="false" customHeight="true" outlineLevel="0" collapsed="false">
      <c r="B52" s="11" t="s">
        <v>88</v>
      </c>
      <c r="C52" s="15" t="n">
        <f aca="false">ROUND(C50*D52,2)</f>
        <v>19199.18</v>
      </c>
      <c r="D52" s="16" t="n">
        <v>0.05</v>
      </c>
    </row>
    <row r="53" customFormat="false" ht="15" hidden="false" customHeight="true" outlineLevel="0" collapsed="false">
      <c r="B53" s="11" t="s">
        <v>89</v>
      </c>
      <c r="C53" s="15" t="n">
        <f aca="false">ROUND(C50*D53,2)</f>
        <v>19199.18</v>
      </c>
      <c r="D53" s="16" t="n">
        <v>0.05</v>
      </c>
    </row>
    <row r="54" customFormat="false" ht="15" hidden="false" customHeight="true" outlineLevel="0" collapsed="false">
      <c r="B54" s="3" t="s">
        <v>90</v>
      </c>
      <c r="C54" s="17" t="n">
        <f aca="false">C50+C52+C53</f>
        <v>422381.91</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39890.87</v>
      </c>
      <c r="D56" s="16" t="n">
        <v>0.1</v>
      </c>
    </row>
    <row r="57" customFormat="false" ht="15" hidden="false" customHeight="true" outlineLevel="0" collapsed="false">
      <c r="B57" s="13" t="s">
        <v>93</v>
      </c>
      <c r="C57" s="14" t="n">
        <f aca="false">C54+C55+C56</f>
        <v>467202.15</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1093.4095050971</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366.74</v>
      </c>
      <c r="G317" s="28"/>
      <c r="H317" s="29" t="n">
        <f aca="false">IF(COUNT(D317:G317)=0,0,D317*IF(E317="",1,E317)*IF(F317="",1,F317)*IF(G317="",1,G317))</f>
        <v>366.74</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366.74</v>
      </c>
      <c r="J320" s="32" t="n">
        <v>4.8</v>
      </c>
      <c r="K320" s="31" t="n">
        <f aca="false">ROUND(I320*J320,2)</f>
        <v>1760.35</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56216.97</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322.29</v>
      </c>
      <c r="H519" s="29" t="n">
        <f aca="false">IF(COUNT(D519:G519)=0,0,D519*IF(E519="",1,E519)*IF(F519="",1,F519)*IF(G519="",1,G519))</f>
        <v>322.29</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322.29</v>
      </c>
      <c r="J522" s="32" t="n">
        <v>29.56</v>
      </c>
      <c r="K522" s="31" t="n">
        <f aca="false">ROUND(I522*J522,2)</f>
        <v>9526.89</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28920.71</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24.39</v>
      </c>
      <c r="H648" s="29" t="n">
        <f aca="false">IF(COUNT(D648:G648)=0,0,D648*IF(E648="",1,E648)*IF(F648="",1,F648)*IF(G648="",1,G648))</f>
        <v>24.39</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24.39</v>
      </c>
      <c r="J651" s="32" t="n">
        <v>215</v>
      </c>
      <c r="K651" s="31" t="n">
        <f aca="false">ROUND(I651*J651,2)</f>
        <v>5243.85</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20576.15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322.29</v>
      </c>
      <c r="H674" s="29" t="n">
        <f aca="false">IF(COUNT(D674:G674)=0,0,D674*IF(E674="",1,E674)*IF(F674="",1,F674)*IF(G674="",1,G674))</f>
        <v>322.29</v>
      </c>
      <c r="M674" s="23"/>
      <c r="N674" s="23"/>
      <c r="O674" s="23"/>
    </row>
    <row r="675" customFormat="false" ht="15" hidden="false" customHeight="true" outlineLevel="0" collapsed="false">
      <c r="H675" s="30"/>
      <c r="I675" s="31" t="n">
        <f aca="false">ROUND(SUM(H674:H674),2)</f>
        <v>322.29</v>
      </c>
      <c r="J675" s="32" t="n">
        <v>7.55</v>
      </c>
      <c r="K675" s="31" t="n">
        <f aca="false">ROUND(I675*J675,2)</f>
        <v>2433.29</v>
      </c>
      <c r="L675" s="33" t="s">
        <v>212</v>
      </c>
      <c r="M675" s="23" t="s">
        <v>123</v>
      </c>
      <c r="N675" s="23" t="s">
        <v>52</v>
      </c>
      <c r="O675" s="23"/>
    </row>
    <row r="676" customFormat="false" ht="15" hidden="false" customHeight="true" outlineLevel="0" collapsed="false">
      <c r="C676" s="34" t="s">
        <v>636</v>
      </c>
      <c r="K676" s="14" t="n">
        <f aca="false">SUMIFS($K$5:$K$675,$M$5:$M$675,"P",$N$5:$N$675,"15")</f>
        <v>9049.3</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6</v>
      </c>
      <c r="H856" s="29" t="n">
        <f aca="false">IF(COUNT(D856:G856)=0,0,D856*IF(E856="",1,E856)*IF(F856="",1,F856)*IF(G856="",1,G856))</f>
        <v>6</v>
      </c>
      <c r="M856" s="23"/>
      <c r="N856" s="23"/>
      <c r="O856" s="23"/>
    </row>
    <row r="857" customFormat="false" ht="18.75" hidden="false" customHeight="true" outlineLevel="0" collapsed="false">
      <c r="H857" s="30"/>
      <c r="I857" s="31" t="n">
        <f aca="false">ROUND(SUM(H856:H856),2)</f>
        <v>6</v>
      </c>
      <c r="J857" s="32" t="n">
        <v>48</v>
      </c>
      <c r="K857" s="31" t="n">
        <f aca="false">ROUND(I857*J857,2)</f>
        <v>288</v>
      </c>
      <c r="L857" s="33" t="s">
        <v>238</v>
      </c>
      <c r="M857" s="23" t="s">
        <v>123</v>
      </c>
      <c r="N857" s="23" t="s">
        <v>54</v>
      </c>
      <c r="O857" s="23" t="s">
        <v>795</v>
      </c>
    </row>
    <row r="858" customFormat="false" ht="15" hidden="false" customHeight="true" outlineLevel="0" collapsed="false">
      <c r="A858" s="3" t="s">
        <v>801</v>
      </c>
      <c r="B858" s="3" t="s">
        <v>129</v>
      </c>
      <c r="C858" s="3" t="s">
        <v>802</v>
      </c>
      <c r="M858" s="23"/>
      <c r="N858" s="23"/>
      <c r="O858" s="23"/>
    </row>
    <row r="859" customFormat="false" ht="24" hidden="false" customHeight="true" outlineLevel="0" collapsed="false">
      <c r="C859" s="26" t="s">
        <v>803</v>
      </c>
      <c r="M859" s="23"/>
      <c r="N859" s="23"/>
      <c r="O859" s="23"/>
    </row>
    <row r="860" customFormat="false" ht="15" hidden="false" customHeight="true" outlineLevel="0" collapsed="false">
      <c r="C860" s="27" t="s">
        <v>804</v>
      </c>
      <c r="D860" s="28" t="n">
        <v>2</v>
      </c>
      <c r="H860" s="29" t="n">
        <f aca="false">IF(COUNT(D860:G860)=0,0,D860*IF(E860="",1,E860)*IF(F860="",1,F860)*IF(G860="",1,G860))</f>
        <v>2</v>
      </c>
      <c r="M860" s="23"/>
      <c r="N860" s="23"/>
      <c r="O860" s="23"/>
    </row>
    <row r="861" customFormat="false" ht="18.75" hidden="false" customHeight="true" outlineLevel="0" collapsed="false">
      <c r="H861" s="30"/>
      <c r="I861" s="31" t="n">
        <f aca="false">ROUND(SUM(H860:H860),2)</f>
        <v>2</v>
      </c>
      <c r="J861" s="32" t="n">
        <v>480</v>
      </c>
      <c r="K861" s="31" t="n">
        <f aca="false">ROUND(I861*J861,2)</f>
        <v>960</v>
      </c>
      <c r="L861" s="33" t="s">
        <v>238</v>
      </c>
      <c r="M861" s="23" t="s">
        <v>123</v>
      </c>
      <c r="N861" s="23" t="s">
        <v>54</v>
      </c>
      <c r="O861" s="23" t="s">
        <v>795</v>
      </c>
    </row>
    <row r="862" customFormat="false" ht="15" hidden="false" customHeight="true" outlineLevel="0" collapsed="false">
      <c r="A862" s="3" t="s">
        <v>805</v>
      </c>
      <c r="B862" s="3" t="s">
        <v>129</v>
      </c>
      <c r="C862" s="3" t="s">
        <v>806</v>
      </c>
      <c r="M862" s="23"/>
      <c r="N862" s="23"/>
      <c r="O862" s="23"/>
    </row>
    <row r="863" customFormat="false" ht="24" hidden="false" customHeight="true" outlineLevel="0" collapsed="false">
      <c r="C863" s="26" t="s">
        <v>807</v>
      </c>
      <c r="M863" s="23"/>
      <c r="N863" s="23"/>
      <c r="O863" s="23"/>
    </row>
    <row r="864" customFormat="false" ht="15" hidden="false" customHeight="true" outlineLevel="0" collapsed="false">
      <c r="C864" s="27" t="s">
        <v>808</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809</v>
      </c>
      <c r="B866" s="3" t="s">
        <v>647</v>
      </c>
      <c r="C866" s="3" t="s">
        <v>810</v>
      </c>
      <c r="M866" s="23"/>
      <c r="N866" s="23"/>
      <c r="O866" s="23"/>
    </row>
    <row r="867" customFormat="false" ht="156" hidden="false" customHeight="true" outlineLevel="0" collapsed="false">
      <c r="C867" s="26" t="s">
        <v>811</v>
      </c>
      <c r="M867" s="23"/>
      <c r="N867" s="23"/>
      <c r="O867" s="23"/>
    </row>
    <row r="868" customFormat="false" ht="15" hidden="false" customHeight="true" outlineLevel="0" collapsed="false">
      <c r="C868" s="27" t="s">
        <v>812</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813</v>
      </c>
      <c r="B870" s="3" t="s">
        <v>647</v>
      </c>
      <c r="C870" s="3" t="s">
        <v>814</v>
      </c>
      <c r="M870" s="23"/>
      <c r="N870" s="23"/>
      <c r="O870" s="23"/>
    </row>
    <row r="871" customFormat="false" ht="156" hidden="false" customHeight="true" outlineLevel="0" collapsed="false">
      <c r="C871" s="26" t="s">
        <v>815</v>
      </c>
      <c r="M871" s="23"/>
      <c r="N871" s="23"/>
      <c r="O871" s="23"/>
    </row>
    <row r="872" customFormat="false" ht="15" hidden="false" customHeight="true" outlineLevel="0" collapsed="false">
      <c r="C872" s="27" t="s">
        <v>816</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817</v>
      </c>
      <c r="B874" s="3" t="s">
        <v>640</v>
      </c>
      <c r="C874" s="3" t="s">
        <v>818</v>
      </c>
      <c r="M874" s="23"/>
      <c r="N874" s="23"/>
      <c r="O874" s="23"/>
    </row>
    <row r="875" customFormat="false" ht="96" hidden="false" customHeight="true" outlineLevel="0" collapsed="false">
      <c r="C875" s="26" t="s">
        <v>819</v>
      </c>
      <c r="M875" s="23"/>
      <c r="N875" s="23"/>
      <c r="O875" s="23"/>
    </row>
    <row r="876" customFormat="false" ht="15" hidden="false" customHeight="true" outlineLevel="0" collapsed="false">
      <c r="C876" s="27" t="s">
        <v>820</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821</v>
      </c>
      <c r="C878" s="3" t="s">
        <v>822</v>
      </c>
      <c r="M878" s="23" t="s">
        <v>291</v>
      </c>
      <c r="N878" s="23" t="s">
        <v>54</v>
      </c>
      <c r="O878" s="23" t="s">
        <v>821</v>
      </c>
    </row>
    <row r="879" customFormat="false" ht="15" hidden="false" customHeight="true" outlineLevel="0" collapsed="false">
      <c r="A879" s="3" t="s">
        <v>823</v>
      </c>
      <c r="B879" s="3" t="s">
        <v>647</v>
      </c>
      <c r="C879" s="3" t="s">
        <v>824</v>
      </c>
      <c r="M879" s="23"/>
      <c r="N879" s="23"/>
      <c r="O879" s="23"/>
    </row>
    <row r="880" customFormat="false" ht="36" hidden="false" customHeight="true" outlineLevel="0" collapsed="false">
      <c r="C880" s="26" t="s">
        <v>825</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821</v>
      </c>
    </row>
    <row r="883" customFormat="false" ht="15" hidden="false" customHeight="true" outlineLevel="0" collapsed="false">
      <c r="A883" s="3" t="s">
        <v>826</v>
      </c>
      <c r="B883" s="3" t="s">
        <v>647</v>
      </c>
      <c r="C883" s="3" t="s">
        <v>827</v>
      </c>
      <c r="M883" s="23"/>
      <c r="N883" s="23"/>
      <c r="O883" s="23"/>
    </row>
    <row r="884" customFormat="false" ht="60" hidden="false" customHeight="true" outlineLevel="0" collapsed="false">
      <c r="C884" s="26" t="s">
        <v>828</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821</v>
      </c>
    </row>
    <row r="887" customFormat="false" ht="15" hidden="false" customHeight="true" outlineLevel="0" collapsed="false">
      <c r="A887" s="3" t="s">
        <v>829</v>
      </c>
      <c r="B887" s="3" t="s">
        <v>640</v>
      </c>
      <c r="C887" s="3" t="s">
        <v>830</v>
      </c>
      <c r="M887" s="23"/>
      <c r="N887" s="23"/>
      <c r="O887" s="23"/>
    </row>
    <row r="888" customFormat="false" ht="48" hidden="false" customHeight="true" outlineLevel="0" collapsed="false">
      <c r="C888" s="26" t="s">
        <v>831</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821</v>
      </c>
    </row>
    <row r="891" customFormat="false" ht="15" hidden="false" customHeight="true" outlineLevel="0" collapsed="false">
      <c r="A891" s="3" t="s">
        <v>832</v>
      </c>
      <c r="B891" s="3" t="s">
        <v>640</v>
      </c>
      <c r="C891" s="3" t="s">
        <v>833</v>
      </c>
      <c r="M891" s="23"/>
      <c r="N891" s="23"/>
      <c r="O891" s="23"/>
    </row>
    <row r="892" customFormat="false" ht="48" hidden="false" customHeight="true" outlineLevel="0" collapsed="false">
      <c r="C892" s="26" t="s">
        <v>834</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821</v>
      </c>
    </row>
    <row r="895" customFormat="false" ht="15" hidden="false" customHeight="true" outlineLevel="0" collapsed="false">
      <c r="A895" s="3" t="s">
        <v>835</v>
      </c>
      <c r="B895" s="3" t="s">
        <v>640</v>
      </c>
      <c r="C895" s="3" t="s">
        <v>836</v>
      </c>
      <c r="M895" s="23"/>
      <c r="N895" s="23"/>
      <c r="O895" s="23"/>
    </row>
    <row r="896" customFormat="false" ht="36" hidden="false" customHeight="true" outlineLevel="0" collapsed="false">
      <c r="C896" s="26" t="s">
        <v>837</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821</v>
      </c>
    </row>
    <row r="899" customFormat="false" ht="15" hidden="false" customHeight="true" outlineLevel="0" collapsed="false">
      <c r="A899" s="3" t="s">
        <v>838</v>
      </c>
      <c r="B899" s="3" t="s">
        <v>640</v>
      </c>
      <c r="C899" s="3" t="s">
        <v>839</v>
      </c>
      <c r="M899" s="23"/>
      <c r="N899" s="23"/>
      <c r="O899" s="23"/>
    </row>
    <row r="900" customFormat="false" ht="216" hidden="false" customHeight="true" outlineLevel="0" collapsed="false">
      <c r="C900" s="26" t="s">
        <v>840</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821</v>
      </c>
    </row>
    <row r="903" customFormat="false" ht="15" hidden="false" customHeight="true" outlineLevel="0" collapsed="false">
      <c r="A903" s="3" t="s">
        <v>841</v>
      </c>
      <c r="B903" s="3" t="s">
        <v>647</v>
      </c>
      <c r="C903" s="3" t="s">
        <v>842</v>
      </c>
      <c r="M903" s="23"/>
      <c r="N903" s="23"/>
      <c r="O903" s="23"/>
    </row>
    <row r="904" customFormat="false" ht="48" hidden="false" customHeight="true" outlineLevel="0" collapsed="false">
      <c r="C904" s="26" t="s">
        <v>843</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821</v>
      </c>
    </row>
    <row r="907" customFormat="false" ht="15" hidden="false" customHeight="true" outlineLevel="0" collapsed="false">
      <c r="A907" s="3" t="s">
        <v>844</v>
      </c>
      <c r="B907" s="3" t="s">
        <v>129</v>
      </c>
      <c r="C907" s="3" t="s">
        <v>845</v>
      </c>
      <c r="M907" s="23"/>
      <c r="N907" s="23"/>
      <c r="O907" s="23"/>
    </row>
    <row r="908" customFormat="false" ht="36" hidden="false" customHeight="true" outlineLevel="0" collapsed="false">
      <c r="C908" s="26" t="s">
        <v>846</v>
      </c>
      <c r="M908" s="23"/>
      <c r="N908" s="23"/>
      <c r="O908" s="23"/>
    </row>
    <row r="909" customFormat="false" ht="15" hidden="false" customHeight="true" outlineLevel="0" collapsed="false">
      <c r="C909" s="27" t="s">
        <v>847</v>
      </c>
      <c r="D909" s="28" t="n">
        <v>1</v>
      </c>
      <c r="H909" s="29" t="n">
        <f aca="false">IF(COUNT(D909:G909)=0,0,D909*IF(E909="",1,E909)*IF(F909="",1,F909)*IF(G909="",1,G909))</f>
        <v>1</v>
      </c>
      <c r="M909" s="23"/>
      <c r="N909" s="23"/>
      <c r="O909" s="23"/>
    </row>
    <row r="910" customFormat="false" ht="15" hidden="false" customHeight="true" outlineLevel="0" collapsed="false">
      <c r="C910" s="27" t="s">
        <v>848</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821</v>
      </c>
    </row>
    <row r="912" customFormat="false" ht="15" hidden="false" customHeight="true" outlineLevel="0" collapsed="false">
      <c r="A912" s="3" t="s">
        <v>849</v>
      </c>
      <c r="B912" s="3" t="s">
        <v>647</v>
      </c>
      <c r="C912" s="3" t="s">
        <v>850</v>
      </c>
      <c r="M912" s="23"/>
      <c r="N912" s="23"/>
      <c r="O912" s="23"/>
    </row>
    <row r="913" customFormat="false" ht="48" hidden="false" customHeight="true" outlineLevel="0" collapsed="false">
      <c r="C913" s="26" t="s">
        <v>851</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821</v>
      </c>
    </row>
    <row r="916" customFormat="false" ht="15" hidden="false" customHeight="true" outlineLevel="0" collapsed="false">
      <c r="A916" s="3" t="s">
        <v>852</v>
      </c>
      <c r="B916" s="3" t="s">
        <v>129</v>
      </c>
      <c r="C916" s="3" t="s">
        <v>853</v>
      </c>
      <c r="M916" s="23"/>
      <c r="N916" s="23"/>
      <c r="O916" s="23"/>
    </row>
    <row r="917" customFormat="false" ht="48" hidden="false" customHeight="true" outlineLevel="0" collapsed="false">
      <c r="C917" s="26" t="s">
        <v>854</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821</v>
      </c>
    </row>
    <row r="920" customFormat="false" ht="15" hidden="false" customHeight="true" outlineLevel="0" collapsed="false">
      <c r="A920" s="3" t="s">
        <v>855</v>
      </c>
      <c r="B920" s="3" t="s">
        <v>647</v>
      </c>
      <c r="C920" s="3" t="s">
        <v>856</v>
      </c>
      <c r="M920" s="23"/>
      <c r="N920" s="23"/>
      <c r="O920" s="23"/>
    </row>
    <row r="921" customFormat="false" ht="48" hidden="false" customHeight="true" outlineLevel="0" collapsed="false">
      <c r="C921" s="26" t="s">
        <v>857</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821</v>
      </c>
    </row>
    <row r="924" customFormat="false" ht="15" hidden="false" customHeight="true" outlineLevel="0" collapsed="false">
      <c r="A924" s="3" t="s">
        <v>858</v>
      </c>
      <c r="B924" s="3" t="s">
        <v>647</v>
      </c>
      <c r="C924" s="3" t="s">
        <v>859</v>
      </c>
      <c r="M924" s="23"/>
      <c r="N924" s="23"/>
      <c r="O924" s="23"/>
    </row>
    <row r="925" customFormat="false" ht="48" hidden="false" customHeight="true" outlineLevel="0" collapsed="false">
      <c r="C925" s="26" t="s">
        <v>860</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821</v>
      </c>
    </row>
    <row r="928" customFormat="false" ht="15" hidden="false" customHeight="true" outlineLevel="0" collapsed="false">
      <c r="A928" s="3" t="s">
        <v>861</v>
      </c>
      <c r="B928" s="3" t="s">
        <v>647</v>
      </c>
      <c r="C928" s="3" t="s">
        <v>862</v>
      </c>
      <c r="M928" s="23"/>
      <c r="N928" s="23"/>
      <c r="O928" s="23"/>
    </row>
    <row r="929" customFormat="false" ht="36" hidden="false" customHeight="true" outlineLevel="0" collapsed="false">
      <c r="C929" s="26" t="s">
        <v>863</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821</v>
      </c>
    </row>
    <row r="932" customFormat="false" ht="15" hidden="false" customHeight="true" outlineLevel="0" collapsed="false">
      <c r="A932" s="3" t="s">
        <v>864</v>
      </c>
      <c r="B932" s="3" t="s">
        <v>647</v>
      </c>
      <c r="C932" s="3" t="s">
        <v>865</v>
      </c>
      <c r="M932" s="23"/>
      <c r="N932" s="23"/>
      <c r="O932" s="23"/>
    </row>
    <row r="933" customFormat="false" ht="36" hidden="false" customHeight="true" outlineLevel="0" collapsed="false">
      <c r="C933" s="26" t="s">
        <v>866</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821</v>
      </c>
    </row>
    <row r="936" customFormat="false" ht="15" hidden="false" customHeight="true" outlineLevel="0" collapsed="false">
      <c r="A936" s="3" t="s">
        <v>867</v>
      </c>
      <c r="B936" s="3" t="s">
        <v>647</v>
      </c>
      <c r="C936" s="3" t="s">
        <v>868</v>
      </c>
      <c r="M936" s="23"/>
      <c r="N936" s="23"/>
      <c r="O936" s="23"/>
    </row>
    <row r="937" customFormat="false" ht="36" hidden="false" customHeight="true" outlineLevel="0" collapsed="false">
      <c r="C937" s="26" t="s">
        <v>869</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821</v>
      </c>
    </row>
    <row r="940" customFormat="false" ht="15" hidden="false" customHeight="true" outlineLevel="0" collapsed="false">
      <c r="A940" s="3" t="s">
        <v>870</v>
      </c>
      <c r="B940" s="3" t="s">
        <v>647</v>
      </c>
      <c r="C940" s="3" t="s">
        <v>871</v>
      </c>
      <c r="M940" s="23"/>
      <c r="N940" s="23"/>
      <c r="O940" s="23"/>
    </row>
    <row r="941" customFormat="false" ht="36" hidden="false" customHeight="true" outlineLevel="0" collapsed="false">
      <c r="C941" s="26" t="s">
        <v>872</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821</v>
      </c>
    </row>
    <row r="944" customFormat="false" ht="15" hidden="false" customHeight="true" outlineLevel="0" collapsed="false">
      <c r="A944" s="3" t="s">
        <v>873</v>
      </c>
      <c r="B944" s="3" t="s">
        <v>647</v>
      </c>
      <c r="C944" s="3" t="s">
        <v>874</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821</v>
      </c>
    </row>
    <row r="948" customFormat="false" ht="15" hidden="false" customHeight="true" outlineLevel="0" collapsed="false">
      <c r="A948" s="3" t="s">
        <v>875</v>
      </c>
      <c r="B948" s="3" t="s">
        <v>640</v>
      </c>
      <c r="C948" s="3" t="s">
        <v>876</v>
      </c>
      <c r="M948" s="23"/>
      <c r="N948" s="23"/>
      <c r="O948" s="23"/>
    </row>
    <row r="949" customFormat="false" ht="72" hidden="false" customHeight="true" outlineLevel="0" collapsed="false">
      <c r="C949" s="26" t="s">
        <v>877</v>
      </c>
      <c r="M949" s="23"/>
      <c r="N949" s="23"/>
      <c r="O949" s="23"/>
    </row>
    <row r="950" customFormat="false" ht="15" hidden="false" customHeight="true" outlineLevel="0" collapsed="false">
      <c r="C950" s="27" t="s">
        <v>878</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821</v>
      </c>
    </row>
    <row r="952" customFormat="false" ht="15" hidden="false" customHeight="true" outlineLevel="0" collapsed="false">
      <c r="A952" s="3" t="s">
        <v>879</v>
      </c>
      <c r="B952" s="3" t="s">
        <v>640</v>
      </c>
      <c r="C952" s="3" t="s">
        <v>880</v>
      </c>
      <c r="M952" s="23"/>
      <c r="N952" s="23"/>
      <c r="O952" s="23"/>
    </row>
    <row r="953" customFormat="false" ht="72" hidden="false" customHeight="true" outlineLevel="0" collapsed="false">
      <c r="C953" s="26" t="s">
        <v>881</v>
      </c>
      <c r="M953" s="23"/>
      <c r="N953" s="23"/>
      <c r="O953" s="23"/>
    </row>
    <row r="954" customFormat="false" ht="15" hidden="false" customHeight="true" outlineLevel="0" collapsed="false">
      <c r="C954" s="27" t="s">
        <v>882</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821</v>
      </c>
    </row>
    <row r="956" customFormat="false" ht="15" hidden="false" customHeight="true" outlineLevel="0" collapsed="false">
      <c r="A956" s="3" t="s">
        <v>883</v>
      </c>
      <c r="B956" s="3" t="s">
        <v>640</v>
      </c>
      <c r="C956" s="3" t="s">
        <v>884</v>
      </c>
      <c r="M956" s="23"/>
      <c r="N956" s="23"/>
      <c r="O956" s="23"/>
    </row>
    <row r="957" customFormat="false" ht="72" hidden="false" customHeight="true" outlineLevel="0" collapsed="false">
      <c r="C957" s="26" t="s">
        <v>885</v>
      </c>
      <c r="M957" s="23"/>
      <c r="N957" s="23"/>
      <c r="O957" s="23"/>
    </row>
    <row r="958" customFormat="false" ht="15" hidden="false" customHeight="true" outlineLevel="0" collapsed="false">
      <c r="C958" s="27" t="s">
        <v>886</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821</v>
      </c>
    </row>
    <row r="960" customFormat="false" ht="15" hidden="false" customHeight="true" outlineLevel="0" collapsed="false">
      <c r="A960" s="3" t="s">
        <v>887</v>
      </c>
      <c r="B960" s="3" t="s">
        <v>640</v>
      </c>
      <c r="C960" s="3" t="s">
        <v>888</v>
      </c>
      <c r="M960" s="23"/>
      <c r="N960" s="23"/>
      <c r="O960" s="23"/>
    </row>
    <row r="961" customFormat="false" ht="60" hidden="false" customHeight="true" outlineLevel="0" collapsed="false">
      <c r="C961" s="26" t="s">
        <v>889</v>
      </c>
      <c r="M961" s="23"/>
      <c r="N961" s="23"/>
      <c r="O961" s="23"/>
    </row>
    <row r="962" customFormat="false" ht="15" hidden="false" customHeight="true" outlineLevel="0" collapsed="false">
      <c r="C962" s="27" t="s">
        <v>890</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821</v>
      </c>
    </row>
    <row r="964" customFormat="false" ht="15" hidden="false" customHeight="true" outlineLevel="0" collapsed="false">
      <c r="A964" s="3" t="s">
        <v>891</v>
      </c>
      <c r="B964" s="3" t="s">
        <v>640</v>
      </c>
      <c r="C964" s="3" t="s">
        <v>892</v>
      </c>
      <c r="M964" s="23"/>
      <c r="N964" s="23"/>
      <c r="O964" s="23"/>
    </row>
    <row r="965" customFormat="false" ht="60" hidden="false" customHeight="true" outlineLevel="0" collapsed="false">
      <c r="C965" s="26" t="s">
        <v>893</v>
      </c>
      <c r="M965" s="23"/>
      <c r="N965" s="23"/>
      <c r="O965" s="23"/>
    </row>
    <row r="966" customFormat="false" ht="15" hidden="false" customHeight="true" outlineLevel="0" collapsed="false">
      <c r="C966" s="27" t="s">
        <v>894</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821</v>
      </c>
    </row>
    <row r="968" customFormat="false" ht="15" hidden="false" customHeight="true" outlineLevel="0" collapsed="false">
      <c r="A968" s="3" t="s">
        <v>895</v>
      </c>
      <c r="B968" s="3" t="s">
        <v>640</v>
      </c>
      <c r="C968" s="3" t="s">
        <v>896</v>
      </c>
      <c r="M968" s="23"/>
      <c r="N968" s="23"/>
      <c r="O968" s="23"/>
    </row>
    <row r="969" customFormat="false" ht="36" hidden="false" customHeight="true" outlineLevel="0" collapsed="false">
      <c r="C969" s="26" t="s">
        <v>897</v>
      </c>
      <c r="M969" s="23"/>
      <c r="N969" s="23"/>
      <c r="O969" s="23"/>
    </row>
    <row r="970" customFormat="false" ht="15" hidden="false" customHeight="true" outlineLevel="0" collapsed="false">
      <c r="C970" s="27" t="s">
        <v>898</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821</v>
      </c>
    </row>
    <row r="972" customFormat="false" ht="15" hidden="false" customHeight="true" outlineLevel="0" collapsed="false">
      <c r="A972" s="3" t="s">
        <v>899</v>
      </c>
      <c r="B972" s="3" t="s">
        <v>640</v>
      </c>
      <c r="C972" s="3" t="s">
        <v>900</v>
      </c>
      <c r="M972" s="23"/>
      <c r="N972" s="23"/>
      <c r="O972" s="23"/>
    </row>
    <row r="973" customFormat="false" ht="60" hidden="false" customHeight="true" outlineLevel="0" collapsed="false">
      <c r="C973" s="26" t="s">
        <v>901</v>
      </c>
      <c r="M973" s="23"/>
      <c r="N973" s="23"/>
      <c r="O973" s="23"/>
    </row>
    <row r="974" customFormat="false" ht="15" hidden="false" customHeight="true" outlineLevel="0" collapsed="false">
      <c r="C974" s="27" t="s">
        <v>902</v>
      </c>
      <c r="D974" s="28" t="n">
        <v>3</v>
      </c>
      <c r="H974" s="29" t="n">
        <f aca="false">IF(COUNT(D974:G974)=0,0,D974*IF(E974="",1,E974)*IF(F974="",1,F974)*IF(G974="",1,G974))</f>
        <v>3</v>
      </c>
      <c r="M974" s="23"/>
      <c r="N974" s="23"/>
      <c r="O974" s="23"/>
    </row>
    <row r="975" customFormat="false" ht="15" hidden="false" customHeight="true" outlineLevel="0" collapsed="false">
      <c r="H975" s="30"/>
      <c r="I975" s="31" t="n">
        <f aca="false">ROUND(SUM(H974:H974),2)</f>
        <v>3</v>
      </c>
      <c r="J975" s="32" t="n">
        <v>9.54</v>
      </c>
      <c r="K975" s="31" t="n">
        <f aca="false">ROUND(I975*J975,2)</f>
        <v>28.62</v>
      </c>
      <c r="L975" s="33" t="s">
        <v>212</v>
      </c>
      <c r="M975" s="23" t="s">
        <v>123</v>
      </c>
      <c r="N975" s="23" t="s">
        <v>54</v>
      </c>
      <c r="O975" s="23" t="s">
        <v>821</v>
      </c>
    </row>
    <row r="976" customFormat="false" ht="15" hidden="false" customHeight="true" outlineLevel="0" collapsed="false">
      <c r="A976" s="3" t="s">
        <v>903</v>
      </c>
      <c r="B976" s="3" t="s">
        <v>640</v>
      </c>
      <c r="C976" s="3" t="s">
        <v>904</v>
      </c>
      <c r="M976" s="23"/>
      <c r="N976" s="23"/>
      <c r="O976" s="23"/>
    </row>
    <row r="977" customFormat="false" ht="48" hidden="false" customHeight="true" outlineLevel="0" collapsed="false">
      <c r="C977" s="26" t="s">
        <v>905</v>
      </c>
      <c r="M977" s="23"/>
      <c r="N977" s="23"/>
      <c r="O977" s="23"/>
    </row>
    <row r="978" customFormat="false" ht="15" hidden="false" customHeight="true" outlineLevel="0" collapsed="false">
      <c r="C978" s="27" t="s">
        <v>906</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821</v>
      </c>
    </row>
    <row r="980" customFormat="false" ht="15" hidden="false" customHeight="true" outlineLevel="0" collapsed="false">
      <c r="A980" s="3" t="s">
        <v>907</v>
      </c>
      <c r="B980" s="3" t="s">
        <v>640</v>
      </c>
      <c r="C980" s="3" t="s">
        <v>908</v>
      </c>
      <c r="M980" s="23"/>
      <c r="N980" s="23"/>
      <c r="O980" s="23"/>
    </row>
    <row r="981" customFormat="false" ht="48" hidden="false" customHeight="true" outlineLevel="0" collapsed="false">
      <c r="C981" s="26" t="s">
        <v>909</v>
      </c>
      <c r="M981" s="23"/>
      <c r="N981" s="23"/>
      <c r="O981" s="23"/>
    </row>
    <row r="982" customFormat="false" ht="15" hidden="false" customHeight="true" outlineLevel="0" collapsed="false">
      <c r="C982" s="27" t="s">
        <v>910</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821</v>
      </c>
    </row>
    <row r="984" customFormat="false" ht="15" hidden="false" customHeight="true" outlineLevel="0" collapsed="false">
      <c r="A984" s="3" t="s">
        <v>911</v>
      </c>
      <c r="B984" s="3" t="s">
        <v>640</v>
      </c>
      <c r="C984" s="3" t="s">
        <v>912</v>
      </c>
      <c r="M984" s="23"/>
      <c r="N984" s="23"/>
      <c r="O984" s="23"/>
    </row>
    <row r="985" customFormat="false" ht="48" hidden="false" customHeight="true" outlineLevel="0" collapsed="false">
      <c r="C985" s="26" t="s">
        <v>913</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821</v>
      </c>
    </row>
    <row r="988" customFormat="false" ht="15" hidden="false" customHeight="true" outlineLevel="0" collapsed="false">
      <c r="A988" s="3" t="s">
        <v>914</v>
      </c>
      <c r="B988" s="3" t="s">
        <v>640</v>
      </c>
      <c r="C988" s="3" t="s">
        <v>915</v>
      </c>
      <c r="M988" s="23"/>
      <c r="N988" s="23"/>
      <c r="O988" s="23"/>
    </row>
    <row r="989" customFormat="false" ht="36" hidden="false" customHeight="true" outlineLevel="0" collapsed="false">
      <c r="C989" s="26" t="s">
        <v>916</v>
      </c>
      <c r="M989" s="23"/>
      <c r="N989" s="23"/>
      <c r="O989" s="23"/>
    </row>
    <row r="990" customFormat="false" ht="15" hidden="false" customHeight="true" outlineLevel="0" collapsed="false">
      <c r="C990" s="27" t="s">
        <v>917</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821</v>
      </c>
    </row>
    <row r="992" customFormat="false" ht="15" hidden="false" customHeight="true" outlineLevel="0" collapsed="false">
      <c r="A992" s="3" t="s">
        <v>918</v>
      </c>
      <c r="B992" s="3" t="s">
        <v>640</v>
      </c>
      <c r="C992" s="3" t="s">
        <v>919</v>
      </c>
      <c r="M992" s="23"/>
      <c r="N992" s="23"/>
      <c r="O992" s="23"/>
    </row>
    <row r="993" customFormat="false" ht="24" hidden="false" customHeight="true" outlineLevel="0" collapsed="false">
      <c r="C993" s="26" t="s">
        <v>920</v>
      </c>
      <c r="M993" s="23"/>
      <c r="N993" s="23"/>
      <c r="O993" s="23"/>
    </row>
    <row r="994" customFormat="false" ht="15" hidden="false" customHeight="true" outlineLevel="0" collapsed="false">
      <c r="C994" s="27" t="s">
        <v>921</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821</v>
      </c>
    </row>
    <row r="996" customFormat="false" ht="15" hidden="false" customHeight="true" outlineLevel="0" collapsed="false">
      <c r="A996" s="3" t="s">
        <v>922</v>
      </c>
      <c r="B996" s="3" t="s">
        <v>640</v>
      </c>
      <c r="C996" s="3" t="s">
        <v>923</v>
      </c>
      <c r="M996" s="23"/>
      <c r="N996" s="23"/>
      <c r="O996" s="23"/>
    </row>
    <row r="997" customFormat="false" ht="12" hidden="false" customHeight="true" outlineLevel="0" collapsed="false">
      <c r="C997" s="26" t="s">
        <v>924</v>
      </c>
      <c r="M997" s="23"/>
      <c r="N997" s="23"/>
      <c r="O997" s="23"/>
    </row>
    <row r="998" customFormat="false" ht="15" hidden="false" customHeight="true" outlineLevel="0" collapsed="false">
      <c r="C998" s="27" t="s">
        <v>925</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821</v>
      </c>
    </row>
    <row r="1000" customFormat="false" ht="15" hidden="false" customHeight="true" outlineLevel="0" collapsed="false">
      <c r="A1000" s="3" t="s">
        <v>926</v>
      </c>
      <c r="B1000" s="3" t="s">
        <v>640</v>
      </c>
      <c r="C1000" s="3" t="s">
        <v>927</v>
      </c>
      <c r="M1000" s="23"/>
      <c r="N1000" s="23"/>
      <c r="O1000" s="23"/>
    </row>
    <row r="1001" customFormat="false" ht="60" hidden="false" customHeight="true" outlineLevel="0" collapsed="false">
      <c r="C1001" s="26" t="s">
        <v>928</v>
      </c>
      <c r="M1001" s="23"/>
      <c r="N1001" s="23"/>
      <c r="O1001" s="23"/>
    </row>
    <row r="1002" customFormat="false" ht="15" hidden="false" customHeight="true" outlineLevel="0" collapsed="false">
      <c r="C1002" s="27" t="s">
        <v>882</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821</v>
      </c>
    </row>
    <row r="1004" customFormat="false" ht="15" hidden="false" customHeight="true" outlineLevel="0" collapsed="false">
      <c r="A1004" s="3" t="s">
        <v>929</v>
      </c>
      <c r="B1004" s="3" t="s">
        <v>640</v>
      </c>
      <c r="C1004" s="3" t="s">
        <v>930</v>
      </c>
      <c r="M1004" s="23"/>
      <c r="N1004" s="23"/>
      <c r="O1004" s="23"/>
    </row>
    <row r="1005" customFormat="false" ht="36" hidden="false" customHeight="true" outlineLevel="0" collapsed="false">
      <c r="C1005" s="26" t="s">
        <v>931</v>
      </c>
      <c r="M1005" s="23"/>
      <c r="N1005" s="23"/>
      <c r="O1005" s="23"/>
    </row>
    <row r="1006" customFormat="false" ht="15" hidden="false" customHeight="true" outlineLevel="0" collapsed="false">
      <c r="C1006" s="27" t="s">
        <v>906</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821</v>
      </c>
    </row>
    <row r="1008" customFormat="false" ht="15" hidden="false" customHeight="true" outlineLevel="0" collapsed="false">
      <c r="A1008" s="3" t="s">
        <v>932</v>
      </c>
      <c r="B1008" s="3" t="s">
        <v>640</v>
      </c>
      <c r="C1008" s="3" t="s">
        <v>933</v>
      </c>
      <c r="M1008" s="23"/>
      <c r="N1008" s="23"/>
      <c r="O1008" s="23"/>
    </row>
    <row r="1009" customFormat="false" ht="36" hidden="false" customHeight="true" outlineLevel="0" collapsed="false">
      <c r="C1009" s="26" t="s">
        <v>934</v>
      </c>
      <c r="M1009" s="23"/>
      <c r="N1009" s="23"/>
      <c r="O1009" s="23"/>
    </row>
    <row r="1010" customFormat="false" ht="15" hidden="false" customHeight="true" outlineLevel="0" collapsed="false">
      <c r="C1010" s="27" t="s">
        <v>935</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821</v>
      </c>
    </row>
    <row r="1012" customFormat="false" ht="15" hidden="false" customHeight="true" outlineLevel="0" collapsed="false">
      <c r="A1012" s="3" t="s">
        <v>936</v>
      </c>
      <c r="B1012" s="3" t="s">
        <v>640</v>
      </c>
      <c r="C1012" s="3" t="s">
        <v>937</v>
      </c>
      <c r="M1012" s="23"/>
      <c r="N1012" s="23"/>
      <c r="O1012" s="23"/>
    </row>
    <row r="1013" customFormat="false" ht="36" hidden="false" customHeight="true" outlineLevel="0" collapsed="false">
      <c r="C1013" s="26" t="s">
        <v>938</v>
      </c>
      <c r="M1013" s="23"/>
      <c r="N1013" s="23"/>
      <c r="O1013" s="23"/>
    </row>
    <row r="1014" customFormat="false" ht="15" hidden="false" customHeight="true" outlineLevel="0" collapsed="false">
      <c r="C1014" s="27" t="s">
        <v>894</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821</v>
      </c>
    </row>
    <row r="1016" customFormat="false" ht="15" hidden="false" customHeight="true" outlineLevel="0" collapsed="false">
      <c r="A1016" s="3" t="s">
        <v>939</v>
      </c>
      <c r="B1016" s="3" t="s">
        <v>640</v>
      </c>
      <c r="C1016" s="3" t="s">
        <v>940</v>
      </c>
      <c r="M1016" s="23"/>
      <c r="N1016" s="23"/>
      <c r="O1016" s="23"/>
    </row>
    <row r="1017" customFormat="false" ht="36" hidden="false" customHeight="true" outlineLevel="0" collapsed="false">
      <c r="C1017" s="26" t="s">
        <v>941</v>
      </c>
      <c r="M1017" s="23"/>
      <c r="N1017" s="23"/>
      <c r="O1017" s="23"/>
    </row>
    <row r="1018" customFormat="false" ht="15" hidden="false" customHeight="true" outlineLevel="0" collapsed="false">
      <c r="C1018" s="27" t="s">
        <v>886</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821</v>
      </c>
    </row>
    <row r="1020" customFormat="false" ht="15" hidden="false" customHeight="true" outlineLevel="0" collapsed="false">
      <c r="A1020" s="3" t="s">
        <v>942</v>
      </c>
      <c r="B1020" s="3" t="s">
        <v>640</v>
      </c>
      <c r="C1020" s="3" t="s">
        <v>943</v>
      </c>
      <c r="M1020" s="23"/>
      <c r="N1020" s="23"/>
      <c r="O1020" s="23"/>
    </row>
    <row r="1021" customFormat="false" ht="24" hidden="false" customHeight="true" outlineLevel="0" collapsed="false">
      <c r="C1021" s="26" t="s">
        <v>944</v>
      </c>
      <c r="M1021" s="23"/>
      <c r="N1021" s="23"/>
      <c r="O1021" s="23"/>
    </row>
    <row r="1022" customFormat="false" ht="15" hidden="false" customHeight="true" outlineLevel="0" collapsed="false">
      <c r="C1022" s="27" t="s">
        <v>945</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821</v>
      </c>
    </row>
    <row r="1024" customFormat="false" ht="15" hidden="false" customHeight="true" outlineLevel="0" collapsed="false">
      <c r="A1024" s="3" t="s">
        <v>946</v>
      </c>
      <c r="B1024" s="3" t="s">
        <v>129</v>
      </c>
      <c r="C1024" s="3" t="s">
        <v>947</v>
      </c>
      <c r="M1024" s="23"/>
      <c r="N1024" s="23"/>
      <c r="O1024" s="23"/>
    </row>
    <row r="1025" customFormat="false" ht="36" hidden="false" customHeight="true" outlineLevel="0" collapsed="false">
      <c r="C1025" s="26" t="s">
        <v>948</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821</v>
      </c>
    </row>
    <row r="1028" customFormat="false" ht="15" hidden="false" customHeight="true" outlineLevel="0" collapsed="false">
      <c r="A1028" s="3" t="s">
        <v>949</v>
      </c>
      <c r="B1028" s="3" t="s">
        <v>129</v>
      </c>
      <c r="C1028" s="3" t="s">
        <v>950</v>
      </c>
      <c r="M1028" s="23"/>
      <c r="N1028" s="23"/>
      <c r="O1028" s="23"/>
    </row>
    <row r="1029" customFormat="false" ht="24" hidden="false" customHeight="true" outlineLevel="0" collapsed="false">
      <c r="C1029" s="26" t="s">
        <v>951</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952</v>
      </c>
      <c r="M1031" s="23" t="s">
        <v>123</v>
      </c>
      <c r="N1031" s="23" t="s">
        <v>54</v>
      </c>
      <c r="O1031" s="23" t="s">
        <v>821</v>
      </c>
    </row>
    <row r="1032" customFormat="false" ht="15" hidden="false" customHeight="true" outlineLevel="0" collapsed="false">
      <c r="A1032" s="3" t="s">
        <v>953</v>
      </c>
      <c r="C1032" s="3" t="s">
        <v>954</v>
      </c>
      <c r="M1032" s="23" t="s">
        <v>291</v>
      </c>
      <c r="N1032" s="23" t="s">
        <v>54</v>
      </c>
      <c r="O1032" s="23" t="s">
        <v>953</v>
      </c>
    </row>
    <row r="1033" customFormat="false" ht="15" hidden="false" customHeight="true" outlineLevel="0" collapsed="false">
      <c r="A1033" s="3" t="s">
        <v>955</v>
      </c>
      <c r="B1033" s="3" t="s">
        <v>640</v>
      </c>
      <c r="C1033" s="3" t="s">
        <v>956</v>
      </c>
      <c r="M1033" s="23"/>
      <c r="N1033" s="23"/>
      <c r="O1033" s="23"/>
    </row>
    <row r="1034" customFormat="false" ht="36" hidden="false" customHeight="true" outlineLevel="0" collapsed="false">
      <c r="C1034" s="26" t="s">
        <v>957</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953</v>
      </c>
    </row>
    <row r="1037" customFormat="false" ht="15" hidden="false" customHeight="true" outlineLevel="0" collapsed="false">
      <c r="A1037" s="3" t="s">
        <v>958</v>
      </c>
      <c r="B1037" s="3" t="s">
        <v>640</v>
      </c>
      <c r="C1037" s="3" t="s">
        <v>959</v>
      </c>
      <c r="M1037" s="23"/>
      <c r="N1037" s="23"/>
      <c r="O1037" s="23"/>
    </row>
    <row r="1038" customFormat="false" ht="24" hidden="false" customHeight="true" outlineLevel="0" collapsed="false">
      <c r="C1038" s="26" t="s">
        <v>960</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953</v>
      </c>
    </row>
    <row r="1041" customFormat="false" ht="15" hidden="false" customHeight="true" outlineLevel="0" collapsed="false">
      <c r="A1041" s="3" t="s">
        <v>961</v>
      </c>
      <c r="B1041" s="3" t="s">
        <v>640</v>
      </c>
      <c r="C1041" s="3" t="s">
        <v>962</v>
      </c>
      <c r="M1041" s="23"/>
      <c r="N1041" s="23"/>
      <c r="O1041" s="23"/>
    </row>
    <row r="1042" customFormat="false" ht="72" hidden="false" customHeight="true" outlineLevel="0" collapsed="false">
      <c r="C1042" s="26" t="s">
        <v>963</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953</v>
      </c>
    </row>
    <row r="1045" customFormat="false" ht="15" hidden="false" customHeight="true" outlineLevel="0" collapsed="false">
      <c r="A1045" s="3" t="s">
        <v>964</v>
      </c>
      <c r="B1045" s="3" t="s">
        <v>647</v>
      </c>
      <c r="C1045" s="3" t="s">
        <v>965</v>
      </c>
      <c r="M1045" s="23"/>
      <c r="N1045" s="23"/>
      <c r="O1045" s="23"/>
    </row>
    <row r="1046" customFormat="false" ht="12" hidden="false" customHeight="true" outlineLevel="0" collapsed="false">
      <c r="C1046" s="26" t="s">
        <v>966</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953</v>
      </c>
    </row>
    <row r="1049" customFormat="false" ht="15" hidden="false" customHeight="true" outlineLevel="0" collapsed="false">
      <c r="A1049" s="3" t="s">
        <v>967</v>
      </c>
      <c r="B1049" s="3" t="s">
        <v>640</v>
      </c>
      <c r="C1049" s="3" t="s">
        <v>968</v>
      </c>
      <c r="M1049" s="23"/>
      <c r="N1049" s="23"/>
      <c r="O1049" s="23"/>
    </row>
    <row r="1050" customFormat="false" ht="12" hidden="false" customHeight="true" outlineLevel="0" collapsed="false">
      <c r="C1050" s="26" t="s">
        <v>969</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953</v>
      </c>
    </row>
    <row r="1053" customFormat="false" ht="15" hidden="false" customHeight="true" outlineLevel="0" collapsed="false">
      <c r="A1053" s="3" t="s">
        <v>970</v>
      </c>
      <c r="B1053" s="3" t="s">
        <v>640</v>
      </c>
      <c r="C1053" s="3" t="s">
        <v>971</v>
      </c>
      <c r="M1053" s="23"/>
      <c r="N1053" s="23"/>
      <c r="O1053" s="23"/>
    </row>
    <row r="1054" customFormat="false" ht="48" hidden="false" customHeight="true" outlineLevel="0" collapsed="false">
      <c r="C1054" s="26" t="s">
        <v>972</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953</v>
      </c>
    </row>
    <row r="1057" customFormat="false" ht="15" hidden="false" customHeight="true" outlineLevel="0" collapsed="false">
      <c r="A1057" s="3" t="s">
        <v>973</v>
      </c>
      <c r="B1057" s="3" t="s">
        <v>640</v>
      </c>
      <c r="C1057" s="3" t="s">
        <v>974</v>
      </c>
      <c r="M1057" s="23"/>
      <c r="N1057" s="23"/>
      <c r="O1057" s="23"/>
    </row>
    <row r="1058" customFormat="false" ht="120" hidden="false" customHeight="true" outlineLevel="0" collapsed="false">
      <c r="C1058" s="26" t="s">
        <v>975</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953</v>
      </c>
    </row>
    <row r="1061" customFormat="false" ht="15" hidden="false" customHeight="true" outlineLevel="0" collapsed="false">
      <c r="A1061" s="3" t="s">
        <v>976</v>
      </c>
      <c r="B1061" s="3" t="s">
        <v>647</v>
      </c>
      <c r="C1061" s="3" t="s">
        <v>977</v>
      </c>
      <c r="M1061" s="23"/>
      <c r="N1061" s="23"/>
      <c r="O1061" s="23"/>
    </row>
    <row r="1062" customFormat="false" ht="48" hidden="false" customHeight="true" outlineLevel="0" collapsed="false">
      <c r="C1062" s="26" t="s">
        <v>978</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953</v>
      </c>
    </row>
    <row r="1065" customFormat="false" ht="15" hidden="false" customHeight="true" outlineLevel="0" collapsed="false">
      <c r="A1065" s="3" t="s">
        <v>979</v>
      </c>
      <c r="B1065" s="3" t="s">
        <v>640</v>
      </c>
      <c r="C1065" s="3" t="s">
        <v>980</v>
      </c>
      <c r="M1065" s="23"/>
      <c r="N1065" s="23"/>
      <c r="O1065" s="23"/>
    </row>
    <row r="1066" customFormat="false" ht="84" hidden="false" customHeight="true" outlineLevel="0" collapsed="false">
      <c r="C1066" s="26" t="s">
        <v>981</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953</v>
      </c>
    </row>
    <row r="1069" customFormat="false" ht="15" hidden="false" customHeight="true" outlineLevel="0" collapsed="false">
      <c r="A1069" s="3" t="s">
        <v>982</v>
      </c>
      <c r="B1069" s="3" t="s">
        <v>640</v>
      </c>
      <c r="C1069" s="3" t="s">
        <v>983</v>
      </c>
      <c r="M1069" s="23"/>
      <c r="N1069" s="23"/>
      <c r="O1069" s="23"/>
    </row>
    <row r="1070" customFormat="false" ht="36" hidden="false" customHeight="true" outlineLevel="0" collapsed="false">
      <c r="C1070" s="26" t="s">
        <v>984</v>
      </c>
      <c r="M1070" s="23"/>
      <c r="N1070" s="23"/>
      <c r="O1070" s="23"/>
    </row>
    <row r="1071" customFormat="false" ht="15" hidden="false" customHeight="true" outlineLevel="0" collapsed="false">
      <c r="C1071" s="27" t="s">
        <v>985</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953</v>
      </c>
    </row>
    <row r="1073" customFormat="false" ht="15" hidden="false" customHeight="true" outlineLevel="0" collapsed="false">
      <c r="C1073" s="34" t="s">
        <v>986</v>
      </c>
      <c r="K1073" s="14" t="n">
        <f aca="false">SUMIFS($K$5:$K$1072,$M$5:$M$1072,"P",$N$5:$N$1072,"16")</f>
        <v>44091.19</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987</v>
      </c>
      <c r="C1076" s="3" t="s">
        <v>988</v>
      </c>
      <c r="M1076" s="23" t="s">
        <v>291</v>
      </c>
      <c r="N1076" s="23" t="s">
        <v>68</v>
      </c>
      <c r="O1076" s="23" t="s">
        <v>987</v>
      </c>
    </row>
    <row r="1077" customFormat="false" ht="15" hidden="false" customHeight="true" outlineLevel="0" collapsed="false">
      <c r="A1077" s="3" t="s">
        <v>989</v>
      </c>
      <c r="B1077" s="3" t="s">
        <v>640</v>
      </c>
      <c r="C1077" s="3" t="s">
        <v>990</v>
      </c>
      <c r="M1077" s="23"/>
      <c r="N1077" s="23"/>
      <c r="O1077" s="23"/>
    </row>
    <row r="1078" customFormat="false" ht="96" hidden="false" customHeight="true" outlineLevel="0" collapsed="false">
      <c r="C1078" s="26" t="s">
        <v>991</v>
      </c>
      <c r="M1078" s="23"/>
      <c r="N1078" s="23"/>
      <c r="O1078" s="23"/>
    </row>
    <row r="1079" customFormat="false" ht="15" hidden="false" customHeight="true" outlineLevel="0" collapsed="false">
      <c r="C1079" s="27" t="s">
        <v>992</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987</v>
      </c>
    </row>
    <row r="1081" customFormat="false" ht="15" hidden="false" customHeight="true" outlineLevel="0" collapsed="false">
      <c r="A1081" s="3" t="s">
        <v>993</v>
      </c>
      <c r="B1081" s="3" t="s">
        <v>640</v>
      </c>
      <c r="C1081" s="3" t="s">
        <v>994</v>
      </c>
      <c r="M1081" s="23"/>
      <c r="N1081" s="23"/>
      <c r="O1081" s="23"/>
    </row>
    <row r="1082" customFormat="false" ht="120" hidden="false" customHeight="true" outlineLevel="0" collapsed="false">
      <c r="C1082" s="26" t="s">
        <v>995</v>
      </c>
      <c r="M1082" s="23"/>
      <c r="N1082" s="23"/>
      <c r="O1082" s="23"/>
    </row>
    <row r="1083" customFormat="false" ht="15" hidden="false" customHeight="true" outlineLevel="0" collapsed="false">
      <c r="C1083" s="27" t="s">
        <v>992</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987</v>
      </c>
    </row>
    <row r="1085" customFormat="false" ht="15" hidden="false" customHeight="true" outlineLevel="0" collapsed="false">
      <c r="A1085" s="3" t="s">
        <v>996</v>
      </c>
      <c r="C1085" s="3" t="s">
        <v>997</v>
      </c>
      <c r="M1085" s="23" t="s">
        <v>291</v>
      </c>
      <c r="N1085" s="23" t="s">
        <v>68</v>
      </c>
      <c r="O1085" s="23" t="s">
        <v>996</v>
      </c>
    </row>
    <row r="1086" customFormat="false" ht="15" hidden="false" customHeight="true" outlineLevel="0" collapsed="false">
      <c r="A1086" s="3" t="s">
        <v>998</v>
      </c>
      <c r="B1086" s="3" t="s">
        <v>640</v>
      </c>
      <c r="C1086" s="3" t="s">
        <v>997</v>
      </c>
      <c r="M1086" s="23"/>
      <c r="N1086" s="23"/>
      <c r="O1086" s="23"/>
    </row>
    <row r="1087" customFormat="false" ht="204" hidden="false" customHeight="true" outlineLevel="0" collapsed="false">
      <c r="C1087" s="26" t="s">
        <v>999</v>
      </c>
      <c r="M1087" s="23"/>
      <c r="N1087" s="23"/>
      <c r="O1087" s="23"/>
    </row>
    <row r="1088" customFormat="false" ht="15" hidden="false" customHeight="true" outlineLevel="0" collapsed="false">
      <c r="C1088" s="27" t="s">
        <v>992</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996</v>
      </c>
    </row>
    <row r="1090" customFormat="false" ht="15" hidden="false" customHeight="true" outlineLevel="0" collapsed="false">
      <c r="C1090" s="34" t="s">
        <v>1000</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1001</v>
      </c>
      <c r="B1093" s="3" t="s">
        <v>103</v>
      </c>
      <c r="C1093" s="3" t="s">
        <v>1002</v>
      </c>
      <c r="M1093" s="23"/>
      <c r="N1093" s="23"/>
      <c r="O1093" s="23"/>
    </row>
    <row r="1094" customFormat="false" ht="132" hidden="false" customHeight="true" outlineLevel="0" collapsed="false">
      <c r="C1094" s="26" t="s">
        <v>1003</v>
      </c>
      <c r="M1094" s="23"/>
      <c r="N1094" s="23"/>
      <c r="O1094" s="23"/>
    </row>
    <row r="1095" customFormat="false" ht="15" hidden="false" customHeight="true" outlineLevel="0" collapsed="false">
      <c r="C1095" s="27" t="s">
        <v>992</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1004</v>
      </c>
      <c r="B1097" s="3" t="s">
        <v>103</v>
      </c>
      <c r="C1097" s="3" t="s">
        <v>1005</v>
      </c>
      <c r="M1097" s="23"/>
      <c r="N1097" s="23"/>
      <c r="O1097" s="23"/>
    </row>
    <row r="1098" customFormat="false" ht="132" hidden="false" customHeight="true" outlineLevel="0" collapsed="false">
      <c r="C1098" s="26" t="s">
        <v>1006</v>
      </c>
      <c r="M1098" s="23"/>
      <c r="N1098" s="23"/>
      <c r="O1098" s="23"/>
    </row>
    <row r="1099" customFormat="false" ht="15" hidden="false" customHeight="true" outlineLevel="0" collapsed="false">
      <c r="C1099" s="27" t="s">
        <v>992</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1007</v>
      </c>
      <c r="B1101" s="3" t="s">
        <v>103</v>
      </c>
      <c r="C1101" s="3" t="s">
        <v>1008</v>
      </c>
      <c r="M1101" s="23"/>
      <c r="N1101" s="23"/>
      <c r="O1101" s="23"/>
    </row>
    <row r="1102" customFormat="false" ht="120" hidden="false" customHeight="true" outlineLevel="0" collapsed="false">
      <c r="C1102" s="26" t="s">
        <v>1009</v>
      </c>
      <c r="M1102" s="23"/>
      <c r="N1102" s="23"/>
      <c r="O1102" s="23"/>
    </row>
    <row r="1103" customFormat="false" ht="15" hidden="false" customHeight="true" outlineLevel="0" collapsed="false">
      <c r="C1103" s="27" t="s">
        <v>992</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1010</v>
      </c>
      <c r="B1105" s="3" t="s">
        <v>103</v>
      </c>
      <c r="C1105" s="3" t="s">
        <v>1011</v>
      </c>
      <c r="M1105" s="23"/>
      <c r="N1105" s="23"/>
      <c r="O1105" s="23"/>
    </row>
    <row r="1106" customFormat="false" ht="120" hidden="false" customHeight="true" outlineLevel="0" collapsed="false">
      <c r="C1106" s="26" t="s">
        <v>1012</v>
      </c>
      <c r="M1106" s="23"/>
      <c r="N1106" s="23"/>
      <c r="O1106" s="23"/>
    </row>
    <row r="1107" customFormat="false" ht="15" hidden="false" customHeight="true" outlineLevel="0" collapsed="false">
      <c r="C1107" s="27" t="s">
        <v>992</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1013</v>
      </c>
      <c r="B1109" s="3" t="s">
        <v>103</v>
      </c>
      <c r="C1109" s="3" t="s">
        <v>1014</v>
      </c>
      <c r="M1109" s="23"/>
      <c r="N1109" s="23"/>
      <c r="O1109" s="23"/>
    </row>
    <row r="1110" customFormat="false" ht="120" hidden="false" customHeight="true" outlineLevel="0" collapsed="false">
      <c r="C1110" s="26" t="s">
        <v>1015</v>
      </c>
      <c r="M1110" s="23"/>
      <c r="N1110" s="23"/>
      <c r="O1110" s="23"/>
    </row>
    <row r="1111" customFormat="false" ht="15" hidden="false" customHeight="true" outlineLevel="0" collapsed="false">
      <c r="C1111" s="27" t="s">
        <v>992</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1016</v>
      </c>
      <c r="B1113" s="3" t="s">
        <v>103</v>
      </c>
      <c r="C1113" s="3" t="s">
        <v>1017</v>
      </c>
      <c r="M1113" s="23"/>
      <c r="N1113" s="23"/>
      <c r="O1113" s="23"/>
    </row>
    <row r="1114" customFormat="false" ht="120" hidden="false" customHeight="true" outlineLevel="0" collapsed="false">
      <c r="C1114" s="26" t="s">
        <v>1018</v>
      </c>
      <c r="M1114" s="23"/>
      <c r="N1114" s="23"/>
      <c r="O1114" s="23"/>
    </row>
    <row r="1115" customFormat="false" ht="15" hidden="false" customHeight="true" outlineLevel="0" collapsed="false">
      <c r="C1115" s="27" t="s">
        <v>992</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1019</v>
      </c>
      <c r="B1117" s="3" t="s">
        <v>103</v>
      </c>
      <c r="C1117" s="3" t="s">
        <v>1020</v>
      </c>
      <c r="M1117" s="23"/>
      <c r="N1117" s="23"/>
      <c r="O1117" s="23"/>
    </row>
    <row r="1118" customFormat="false" ht="120" hidden="false" customHeight="true" outlineLevel="0" collapsed="false">
      <c r="C1118" s="26" t="s">
        <v>1021</v>
      </c>
      <c r="M1118" s="23"/>
      <c r="N1118" s="23"/>
      <c r="O1118" s="23"/>
    </row>
    <row r="1119" customFormat="false" ht="15" hidden="false" customHeight="true" outlineLevel="0" collapsed="false">
      <c r="C1119" s="27" t="s">
        <v>992</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1022</v>
      </c>
      <c r="B1121" s="3" t="s">
        <v>103</v>
      </c>
      <c r="C1121" s="3" t="s">
        <v>1023</v>
      </c>
      <c r="M1121" s="23"/>
      <c r="N1121" s="23"/>
      <c r="O1121" s="23"/>
    </row>
    <row r="1122" customFormat="false" ht="108" hidden="false" customHeight="true" outlineLevel="0" collapsed="false">
      <c r="C1122" s="26" t="s">
        <v>1024</v>
      </c>
      <c r="M1122" s="23"/>
      <c r="N1122" s="23"/>
      <c r="O1122" s="23"/>
    </row>
    <row r="1123" customFormat="false" ht="15" hidden="false" customHeight="true" outlineLevel="0" collapsed="false">
      <c r="C1123" s="27" t="s">
        <v>992</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1025</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1026</v>
      </c>
      <c r="C1128" s="3" t="s">
        <v>1027</v>
      </c>
      <c r="M1128" s="23" t="s">
        <v>291</v>
      </c>
      <c r="N1128" s="23" t="s">
        <v>75</v>
      </c>
      <c r="O1128" s="23" t="s">
        <v>1026</v>
      </c>
    </row>
    <row r="1129" customFormat="false" ht="15" hidden="false" customHeight="true" outlineLevel="0" collapsed="false">
      <c r="A1129" s="3" t="s">
        <v>1028</v>
      </c>
      <c r="B1129" s="3" t="s">
        <v>1029</v>
      </c>
      <c r="C1129" s="3" t="s">
        <v>1030</v>
      </c>
      <c r="M1129" s="23"/>
      <c r="N1129" s="23"/>
      <c r="O1129" s="23"/>
    </row>
    <row r="1130" customFormat="false" ht="48" hidden="false" customHeight="true" outlineLevel="0" collapsed="false">
      <c r="C1130" s="26" t="s">
        <v>1031</v>
      </c>
      <c r="M1130" s="23"/>
      <c r="N1130" s="23"/>
      <c r="O1130" s="23"/>
    </row>
    <row r="1131" customFormat="false" ht="15" hidden="false" customHeight="true" outlineLevel="0" collapsed="false">
      <c r="C1131" s="27" t="s">
        <v>992</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1026</v>
      </c>
    </row>
    <row r="1133" customFormat="false" ht="15" hidden="false" customHeight="true" outlineLevel="0" collapsed="false">
      <c r="A1133" s="3" t="s">
        <v>1032</v>
      </c>
      <c r="B1133" s="3" t="s">
        <v>647</v>
      </c>
      <c r="C1133" s="3" t="s">
        <v>1033</v>
      </c>
      <c r="M1133" s="23"/>
      <c r="N1133" s="23"/>
      <c r="O1133" s="23"/>
    </row>
    <row r="1134" customFormat="false" ht="84" hidden="false" customHeight="true" outlineLevel="0" collapsed="false">
      <c r="C1134" s="26" t="s">
        <v>1034</v>
      </c>
      <c r="M1134" s="23"/>
      <c r="N1134" s="23"/>
      <c r="O1134" s="23"/>
    </row>
    <row r="1135" customFormat="false" ht="15" hidden="false" customHeight="true" outlineLevel="0" collapsed="false">
      <c r="C1135" s="27" t="s">
        <v>992</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1026</v>
      </c>
    </row>
    <row r="1137" customFormat="false" ht="15" hidden="false" customHeight="true" outlineLevel="0" collapsed="false">
      <c r="A1137" s="3" t="s">
        <v>1035</v>
      </c>
      <c r="B1137" s="3" t="s">
        <v>647</v>
      </c>
      <c r="C1137" s="3" t="s">
        <v>1036</v>
      </c>
      <c r="M1137" s="23"/>
      <c r="N1137" s="23"/>
      <c r="O1137" s="23"/>
    </row>
    <row r="1138" customFormat="false" ht="84" hidden="false" customHeight="true" outlineLevel="0" collapsed="false">
      <c r="C1138" s="26" t="s">
        <v>1037</v>
      </c>
      <c r="M1138" s="23"/>
      <c r="N1138" s="23"/>
      <c r="O1138" s="23"/>
    </row>
    <row r="1139" customFormat="false" ht="15" hidden="false" customHeight="true" outlineLevel="0" collapsed="false">
      <c r="C1139" s="27" t="s">
        <v>992</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1026</v>
      </c>
    </row>
    <row r="1141" customFormat="false" ht="15" hidden="false" customHeight="true" outlineLevel="0" collapsed="false">
      <c r="A1141" s="3" t="s">
        <v>1038</v>
      </c>
      <c r="B1141" s="3" t="s">
        <v>647</v>
      </c>
      <c r="C1141" s="3" t="s">
        <v>1039</v>
      </c>
      <c r="M1141" s="23"/>
      <c r="N1141" s="23"/>
      <c r="O1141" s="23"/>
    </row>
    <row r="1142" customFormat="false" ht="72" hidden="false" customHeight="true" outlineLevel="0" collapsed="false">
      <c r="C1142" s="26" t="s">
        <v>1040</v>
      </c>
      <c r="M1142" s="23"/>
      <c r="N1142" s="23"/>
      <c r="O1142" s="23"/>
    </row>
    <row r="1143" customFormat="false" ht="15" hidden="false" customHeight="true" outlineLevel="0" collapsed="false">
      <c r="C1143" s="27" t="s">
        <v>992</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1026</v>
      </c>
    </row>
    <row r="1145" customFormat="false" ht="15" hidden="false" customHeight="true" outlineLevel="0" collapsed="false">
      <c r="A1145" s="3" t="s">
        <v>1041</v>
      </c>
      <c r="B1145" s="3" t="s">
        <v>640</v>
      </c>
      <c r="C1145" s="3" t="s">
        <v>1042</v>
      </c>
      <c r="M1145" s="23"/>
      <c r="N1145" s="23"/>
      <c r="O1145" s="23"/>
    </row>
    <row r="1146" customFormat="false" ht="108" hidden="false" customHeight="true" outlineLevel="0" collapsed="false">
      <c r="C1146" s="26" t="s">
        <v>1043</v>
      </c>
      <c r="M1146" s="23"/>
      <c r="N1146" s="23"/>
      <c r="O1146" s="23"/>
    </row>
    <row r="1147" customFormat="false" ht="15" hidden="false" customHeight="true" outlineLevel="0" collapsed="false">
      <c r="C1147" s="27" t="s">
        <v>992</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1026</v>
      </c>
    </row>
    <row r="1149" customFormat="false" ht="15" hidden="false" customHeight="true" outlineLevel="0" collapsed="false">
      <c r="A1149" s="3" t="s">
        <v>1044</v>
      </c>
      <c r="B1149" s="3" t="s">
        <v>647</v>
      </c>
      <c r="C1149" s="3" t="s">
        <v>1045</v>
      </c>
      <c r="M1149" s="23"/>
      <c r="N1149" s="23"/>
      <c r="O1149" s="23"/>
    </row>
    <row r="1150" customFormat="false" ht="144" hidden="false" customHeight="true" outlineLevel="0" collapsed="false">
      <c r="C1150" s="26" t="s">
        <v>1046</v>
      </c>
      <c r="M1150" s="23"/>
      <c r="N1150" s="23"/>
      <c r="O1150" s="23"/>
    </row>
    <row r="1151" customFormat="false" ht="15" hidden="false" customHeight="true" outlineLevel="0" collapsed="false">
      <c r="C1151" s="27" t="s">
        <v>992</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1026</v>
      </c>
    </row>
    <row r="1153" customFormat="false" ht="15" hidden="false" customHeight="true" outlineLevel="0" collapsed="false">
      <c r="A1153" s="3" t="s">
        <v>1047</v>
      </c>
      <c r="B1153" s="3" t="s">
        <v>1029</v>
      </c>
      <c r="C1153" s="3" t="s">
        <v>1048</v>
      </c>
      <c r="M1153" s="23"/>
      <c r="N1153" s="23"/>
      <c r="O1153" s="23"/>
    </row>
    <row r="1154" customFormat="false" ht="84" hidden="false" customHeight="true" outlineLevel="0" collapsed="false">
      <c r="C1154" s="26" t="s">
        <v>1049</v>
      </c>
      <c r="M1154" s="23"/>
      <c r="N1154" s="23"/>
      <c r="O1154" s="23"/>
    </row>
    <row r="1155" customFormat="false" ht="15" hidden="false" customHeight="true" outlineLevel="0" collapsed="false">
      <c r="C1155" s="27" t="s">
        <v>992</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1026</v>
      </c>
    </row>
    <row r="1157" customFormat="false" ht="15" hidden="false" customHeight="true" outlineLevel="0" collapsed="false">
      <c r="A1157" s="3" t="s">
        <v>1050</v>
      </c>
      <c r="B1157" s="3" t="s">
        <v>640</v>
      </c>
      <c r="C1157" s="3" t="s">
        <v>1051</v>
      </c>
      <c r="M1157" s="23"/>
      <c r="N1157" s="23"/>
      <c r="O1157" s="23"/>
    </row>
    <row r="1158" customFormat="false" ht="48" hidden="false" customHeight="true" outlineLevel="0" collapsed="false">
      <c r="C1158" s="26" t="s">
        <v>1052</v>
      </c>
      <c r="M1158" s="23"/>
      <c r="N1158" s="23"/>
      <c r="O1158" s="23"/>
    </row>
    <row r="1159" customFormat="false" ht="15" hidden="false" customHeight="true" outlineLevel="0" collapsed="false">
      <c r="C1159" s="27" t="s">
        <v>992</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1026</v>
      </c>
    </row>
    <row r="1161" customFormat="false" ht="15" hidden="false" customHeight="true" outlineLevel="0" collapsed="false">
      <c r="A1161" s="3" t="s">
        <v>1053</v>
      </c>
      <c r="B1161" s="3" t="s">
        <v>640</v>
      </c>
      <c r="C1161" s="3" t="s">
        <v>1054</v>
      </c>
      <c r="M1161" s="23"/>
      <c r="N1161" s="23"/>
      <c r="O1161" s="23"/>
    </row>
    <row r="1162" customFormat="false" ht="84" hidden="false" customHeight="true" outlineLevel="0" collapsed="false">
      <c r="C1162" s="26" t="s">
        <v>1055</v>
      </c>
      <c r="M1162" s="23"/>
      <c r="N1162" s="23"/>
      <c r="O1162" s="23"/>
    </row>
    <row r="1163" customFormat="false" ht="15" hidden="false" customHeight="true" outlineLevel="0" collapsed="false">
      <c r="C1163" s="27" t="s">
        <v>992</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1026</v>
      </c>
    </row>
    <row r="1165" customFormat="false" ht="15" hidden="false" customHeight="true" outlineLevel="0" collapsed="false">
      <c r="A1165" s="3" t="s">
        <v>1056</v>
      </c>
      <c r="B1165" s="3" t="s">
        <v>640</v>
      </c>
      <c r="C1165" s="3" t="s">
        <v>1057</v>
      </c>
      <c r="M1165" s="23"/>
      <c r="N1165" s="23"/>
      <c r="O1165" s="23"/>
    </row>
    <row r="1166" customFormat="false" ht="48" hidden="false" customHeight="true" outlineLevel="0" collapsed="false">
      <c r="C1166" s="26" t="s">
        <v>1058</v>
      </c>
      <c r="M1166" s="23"/>
      <c r="N1166" s="23"/>
      <c r="O1166" s="23"/>
    </row>
    <row r="1167" customFormat="false" ht="15" hidden="false" customHeight="true" outlineLevel="0" collapsed="false">
      <c r="C1167" s="27" t="s">
        <v>992</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1026</v>
      </c>
    </row>
    <row r="1169" customFormat="false" ht="15" hidden="false" customHeight="true" outlineLevel="0" collapsed="false">
      <c r="A1169" s="3" t="s">
        <v>1059</v>
      </c>
      <c r="B1169" s="3" t="s">
        <v>640</v>
      </c>
      <c r="C1169" s="3" t="s">
        <v>1060</v>
      </c>
      <c r="M1169" s="23"/>
      <c r="N1169" s="23"/>
      <c r="O1169" s="23"/>
    </row>
    <row r="1170" customFormat="false" ht="72" hidden="false" customHeight="true" outlineLevel="0" collapsed="false">
      <c r="C1170" s="26" t="s">
        <v>1061</v>
      </c>
      <c r="M1170" s="23"/>
      <c r="N1170" s="23"/>
      <c r="O1170" s="23"/>
    </row>
    <row r="1171" customFormat="false" ht="15" hidden="false" customHeight="true" outlineLevel="0" collapsed="false">
      <c r="C1171" s="27" t="s">
        <v>992</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1026</v>
      </c>
    </row>
    <row r="1173" customFormat="false" ht="15" hidden="false" customHeight="true" outlineLevel="0" collapsed="false">
      <c r="A1173" s="3" t="s">
        <v>1062</v>
      </c>
      <c r="B1173" s="3" t="s">
        <v>640</v>
      </c>
      <c r="C1173" s="3" t="s">
        <v>1063</v>
      </c>
      <c r="M1173" s="23"/>
      <c r="N1173" s="23"/>
      <c r="O1173" s="23"/>
    </row>
    <row r="1174" customFormat="false" ht="120" hidden="false" customHeight="true" outlineLevel="0" collapsed="false">
      <c r="C1174" s="26" t="s">
        <v>1064</v>
      </c>
      <c r="M1174" s="23"/>
      <c r="N1174" s="23"/>
      <c r="O1174" s="23"/>
    </row>
    <row r="1175" customFormat="false" ht="15" hidden="false" customHeight="true" outlineLevel="0" collapsed="false">
      <c r="C1175" s="27" t="s">
        <v>992</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1026</v>
      </c>
    </row>
    <row r="1177" customFormat="false" ht="15" hidden="false" customHeight="true" outlineLevel="0" collapsed="false">
      <c r="A1177" s="3" t="s">
        <v>1065</v>
      </c>
      <c r="B1177" s="3" t="s">
        <v>640</v>
      </c>
      <c r="C1177" s="3" t="s">
        <v>1066</v>
      </c>
      <c r="M1177" s="23"/>
      <c r="N1177" s="23"/>
      <c r="O1177" s="23"/>
    </row>
    <row r="1178" customFormat="false" ht="72" hidden="false" customHeight="true" outlineLevel="0" collapsed="false">
      <c r="C1178" s="26" t="s">
        <v>1067</v>
      </c>
      <c r="M1178" s="23"/>
      <c r="N1178" s="23"/>
      <c r="O1178" s="23"/>
    </row>
    <row r="1179" customFormat="false" ht="15" hidden="false" customHeight="true" outlineLevel="0" collapsed="false">
      <c r="C1179" s="27" t="s">
        <v>992</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1026</v>
      </c>
    </row>
    <row r="1181" customFormat="false" ht="15" hidden="false" customHeight="true" outlineLevel="0" collapsed="false">
      <c r="A1181" s="3" t="s">
        <v>1068</v>
      </c>
      <c r="B1181" s="3" t="s">
        <v>640</v>
      </c>
      <c r="C1181" s="3" t="s">
        <v>1069</v>
      </c>
      <c r="M1181" s="23"/>
      <c r="N1181" s="23"/>
      <c r="O1181" s="23"/>
    </row>
    <row r="1182" customFormat="false" ht="60" hidden="false" customHeight="true" outlineLevel="0" collapsed="false">
      <c r="C1182" s="26" t="s">
        <v>1070</v>
      </c>
      <c r="M1182" s="23"/>
      <c r="N1182" s="23"/>
      <c r="O1182" s="23"/>
    </row>
    <row r="1183" customFormat="false" ht="15" hidden="false" customHeight="true" outlineLevel="0" collapsed="false">
      <c r="C1183" s="27" t="s">
        <v>992</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1026</v>
      </c>
    </row>
    <row r="1185" customFormat="false" ht="15" hidden="false" customHeight="true" outlineLevel="0" collapsed="false">
      <c r="A1185" s="3" t="s">
        <v>1071</v>
      </c>
      <c r="B1185" s="3" t="s">
        <v>647</v>
      </c>
      <c r="C1185" s="3" t="s">
        <v>1072</v>
      </c>
      <c r="M1185" s="23"/>
      <c r="N1185" s="23"/>
      <c r="O1185" s="23"/>
    </row>
    <row r="1186" customFormat="false" ht="72" hidden="false" customHeight="true" outlineLevel="0" collapsed="false">
      <c r="C1186" s="26" t="s">
        <v>1073</v>
      </c>
      <c r="M1186" s="23"/>
      <c r="N1186" s="23"/>
      <c r="O1186" s="23"/>
    </row>
    <row r="1187" customFormat="false" ht="15" hidden="false" customHeight="true" outlineLevel="0" collapsed="false">
      <c r="C1187" s="27" t="s">
        <v>992</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1026</v>
      </c>
    </row>
    <row r="1189" customFormat="false" ht="15" hidden="false" customHeight="true" outlineLevel="0" collapsed="false">
      <c r="A1189" s="3" t="s">
        <v>1074</v>
      </c>
      <c r="B1189" s="3" t="s">
        <v>640</v>
      </c>
      <c r="C1189" s="3" t="s">
        <v>1075</v>
      </c>
      <c r="M1189" s="23"/>
      <c r="N1189" s="23"/>
      <c r="O1189" s="23"/>
    </row>
    <row r="1190" customFormat="false" ht="72" hidden="false" customHeight="true" outlineLevel="0" collapsed="false">
      <c r="C1190" s="26" t="s">
        <v>1076</v>
      </c>
      <c r="M1190" s="23"/>
      <c r="N1190" s="23"/>
      <c r="O1190" s="23"/>
    </row>
    <row r="1191" customFormat="false" ht="15" hidden="false" customHeight="true" outlineLevel="0" collapsed="false">
      <c r="C1191" s="27" t="s">
        <v>992</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1026</v>
      </c>
    </row>
    <row r="1193" customFormat="false" ht="15" hidden="false" customHeight="true" outlineLevel="0" collapsed="false">
      <c r="A1193" s="3" t="s">
        <v>1077</v>
      </c>
      <c r="C1193" s="3" t="s">
        <v>1078</v>
      </c>
      <c r="M1193" s="23" t="s">
        <v>291</v>
      </c>
      <c r="N1193" s="23" t="s">
        <v>75</v>
      </c>
      <c r="O1193" s="23" t="s">
        <v>1077</v>
      </c>
    </row>
    <row r="1194" customFormat="false" ht="15" hidden="false" customHeight="true" outlineLevel="0" collapsed="false">
      <c r="A1194" s="3" t="s">
        <v>1079</v>
      </c>
      <c r="B1194" s="3" t="s">
        <v>640</v>
      </c>
      <c r="C1194" s="3" t="s">
        <v>1080</v>
      </c>
      <c r="M1194" s="23"/>
      <c r="N1194" s="23"/>
      <c r="O1194" s="23"/>
    </row>
    <row r="1195" customFormat="false" ht="60" hidden="false" customHeight="true" outlineLevel="0" collapsed="false">
      <c r="C1195" s="26" t="s">
        <v>1081</v>
      </c>
      <c r="M1195" s="23"/>
      <c r="N1195" s="23"/>
      <c r="O1195" s="23"/>
    </row>
    <row r="1196" customFormat="false" ht="15" hidden="false" customHeight="true" outlineLevel="0" collapsed="false">
      <c r="C1196" s="27" t="s">
        <v>992</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1077</v>
      </c>
    </row>
    <row r="1198" customFormat="false" ht="15" hidden="false" customHeight="true" outlineLevel="0" collapsed="false">
      <c r="A1198" s="3" t="s">
        <v>1082</v>
      </c>
      <c r="B1198" s="3" t="s">
        <v>640</v>
      </c>
      <c r="C1198" s="3" t="s">
        <v>1083</v>
      </c>
      <c r="M1198" s="23"/>
      <c r="N1198" s="23"/>
      <c r="O1198" s="23"/>
    </row>
    <row r="1199" customFormat="false" ht="60" hidden="false" customHeight="true" outlineLevel="0" collapsed="false">
      <c r="C1199" s="26" t="s">
        <v>1084</v>
      </c>
      <c r="M1199" s="23"/>
      <c r="N1199" s="23"/>
      <c r="O1199" s="23"/>
    </row>
    <row r="1200" customFormat="false" ht="15" hidden="false" customHeight="true" outlineLevel="0" collapsed="false">
      <c r="C1200" s="27" t="s">
        <v>992</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1077</v>
      </c>
    </row>
    <row r="1202" customFormat="false" ht="15" hidden="false" customHeight="true" outlineLevel="0" collapsed="false">
      <c r="A1202" s="3" t="s">
        <v>1085</v>
      </c>
      <c r="C1202" s="3" t="s">
        <v>1086</v>
      </c>
      <c r="M1202" s="23" t="s">
        <v>291</v>
      </c>
      <c r="N1202" s="23" t="s">
        <v>75</v>
      </c>
      <c r="O1202" s="23" t="s">
        <v>1085</v>
      </c>
    </row>
    <row r="1203" customFormat="false" ht="15" hidden="false" customHeight="true" outlineLevel="0" collapsed="false">
      <c r="A1203" s="3" t="s">
        <v>1087</v>
      </c>
      <c r="B1203" s="3" t="s">
        <v>103</v>
      </c>
      <c r="C1203" s="3" t="s">
        <v>1088</v>
      </c>
      <c r="M1203" s="23"/>
      <c r="N1203" s="23"/>
      <c r="O1203" s="23"/>
    </row>
    <row r="1204" customFormat="false" ht="36" hidden="false" customHeight="true" outlineLevel="0" collapsed="false">
      <c r="C1204" s="26" t="s">
        <v>1089</v>
      </c>
      <c r="M1204" s="23"/>
      <c r="N1204" s="23"/>
      <c r="O1204" s="23"/>
    </row>
    <row r="1205" customFormat="false" ht="15" hidden="false" customHeight="true" outlineLevel="0" collapsed="false">
      <c r="C1205" s="27" t="s">
        <v>992</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1085</v>
      </c>
    </row>
    <row r="1207" customFormat="false" ht="15" hidden="false" customHeight="true" outlineLevel="0" collapsed="false">
      <c r="A1207" s="3" t="s">
        <v>1090</v>
      </c>
      <c r="B1207" s="3" t="s">
        <v>103</v>
      </c>
      <c r="C1207" s="3" t="s">
        <v>1091</v>
      </c>
      <c r="M1207" s="23"/>
      <c r="N1207" s="23"/>
      <c r="O1207" s="23"/>
    </row>
    <row r="1208" customFormat="false" ht="48" hidden="false" customHeight="true" outlineLevel="0" collapsed="false">
      <c r="C1208" s="26" t="s">
        <v>1092</v>
      </c>
      <c r="M1208" s="23"/>
      <c r="N1208" s="23"/>
      <c r="O1208" s="23"/>
    </row>
    <row r="1209" customFormat="false" ht="15" hidden="false" customHeight="true" outlineLevel="0" collapsed="false">
      <c r="C1209" s="27" t="s">
        <v>992</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1085</v>
      </c>
    </row>
    <row r="1211" customFormat="false" ht="15" hidden="false" customHeight="true" outlineLevel="0" collapsed="false">
      <c r="A1211" s="3" t="s">
        <v>1093</v>
      </c>
      <c r="B1211" s="3" t="s">
        <v>103</v>
      </c>
      <c r="C1211" s="3" t="s">
        <v>1094</v>
      </c>
      <c r="M1211" s="23"/>
      <c r="N1211" s="23"/>
      <c r="O1211" s="23"/>
    </row>
    <row r="1212" customFormat="false" ht="36" hidden="false" customHeight="true" outlineLevel="0" collapsed="false">
      <c r="C1212" s="26" t="s">
        <v>1095</v>
      </c>
      <c r="M1212" s="23"/>
      <c r="N1212" s="23"/>
      <c r="O1212" s="23"/>
    </row>
    <row r="1213" customFormat="false" ht="15" hidden="false" customHeight="true" outlineLevel="0" collapsed="false">
      <c r="C1213" s="27" t="s">
        <v>992</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1085</v>
      </c>
    </row>
    <row r="1215" customFormat="false" ht="15" hidden="false" customHeight="true" outlineLevel="0" collapsed="false">
      <c r="A1215" s="3" t="s">
        <v>1096</v>
      </c>
      <c r="B1215" s="3" t="s">
        <v>103</v>
      </c>
      <c r="C1215" s="3" t="s">
        <v>1097</v>
      </c>
      <c r="M1215" s="23"/>
      <c r="N1215" s="23"/>
      <c r="O1215" s="23"/>
    </row>
    <row r="1216" customFormat="false" ht="60" hidden="false" customHeight="true" outlineLevel="0" collapsed="false">
      <c r="C1216" s="26" t="s">
        <v>1098</v>
      </c>
      <c r="M1216" s="23"/>
      <c r="N1216" s="23"/>
      <c r="O1216" s="23"/>
    </row>
    <row r="1217" customFormat="false" ht="15" hidden="false" customHeight="true" outlineLevel="0" collapsed="false">
      <c r="C1217" s="27" t="s">
        <v>992</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1085</v>
      </c>
    </row>
    <row r="1219" customFormat="false" ht="15" hidden="false" customHeight="true" outlineLevel="0" collapsed="false">
      <c r="A1219" s="3" t="s">
        <v>1099</v>
      </c>
      <c r="B1219" s="3" t="s">
        <v>140</v>
      </c>
      <c r="C1219" s="3" t="s">
        <v>1100</v>
      </c>
      <c r="M1219" s="23"/>
      <c r="N1219" s="23"/>
      <c r="O1219" s="23"/>
    </row>
    <row r="1220" customFormat="false" ht="48" hidden="false" customHeight="true" outlineLevel="0" collapsed="false">
      <c r="C1220" s="26" t="s">
        <v>1101</v>
      </c>
      <c r="M1220" s="23"/>
      <c r="N1220" s="23"/>
      <c r="O1220" s="23"/>
    </row>
    <row r="1221" customFormat="false" ht="15" hidden="false" customHeight="true" outlineLevel="0" collapsed="false">
      <c r="C1221" s="27" t="s">
        <v>992</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1085</v>
      </c>
    </row>
    <row r="1223" customFormat="false" ht="15" hidden="false" customHeight="true" outlineLevel="0" collapsed="false">
      <c r="A1223" s="3" t="s">
        <v>1102</v>
      </c>
      <c r="B1223" s="3" t="s">
        <v>103</v>
      </c>
      <c r="C1223" s="3" t="s">
        <v>1103</v>
      </c>
      <c r="M1223" s="23"/>
      <c r="N1223" s="23"/>
      <c r="O1223" s="23"/>
    </row>
    <row r="1224" customFormat="false" ht="36" hidden="false" customHeight="true" outlineLevel="0" collapsed="false">
      <c r="C1224" s="26" t="s">
        <v>1104</v>
      </c>
      <c r="M1224" s="23"/>
      <c r="N1224" s="23"/>
      <c r="O1224" s="23"/>
    </row>
    <row r="1225" customFormat="false" ht="15" hidden="false" customHeight="true" outlineLevel="0" collapsed="false">
      <c r="C1225" s="27" t="s">
        <v>992</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1085</v>
      </c>
    </row>
    <row r="1227" customFormat="false" ht="15" hidden="false" customHeight="true" outlineLevel="0" collapsed="false">
      <c r="A1227" s="3" t="s">
        <v>1105</v>
      </c>
      <c r="B1227" s="3" t="s">
        <v>103</v>
      </c>
      <c r="C1227" s="3" t="s">
        <v>1106</v>
      </c>
      <c r="M1227" s="23"/>
      <c r="N1227" s="23"/>
      <c r="O1227" s="23"/>
    </row>
    <row r="1228" customFormat="false" ht="36" hidden="false" customHeight="true" outlineLevel="0" collapsed="false">
      <c r="C1228" s="26" t="s">
        <v>1107</v>
      </c>
      <c r="M1228" s="23"/>
      <c r="N1228" s="23"/>
      <c r="O1228" s="23"/>
    </row>
    <row r="1229" customFormat="false" ht="15" hidden="false" customHeight="true" outlineLevel="0" collapsed="false">
      <c r="C1229" s="27" t="s">
        <v>992</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1085</v>
      </c>
    </row>
    <row r="1231" customFormat="false" ht="15" hidden="false" customHeight="true" outlineLevel="0" collapsed="false">
      <c r="A1231" s="3" t="s">
        <v>1108</v>
      </c>
      <c r="B1231" s="3" t="s">
        <v>103</v>
      </c>
      <c r="C1231" s="3" t="s">
        <v>1109</v>
      </c>
      <c r="M1231" s="23"/>
      <c r="N1231" s="23"/>
      <c r="O1231" s="23"/>
    </row>
    <row r="1232" customFormat="false" ht="36" hidden="false" customHeight="true" outlineLevel="0" collapsed="false">
      <c r="C1232" s="26" t="s">
        <v>1110</v>
      </c>
      <c r="M1232" s="23"/>
      <c r="N1232" s="23"/>
      <c r="O1232" s="23"/>
    </row>
    <row r="1233" customFormat="false" ht="15" hidden="false" customHeight="true" outlineLevel="0" collapsed="false">
      <c r="C1233" s="27" t="s">
        <v>992</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1085</v>
      </c>
    </row>
    <row r="1235" customFormat="false" ht="15" hidden="false" customHeight="true" outlineLevel="0" collapsed="false">
      <c r="A1235" s="3" t="s">
        <v>1111</v>
      </c>
      <c r="B1235" s="3" t="s">
        <v>103</v>
      </c>
      <c r="C1235" s="3" t="s">
        <v>1112</v>
      </c>
      <c r="M1235" s="23"/>
      <c r="N1235" s="23"/>
      <c r="O1235" s="23"/>
    </row>
    <row r="1236" customFormat="false" ht="48" hidden="false" customHeight="true" outlineLevel="0" collapsed="false">
      <c r="C1236" s="26" t="s">
        <v>1113</v>
      </c>
      <c r="M1236" s="23"/>
      <c r="N1236" s="23"/>
      <c r="O1236" s="23"/>
    </row>
    <row r="1237" customFormat="false" ht="15" hidden="false" customHeight="true" outlineLevel="0" collapsed="false">
      <c r="C1237" s="27" t="s">
        <v>992</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1085</v>
      </c>
    </row>
    <row r="1239" customFormat="false" ht="15" hidden="false" customHeight="true" outlineLevel="0" collapsed="false">
      <c r="A1239" s="3" t="s">
        <v>1114</v>
      </c>
      <c r="B1239" s="3" t="s">
        <v>103</v>
      </c>
      <c r="C1239" s="3" t="s">
        <v>1115</v>
      </c>
      <c r="M1239" s="23"/>
      <c r="N1239" s="23"/>
      <c r="O1239" s="23"/>
    </row>
    <row r="1240" customFormat="false" ht="48" hidden="false" customHeight="true" outlineLevel="0" collapsed="false">
      <c r="C1240" s="26" t="s">
        <v>1116</v>
      </c>
      <c r="M1240" s="23"/>
      <c r="N1240" s="23"/>
      <c r="O1240" s="23"/>
    </row>
    <row r="1241" customFormat="false" ht="15" hidden="false" customHeight="true" outlineLevel="0" collapsed="false">
      <c r="C1241" s="27" t="s">
        <v>992</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1085</v>
      </c>
    </row>
    <row r="1243" customFormat="false" ht="15" hidden="false" customHeight="true" outlineLevel="0" collapsed="false">
      <c r="A1243" s="3" t="s">
        <v>1117</v>
      </c>
      <c r="B1243" s="3" t="s">
        <v>103</v>
      </c>
      <c r="C1243" s="3" t="s">
        <v>1118</v>
      </c>
      <c r="M1243" s="23"/>
      <c r="N1243" s="23"/>
      <c r="O1243" s="23"/>
    </row>
    <row r="1244" customFormat="false" ht="36" hidden="false" customHeight="true" outlineLevel="0" collapsed="false">
      <c r="C1244" s="26" t="s">
        <v>1119</v>
      </c>
      <c r="M1244" s="23"/>
      <c r="N1244" s="23"/>
      <c r="O1244" s="23"/>
    </row>
    <row r="1245" customFormat="false" ht="15" hidden="false" customHeight="true" outlineLevel="0" collapsed="false">
      <c r="C1245" s="27" t="s">
        <v>992</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1085</v>
      </c>
    </row>
    <row r="1247" customFormat="false" ht="15" hidden="false" customHeight="true" outlineLevel="0" collapsed="false">
      <c r="A1247" s="3" t="s">
        <v>1120</v>
      </c>
      <c r="B1247" s="3" t="s">
        <v>103</v>
      </c>
      <c r="C1247" s="3" t="s">
        <v>1121</v>
      </c>
      <c r="M1247" s="23"/>
      <c r="N1247" s="23"/>
      <c r="O1247" s="23"/>
    </row>
    <row r="1248" customFormat="false" ht="36" hidden="false" customHeight="true" outlineLevel="0" collapsed="false">
      <c r="C1248" s="26" t="s">
        <v>1122</v>
      </c>
      <c r="M1248" s="23"/>
      <c r="N1248" s="23"/>
      <c r="O1248" s="23"/>
    </row>
    <row r="1249" customFormat="false" ht="15" hidden="false" customHeight="true" outlineLevel="0" collapsed="false">
      <c r="C1249" s="27" t="s">
        <v>992</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1085</v>
      </c>
    </row>
    <row r="1251" customFormat="false" ht="15" hidden="false" customHeight="true" outlineLevel="0" collapsed="false">
      <c r="A1251" s="3" t="s">
        <v>1123</v>
      </c>
      <c r="B1251" s="3" t="s">
        <v>103</v>
      </c>
      <c r="C1251" s="3" t="s">
        <v>1124</v>
      </c>
      <c r="M1251" s="23"/>
      <c r="N1251" s="23"/>
      <c r="O1251" s="23"/>
    </row>
    <row r="1252" customFormat="false" ht="36" hidden="false" customHeight="true" outlineLevel="0" collapsed="false">
      <c r="C1252" s="26" t="s">
        <v>1125</v>
      </c>
      <c r="M1252" s="23"/>
      <c r="N1252" s="23"/>
      <c r="O1252" s="23"/>
    </row>
    <row r="1253" customFormat="false" ht="15" hidden="false" customHeight="true" outlineLevel="0" collapsed="false">
      <c r="C1253" s="27" t="s">
        <v>992</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1085</v>
      </c>
    </row>
    <row r="1255" customFormat="false" ht="15" hidden="false" customHeight="true" outlineLevel="0" collapsed="false">
      <c r="A1255" s="3" t="s">
        <v>1126</v>
      </c>
      <c r="B1255" s="3" t="s">
        <v>103</v>
      </c>
      <c r="C1255" s="3" t="s">
        <v>1127</v>
      </c>
      <c r="M1255" s="23"/>
      <c r="N1255" s="23"/>
      <c r="O1255" s="23"/>
    </row>
    <row r="1256" customFormat="false" ht="48" hidden="false" customHeight="true" outlineLevel="0" collapsed="false">
      <c r="C1256" s="26" t="s">
        <v>1128</v>
      </c>
      <c r="M1256" s="23"/>
      <c r="N1256" s="23"/>
      <c r="O1256" s="23"/>
    </row>
    <row r="1257" customFormat="false" ht="15" hidden="false" customHeight="true" outlineLevel="0" collapsed="false">
      <c r="C1257" s="27" t="s">
        <v>992</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1085</v>
      </c>
    </row>
    <row r="1259" customFormat="false" ht="15" hidden="false" customHeight="true" outlineLevel="0" collapsed="false">
      <c r="A1259" s="3" t="s">
        <v>1129</v>
      </c>
      <c r="B1259" s="3" t="s">
        <v>103</v>
      </c>
      <c r="C1259" s="3" t="s">
        <v>1130</v>
      </c>
      <c r="M1259" s="23"/>
      <c r="N1259" s="23"/>
      <c r="O1259" s="23"/>
    </row>
    <row r="1260" customFormat="false" ht="36" hidden="false" customHeight="true" outlineLevel="0" collapsed="false">
      <c r="C1260" s="26" t="s">
        <v>1131</v>
      </c>
      <c r="M1260" s="23"/>
      <c r="N1260" s="23"/>
      <c r="O1260" s="23"/>
    </row>
    <row r="1261" customFormat="false" ht="15" hidden="false" customHeight="true" outlineLevel="0" collapsed="false">
      <c r="C1261" s="27" t="s">
        <v>992</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1085</v>
      </c>
    </row>
    <row r="1263" customFormat="false" ht="15" hidden="false" customHeight="true" outlineLevel="0" collapsed="false">
      <c r="A1263" s="3" t="s">
        <v>1132</v>
      </c>
      <c r="B1263" s="3" t="s">
        <v>103</v>
      </c>
      <c r="C1263" s="3" t="s">
        <v>1133</v>
      </c>
      <c r="M1263" s="23"/>
      <c r="N1263" s="23"/>
      <c r="O1263" s="23"/>
    </row>
    <row r="1264" customFormat="false" ht="36" hidden="false" customHeight="true" outlineLevel="0" collapsed="false">
      <c r="C1264" s="26" t="s">
        <v>1134</v>
      </c>
      <c r="M1264" s="23"/>
      <c r="N1264" s="23"/>
      <c r="O1264" s="23"/>
    </row>
    <row r="1265" customFormat="false" ht="15" hidden="false" customHeight="true" outlineLevel="0" collapsed="false">
      <c r="C1265" s="27" t="s">
        <v>992</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1085</v>
      </c>
    </row>
    <row r="1267" customFormat="false" ht="15" hidden="false" customHeight="true" outlineLevel="0" collapsed="false">
      <c r="A1267" s="3" t="s">
        <v>1135</v>
      </c>
      <c r="B1267" s="3" t="s">
        <v>103</v>
      </c>
      <c r="C1267" s="3" t="s">
        <v>1136</v>
      </c>
      <c r="M1267" s="23"/>
      <c r="N1267" s="23"/>
      <c r="O1267" s="23"/>
    </row>
    <row r="1268" customFormat="false" ht="36" hidden="false" customHeight="true" outlineLevel="0" collapsed="false">
      <c r="C1268" s="26" t="s">
        <v>1137</v>
      </c>
      <c r="M1268" s="23"/>
      <c r="N1268" s="23"/>
      <c r="O1268" s="23"/>
    </row>
    <row r="1269" customFormat="false" ht="15" hidden="false" customHeight="true" outlineLevel="0" collapsed="false">
      <c r="C1269" s="27" t="s">
        <v>992</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1085</v>
      </c>
    </row>
    <row r="1271" customFormat="false" ht="15" hidden="false" customHeight="true" outlineLevel="0" collapsed="false">
      <c r="A1271" s="3" t="s">
        <v>1138</v>
      </c>
      <c r="B1271" s="3" t="s">
        <v>103</v>
      </c>
      <c r="C1271" s="3" t="s">
        <v>1139</v>
      </c>
      <c r="M1271" s="23"/>
      <c r="N1271" s="23"/>
      <c r="O1271" s="23"/>
    </row>
    <row r="1272" customFormat="false" ht="36" hidden="false" customHeight="true" outlineLevel="0" collapsed="false">
      <c r="C1272" s="26" t="s">
        <v>1140</v>
      </c>
      <c r="M1272" s="23"/>
      <c r="N1272" s="23"/>
      <c r="O1272" s="23"/>
    </row>
    <row r="1273" customFormat="false" ht="15" hidden="false" customHeight="true" outlineLevel="0" collapsed="false">
      <c r="C1273" s="27" t="s">
        <v>992</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1085</v>
      </c>
    </row>
    <row r="1275" customFormat="false" ht="15" hidden="false" customHeight="true" outlineLevel="0" collapsed="false">
      <c r="A1275" s="3" t="s">
        <v>1141</v>
      </c>
      <c r="B1275" s="3" t="s">
        <v>103</v>
      </c>
      <c r="C1275" s="3" t="s">
        <v>1142</v>
      </c>
      <c r="M1275" s="23"/>
      <c r="N1275" s="23"/>
      <c r="O1275" s="23"/>
    </row>
    <row r="1276" customFormat="false" ht="36" hidden="false" customHeight="true" outlineLevel="0" collapsed="false">
      <c r="C1276" s="26" t="s">
        <v>1143</v>
      </c>
      <c r="M1276" s="23"/>
      <c r="N1276" s="23"/>
      <c r="O1276" s="23"/>
    </row>
    <row r="1277" customFormat="false" ht="15" hidden="false" customHeight="true" outlineLevel="0" collapsed="false">
      <c r="C1277" s="27" t="s">
        <v>992</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1085</v>
      </c>
    </row>
    <row r="1279" customFormat="false" ht="15" hidden="false" customHeight="true" outlineLevel="0" collapsed="false">
      <c r="A1279" s="3" t="s">
        <v>1144</v>
      </c>
      <c r="B1279" s="3" t="s">
        <v>103</v>
      </c>
      <c r="C1279" s="3" t="s">
        <v>1145</v>
      </c>
      <c r="M1279" s="23"/>
      <c r="N1279" s="23"/>
      <c r="O1279" s="23"/>
    </row>
    <row r="1280" customFormat="false" ht="36" hidden="false" customHeight="true" outlineLevel="0" collapsed="false">
      <c r="C1280" s="26" t="s">
        <v>1146</v>
      </c>
      <c r="M1280" s="23"/>
      <c r="N1280" s="23"/>
      <c r="O1280" s="23"/>
    </row>
    <row r="1281" customFormat="false" ht="15" hidden="false" customHeight="true" outlineLevel="0" collapsed="false">
      <c r="C1281" s="27" t="s">
        <v>992</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1085</v>
      </c>
    </row>
    <row r="1283" customFormat="false" ht="15" hidden="false" customHeight="true" outlineLevel="0" collapsed="false">
      <c r="A1283" s="3" t="s">
        <v>1147</v>
      </c>
      <c r="B1283" s="3" t="s">
        <v>103</v>
      </c>
      <c r="C1283" s="3" t="s">
        <v>1148</v>
      </c>
      <c r="M1283" s="23"/>
      <c r="N1283" s="23"/>
      <c r="O1283" s="23"/>
    </row>
    <row r="1284" customFormat="false" ht="36" hidden="false" customHeight="true" outlineLevel="0" collapsed="false">
      <c r="C1284" s="26" t="s">
        <v>1149</v>
      </c>
      <c r="M1284" s="23"/>
      <c r="N1284" s="23"/>
      <c r="O1284" s="23"/>
    </row>
    <row r="1285" customFormat="false" ht="15" hidden="false" customHeight="true" outlineLevel="0" collapsed="false">
      <c r="C1285" s="27" t="s">
        <v>992</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1085</v>
      </c>
    </row>
    <row r="1287" customFormat="false" ht="15" hidden="false" customHeight="true" outlineLevel="0" collapsed="false">
      <c r="A1287" s="3" t="s">
        <v>1150</v>
      </c>
      <c r="B1287" s="3" t="s">
        <v>103</v>
      </c>
      <c r="C1287" s="3" t="s">
        <v>1151</v>
      </c>
      <c r="M1287" s="23"/>
      <c r="N1287" s="23"/>
      <c r="O1287" s="23"/>
    </row>
    <row r="1288" customFormat="false" ht="48" hidden="false" customHeight="true" outlineLevel="0" collapsed="false">
      <c r="C1288" s="26" t="s">
        <v>1152</v>
      </c>
      <c r="M1288" s="23"/>
      <c r="N1288" s="23"/>
      <c r="O1288" s="23"/>
    </row>
    <row r="1289" customFormat="false" ht="15" hidden="false" customHeight="true" outlineLevel="0" collapsed="false">
      <c r="C1289" s="27" t="s">
        <v>992</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1085</v>
      </c>
    </row>
    <row r="1291" customFormat="false" ht="15" hidden="false" customHeight="true" outlineLevel="0" collapsed="false">
      <c r="A1291" s="3" t="s">
        <v>1153</v>
      </c>
      <c r="B1291" s="3" t="s">
        <v>103</v>
      </c>
      <c r="C1291" s="3" t="s">
        <v>1154</v>
      </c>
      <c r="M1291" s="23"/>
      <c r="N1291" s="23"/>
      <c r="O1291" s="23"/>
    </row>
    <row r="1292" customFormat="false" ht="36" hidden="false" customHeight="true" outlineLevel="0" collapsed="false">
      <c r="C1292" s="26" t="s">
        <v>1155</v>
      </c>
      <c r="M1292" s="23"/>
      <c r="N1292" s="23"/>
      <c r="O1292" s="23"/>
    </row>
    <row r="1293" customFormat="false" ht="15" hidden="false" customHeight="true" outlineLevel="0" collapsed="false">
      <c r="C1293" s="27" t="s">
        <v>992</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1085</v>
      </c>
    </row>
    <row r="1295" customFormat="false" ht="15" hidden="false" customHeight="true" outlineLevel="0" collapsed="false">
      <c r="A1295" s="3" t="s">
        <v>1156</v>
      </c>
      <c r="B1295" s="3" t="s">
        <v>103</v>
      </c>
      <c r="C1295" s="3" t="s">
        <v>1157</v>
      </c>
      <c r="M1295" s="23"/>
      <c r="N1295" s="23"/>
      <c r="O1295" s="23"/>
    </row>
    <row r="1296" customFormat="false" ht="36" hidden="false" customHeight="true" outlineLevel="0" collapsed="false">
      <c r="C1296" s="26" t="s">
        <v>1158</v>
      </c>
      <c r="M1296" s="23"/>
      <c r="N1296" s="23"/>
      <c r="O1296" s="23"/>
    </row>
    <row r="1297" customFormat="false" ht="15" hidden="false" customHeight="true" outlineLevel="0" collapsed="false">
      <c r="C1297" s="27" t="s">
        <v>992</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1085</v>
      </c>
    </row>
    <row r="1299" customFormat="false" ht="15" hidden="false" customHeight="true" outlineLevel="0" collapsed="false">
      <c r="A1299" s="3" t="s">
        <v>1159</v>
      </c>
      <c r="B1299" s="3" t="s">
        <v>103</v>
      </c>
      <c r="C1299" s="3" t="s">
        <v>1160</v>
      </c>
      <c r="M1299" s="23"/>
      <c r="N1299" s="23"/>
      <c r="O1299" s="23"/>
    </row>
    <row r="1300" customFormat="false" ht="36" hidden="false" customHeight="true" outlineLevel="0" collapsed="false">
      <c r="C1300" s="26" t="s">
        <v>1161</v>
      </c>
      <c r="M1300" s="23"/>
      <c r="N1300" s="23"/>
      <c r="O1300" s="23"/>
    </row>
    <row r="1301" customFormat="false" ht="15" hidden="false" customHeight="true" outlineLevel="0" collapsed="false">
      <c r="C1301" s="27" t="s">
        <v>992</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1085</v>
      </c>
    </row>
    <row r="1303" customFormat="false" ht="15" hidden="false" customHeight="true" outlineLevel="0" collapsed="false">
      <c r="A1303" s="3" t="s">
        <v>1162</v>
      </c>
      <c r="B1303" s="3" t="s">
        <v>103</v>
      </c>
      <c r="C1303" s="3" t="s">
        <v>1163</v>
      </c>
      <c r="M1303" s="23"/>
      <c r="N1303" s="23"/>
      <c r="O1303" s="23"/>
    </row>
    <row r="1304" customFormat="false" ht="36" hidden="false" customHeight="true" outlineLevel="0" collapsed="false">
      <c r="C1304" s="26" t="s">
        <v>1164</v>
      </c>
      <c r="M1304" s="23"/>
      <c r="N1304" s="23"/>
      <c r="O1304" s="23"/>
    </row>
    <row r="1305" customFormat="false" ht="15" hidden="false" customHeight="true" outlineLevel="0" collapsed="false">
      <c r="C1305" s="27" t="s">
        <v>992</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1085</v>
      </c>
    </row>
    <row r="1307" customFormat="false" ht="15" hidden="false" customHeight="true" outlineLevel="0" collapsed="false">
      <c r="A1307" s="3" t="s">
        <v>1165</v>
      </c>
      <c r="B1307" s="3" t="s">
        <v>103</v>
      </c>
      <c r="C1307" s="3" t="s">
        <v>1166</v>
      </c>
      <c r="M1307" s="23"/>
      <c r="N1307" s="23"/>
      <c r="O1307" s="23"/>
    </row>
    <row r="1308" customFormat="false" ht="36" hidden="false" customHeight="true" outlineLevel="0" collapsed="false">
      <c r="C1308" s="26" t="s">
        <v>1167</v>
      </c>
      <c r="M1308" s="23"/>
      <c r="N1308" s="23"/>
      <c r="O1308" s="23"/>
    </row>
    <row r="1309" customFormat="false" ht="15" hidden="false" customHeight="true" outlineLevel="0" collapsed="false">
      <c r="C1309" s="27" t="s">
        <v>992</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1085</v>
      </c>
    </row>
    <row r="1311" customFormat="false" ht="15" hidden="false" customHeight="true" outlineLevel="0" collapsed="false">
      <c r="A1311" s="3" t="s">
        <v>1168</v>
      </c>
      <c r="B1311" s="3" t="s">
        <v>103</v>
      </c>
      <c r="C1311" s="3" t="s">
        <v>1169</v>
      </c>
      <c r="M1311" s="23"/>
      <c r="N1311" s="23"/>
      <c r="O1311" s="23"/>
    </row>
    <row r="1312" customFormat="false" ht="36" hidden="false" customHeight="true" outlineLevel="0" collapsed="false">
      <c r="C1312" s="26" t="s">
        <v>1170</v>
      </c>
      <c r="M1312" s="23"/>
      <c r="N1312" s="23"/>
      <c r="O1312" s="23"/>
    </row>
    <row r="1313" customFormat="false" ht="15" hidden="false" customHeight="true" outlineLevel="0" collapsed="false">
      <c r="C1313" s="27" t="s">
        <v>992</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1085</v>
      </c>
    </row>
    <row r="1315" customFormat="false" ht="15" hidden="false" customHeight="true" outlineLevel="0" collapsed="false">
      <c r="A1315" s="3" t="s">
        <v>1171</v>
      </c>
      <c r="B1315" s="3" t="s">
        <v>103</v>
      </c>
      <c r="C1315" s="3" t="s">
        <v>1172</v>
      </c>
      <c r="M1315" s="23"/>
      <c r="N1315" s="23"/>
      <c r="O1315" s="23"/>
    </row>
    <row r="1316" customFormat="false" ht="36" hidden="false" customHeight="true" outlineLevel="0" collapsed="false">
      <c r="C1316" s="26" t="s">
        <v>1173</v>
      </c>
      <c r="M1316" s="23"/>
      <c r="N1316" s="23"/>
      <c r="O1316" s="23"/>
    </row>
    <row r="1317" customFormat="false" ht="15" hidden="false" customHeight="true" outlineLevel="0" collapsed="false">
      <c r="C1317" s="27" t="s">
        <v>992</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1085</v>
      </c>
    </row>
    <row r="1319" customFormat="false" ht="15" hidden="false" customHeight="true" outlineLevel="0" collapsed="false">
      <c r="A1319" s="3" t="s">
        <v>1174</v>
      </c>
      <c r="B1319" s="3" t="s">
        <v>103</v>
      </c>
      <c r="C1319" s="3" t="s">
        <v>1175</v>
      </c>
      <c r="M1319" s="23"/>
      <c r="N1319" s="23"/>
      <c r="O1319" s="23"/>
    </row>
    <row r="1320" customFormat="false" ht="36" hidden="false" customHeight="true" outlineLevel="0" collapsed="false">
      <c r="C1320" s="26" t="s">
        <v>1176</v>
      </c>
      <c r="M1320" s="23"/>
      <c r="N1320" s="23"/>
      <c r="O1320" s="23"/>
    </row>
    <row r="1321" customFormat="false" ht="15" hidden="false" customHeight="true" outlineLevel="0" collapsed="false">
      <c r="C1321" s="27" t="s">
        <v>992</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1085</v>
      </c>
    </row>
    <row r="1323" customFormat="false" ht="15" hidden="false" customHeight="true" outlineLevel="0" collapsed="false">
      <c r="A1323" s="3" t="s">
        <v>1177</v>
      </c>
      <c r="B1323" s="3" t="s">
        <v>103</v>
      </c>
      <c r="C1323" s="3" t="s">
        <v>1178</v>
      </c>
      <c r="M1323" s="23"/>
      <c r="N1323" s="23"/>
      <c r="O1323" s="23"/>
    </row>
    <row r="1324" customFormat="false" ht="36" hidden="false" customHeight="true" outlineLevel="0" collapsed="false">
      <c r="C1324" s="26" t="s">
        <v>1179</v>
      </c>
      <c r="M1324" s="23"/>
      <c r="N1324" s="23"/>
      <c r="O1324" s="23"/>
    </row>
    <row r="1325" customFormat="false" ht="15" hidden="false" customHeight="true" outlineLevel="0" collapsed="false">
      <c r="C1325" s="27" t="s">
        <v>992</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1085</v>
      </c>
    </row>
    <row r="1327" customFormat="false" ht="15" hidden="false" customHeight="true" outlineLevel="0" collapsed="false">
      <c r="A1327" s="3" t="s">
        <v>1180</v>
      </c>
      <c r="B1327" s="3" t="s">
        <v>103</v>
      </c>
      <c r="C1327" s="3" t="s">
        <v>1181</v>
      </c>
      <c r="M1327" s="23"/>
      <c r="N1327" s="23"/>
      <c r="O1327" s="23"/>
    </row>
    <row r="1328" customFormat="false" ht="36" hidden="false" customHeight="true" outlineLevel="0" collapsed="false">
      <c r="C1328" s="26" t="s">
        <v>1182</v>
      </c>
      <c r="M1328" s="23"/>
      <c r="N1328" s="23"/>
      <c r="O1328" s="23"/>
    </row>
    <row r="1329" customFormat="false" ht="15" hidden="false" customHeight="true" outlineLevel="0" collapsed="false">
      <c r="C1329" s="27" t="s">
        <v>992</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1085</v>
      </c>
    </row>
    <row r="1331" customFormat="false" ht="15" hidden="false" customHeight="true" outlineLevel="0" collapsed="false">
      <c r="A1331" s="3" t="s">
        <v>1183</v>
      </c>
      <c r="B1331" s="3" t="s">
        <v>103</v>
      </c>
      <c r="C1331" s="3" t="s">
        <v>1184</v>
      </c>
      <c r="M1331" s="23"/>
      <c r="N1331" s="23"/>
      <c r="O1331" s="23"/>
    </row>
    <row r="1332" customFormat="false" ht="36" hidden="false" customHeight="true" outlineLevel="0" collapsed="false">
      <c r="C1332" s="26" t="s">
        <v>1185</v>
      </c>
      <c r="M1332" s="23"/>
      <c r="N1332" s="23"/>
      <c r="O1332" s="23"/>
    </row>
    <row r="1333" customFormat="false" ht="15" hidden="false" customHeight="true" outlineLevel="0" collapsed="false">
      <c r="C1333" s="27" t="s">
        <v>992</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1085</v>
      </c>
    </row>
    <row r="1335" customFormat="false" ht="15" hidden="false" customHeight="true" outlineLevel="0" collapsed="false">
      <c r="A1335" s="3" t="s">
        <v>1186</v>
      </c>
      <c r="B1335" s="3" t="s">
        <v>103</v>
      </c>
      <c r="C1335" s="3" t="s">
        <v>1187</v>
      </c>
      <c r="M1335" s="23"/>
      <c r="N1335" s="23"/>
      <c r="O1335" s="23"/>
    </row>
    <row r="1336" customFormat="false" ht="36" hidden="false" customHeight="true" outlineLevel="0" collapsed="false">
      <c r="C1336" s="26" t="s">
        <v>1188</v>
      </c>
      <c r="M1336" s="23"/>
      <c r="N1336" s="23"/>
      <c r="O1336" s="23"/>
    </row>
    <row r="1337" customFormat="false" ht="15" hidden="false" customHeight="true" outlineLevel="0" collapsed="false">
      <c r="C1337" s="27" t="s">
        <v>992</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1085</v>
      </c>
    </row>
    <row r="1339" customFormat="false" ht="15" hidden="false" customHeight="true" outlineLevel="0" collapsed="false">
      <c r="A1339" s="3" t="s">
        <v>1189</v>
      </c>
      <c r="B1339" s="3" t="s">
        <v>103</v>
      </c>
      <c r="C1339" s="3" t="s">
        <v>1190</v>
      </c>
      <c r="M1339" s="23"/>
      <c r="N1339" s="23"/>
      <c r="O1339" s="23"/>
    </row>
    <row r="1340" customFormat="false" ht="36" hidden="false" customHeight="true" outlineLevel="0" collapsed="false">
      <c r="C1340" s="26" t="s">
        <v>1191</v>
      </c>
      <c r="M1340" s="23"/>
      <c r="N1340" s="23"/>
      <c r="O1340" s="23"/>
    </row>
    <row r="1341" customFormat="false" ht="15" hidden="false" customHeight="true" outlineLevel="0" collapsed="false">
      <c r="C1341" s="27" t="s">
        <v>992</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1085</v>
      </c>
    </row>
    <row r="1343" customFormat="false" ht="15" hidden="false" customHeight="true" outlineLevel="0" collapsed="false">
      <c r="A1343" s="3" t="s">
        <v>1192</v>
      </c>
      <c r="B1343" s="3" t="s">
        <v>103</v>
      </c>
      <c r="C1343" s="3" t="s">
        <v>1193</v>
      </c>
      <c r="M1343" s="23"/>
      <c r="N1343" s="23"/>
      <c r="O1343" s="23"/>
    </row>
    <row r="1344" customFormat="false" ht="36" hidden="false" customHeight="true" outlineLevel="0" collapsed="false">
      <c r="C1344" s="26" t="s">
        <v>1194</v>
      </c>
      <c r="M1344" s="23"/>
      <c r="N1344" s="23"/>
      <c r="O1344" s="23"/>
    </row>
    <row r="1345" customFormat="false" ht="15" hidden="false" customHeight="true" outlineLevel="0" collapsed="false">
      <c r="C1345" s="27" t="s">
        <v>992</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1085</v>
      </c>
    </row>
    <row r="1347" customFormat="false" ht="15" hidden="false" customHeight="true" outlineLevel="0" collapsed="false">
      <c r="A1347" s="3" t="s">
        <v>1195</v>
      </c>
      <c r="B1347" s="3" t="s">
        <v>103</v>
      </c>
      <c r="C1347" s="3" t="s">
        <v>1196</v>
      </c>
      <c r="M1347" s="23"/>
      <c r="N1347" s="23"/>
      <c r="O1347" s="23"/>
    </row>
    <row r="1348" customFormat="false" ht="36" hidden="false" customHeight="true" outlineLevel="0" collapsed="false">
      <c r="C1348" s="26" t="s">
        <v>1197</v>
      </c>
      <c r="M1348" s="23"/>
      <c r="N1348" s="23"/>
      <c r="O1348" s="23"/>
    </row>
    <row r="1349" customFormat="false" ht="15" hidden="false" customHeight="true" outlineLevel="0" collapsed="false">
      <c r="C1349" s="27" t="s">
        <v>992</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1085</v>
      </c>
    </row>
    <row r="1351" customFormat="false" ht="15" hidden="false" customHeight="true" outlineLevel="0" collapsed="false">
      <c r="A1351" s="3" t="s">
        <v>1198</v>
      </c>
      <c r="B1351" s="3" t="s">
        <v>103</v>
      </c>
      <c r="C1351" s="3" t="s">
        <v>1199</v>
      </c>
      <c r="M1351" s="23"/>
      <c r="N1351" s="23"/>
      <c r="O1351" s="23"/>
    </row>
    <row r="1352" customFormat="false" ht="36" hidden="false" customHeight="true" outlineLevel="0" collapsed="false">
      <c r="C1352" s="26" t="s">
        <v>1200</v>
      </c>
      <c r="M1352" s="23"/>
      <c r="N1352" s="23"/>
      <c r="O1352" s="23"/>
    </row>
    <row r="1353" customFormat="false" ht="15" hidden="false" customHeight="true" outlineLevel="0" collapsed="false">
      <c r="C1353" s="27" t="s">
        <v>992</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1085</v>
      </c>
    </row>
    <row r="1355" customFormat="false" ht="15" hidden="false" customHeight="true" outlineLevel="0" collapsed="false">
      <c r="A1355" s="3" t="s">
        <v>1201</v>
      </c>
      <c r="B1355" s="3" t="s">
        <v>103</v>
      </c>
      <c r="C1355" s="3" t="s">
        <v>1202</v>
      </c>
      <c r="M1355" s="23"/>
      <c r="N1355" s="23"/>
      <c r="O1355" s="23"/>
    </row>
    <row r="1356" customFormat="false" ht="36" hidden="false" customHeight="true" outlineLevel="0" collapsed="false">
      <c r="C1356" s="26" t="s">
        <v>1203</v>
      </c>
      <c r="M1356" s="23"/>
      <c r="N1356" s="23"/>
      <c r="O1356" s="23"/>
    </row>
    <row r="1357" customFormat="false" ht="15" hidden="false" customHeight="true" outlineLevel="0" collapsed="false">
      <c r="C1357" s="27" t="s">
        <v>992</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1085</v>
      </c>
    </row>
    <row r="1359" customFormat="false" ht="15" hidden="false" customHeight="true" outlineLevel="0" collapsed="false">
      <c r="A1359" s="3" t="s">
        <v>1204</v>
      </c>
      <c r="B1359" s="3" t="s">
        <v>103</v>
      </c>
      <c r="C1359" s="3" t="s">
        <v>1205</v>
      </c>
      <c r="M1359" s="23"/>
      <c r="N1359" s="23"/>
      <c r="O1359" s="23"/>
    </row>
    <row r="1360" customFormat="false" ht="36" hidden="false" customHeight="true" outlineLevel="0" collapsed="false">
      <c r="C1360" s="26" t="s">
        <v>1206</v>
      </c>
      <c r="M1360" s="23"/>
      <c r="N1360" s="23"/>
      <c r="O1360" s="23"/>
    </row>
    <row r="1361" customFormat="false" ht="15" hidden="false" customHeight="true" outlineLevel="0" collapsed="false">
      <c r="C1361" s="27" t="s">
        <v>992</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1085</v>
      </c>
    </row>
    <row r="1363" customFormat="false" ht="15" hidden="false" customHeight="true" outlineLevel="0" collapsed="false">
      <c r="A1363" s="3" t="s">
        <v>1207</v>
      </c>
      <c r="B1363" s="3" t="s">
        <v>103</v>
      </c>
      <c r="C1363" s="3" t="s">
        <v>1208</v>
      </c>
      <c r="M1363" s="23"/>
      <c r="N1363" s="23"/>
      <c r="O1363" s="23"/>
    </row>
    <row r="1364" customFormat="false" ht="36" hidden="false" customHeight="true" outlineLevel="0" collapsed="false">
      <c r="C1364" s="26" t="s">
        <v>1209</v>
      </c>
      <c r="M1364" s="23"/>
      <c r="N1364" s="23"/>
      <c r="O1364" s="23"/>
    </row>
    <row r="1365" customFormat="false" ht="15" hidden="false" customHeight="true" outlineLevel="0" collapsed="false">
      <c r="C1365" s="27" t="s">
        <v>992</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1085</v>
      </c>
    </row>
    <row r="1367" customFormat="false" ht="15" hidden="false" customHeight="true" outlineLevel="0" collapsed="false">
      <c r="A1367" s="3" t="s">
        <v>1210</v>
      </c>
      <c r="B1367" s="3" t="s">
        <v>103</v>
      </c>
      <c r="C1367" s="3" t="s">
        <v>1211</v>
      </c>
      <c r="M1367" s="23"/>
      <c r="N1367" s="23"/>
      <c r="O1367" s="23"/>
    </row>
    <row r="1368" customFormat="false" ht="36" hidden="false" customHeight="true" outlineLevel="0" collapsed="false">
      <c r="C1368" s="26" t="s">
        <v>1212</v>
      </c>
      <c r="M1368" s="23"/>
      <c r="N1368" s="23"/>
      <c r="O1368" s="23"/>
    </row>
    <row r="1369" customFormat="false" ht="15" hidden="false" customHeight="true" outlineLevel="0" collapsed="false">
      <c r="C1369" s="27" t="s">
        <v>992</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1085</v>
      </c>
    </row>
    <row r="1371" customFormat="false" ht="15" hidden="false" customHeight="true" outlineLevel="0" collapsed="false">
      <c r="A1371" s="3" t="s">
        <v>1213</v>
      </c>
      <c r="B1371" s="3" t="s">
        <v>103</v>
      </c>
      <c r="C1371" s="3" t="s">
        <v>1214</v>
      </c>
      <c r="M1371" s="23"/>
      <c r="N1371" s="23"/>
      <c r="O1371" s="23"/>
    </row>
    <row r="1372" customFormat="false" ht="36" hidden="false" customHeight="true" outlineLevel="0" collapsed="false">
      <c r="C1372" s="26" t="s">
        <v>1215</v>
      </c>
      <c r="M1372" s="23"/>
      <c r="N1372" s="23"/>
      <c r="O1372" s="23"/>
    </row>
    <row r="1373" customFormat="false" ht="15" hidden="false" customHeight="true" outlineLevel="0" collapsed="false">
      <c r="C1373" s="27" t="s">
        <v>992</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1085</v>
      </c>
    </row>
    <row r="1375" customFormat="false" ht="15" hidden="false" customHeight="true" outlineLevel="0" collapsed="false">
      <c r="A1375" s="3" t="s">
        <v>1216</v>
      </c>
      <c r="C1375" s="3" t="s">
        <v>1217</v>
      </c>
      <c r="M1375" s="23" t="s">
        <v>291</v>
      </c>
      <c r="N1375" s="23" t="s">
        <v>75</v>
      </c>
      <c r="O1375" s="23" t="s">
        <v>1216</v>
      </c>
    </row>
    <row r="1376" customFormat="false" ht="15" hidden="false" customHeight="true" outlineLevel="0" collapsed="false">
      <c r="A1376" s="3" t="s">
        <v>1218</v>
      </c>
      <c r="B1376" s="3" t="s">
        <v>103</v>
      </c>
      <c r="C1376" s="3" t="s">
        <v>1219</v>
      </c>
      <c r="M1376" s="23"/>
      <c r="N1376" s="23"/>
      <c r="O1376" s="23"/>
    </row>
    <row r="1377" customFormat="false" ht="72" hidden="false" customHeight="true" outlineLevel="0" collapsed="false">
      <c r="C1377" s="26" t="s">
        <v>1220</v>
      </c>
      <c r="M1377" s="23"/>
      <c r="N1377" s="23"/>
      <c r="O1377" s="23"/>
    </row>
    <row r="1378" customFormat="false" ht="15" hidden="false" customHeight="true" outlineLevel="0" collapsed="false">
      <c r="C1378" s="27" t="s">
        <v>992</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1216</v>
      </c>
    </row>
    <row r="1380" customFormat="false" ht="15" hidden="false" customHeight="true" outlineLevel="0" collapsed="false">
      <c r="A1380" s="3" t="s">
        <v>1221</v>
      </c>
      <c r="B1380" s="3" t="s">
        <v>103</v>
      </c>
      <c r="C1380" s="3" t="s">
        <v>1222</v>
      </c>
      <c r="M1380" s="23"/>
      <c r="N1380" s="23"/>
      <c r="O1380" s="23"/>
    </row>
    <row r="1381" customFormat="false" ht="60" hidden="false" customHeight="true" outlineLevel="0" collapsed="false">
      <c r="C1381" s="26" t="s">
        <v>1223</v>
      </c>
      <c r="M1381" s="23"/>
      <c r="N1381" s="23"/>
      <c r="O1381" s="23"/>
    </row>
    <row r="1382" customFormat="false" ht="15" hidden="false" customHeight="true" outlineLevel="0" collapsed="false">
      <c r="C1382" s="27" t="s">
        <v>992</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1216</v>
      </c>
    </row>
    <row r="1384" customFormat="false" ht="15" hidden="false" customHeight="true" outlineLevel="0" collapsed="false">
      <c r="A1384" s="3" t="s">
        <v>1224</v>
      </c>
      <c r="C1384" s="3" t="s">
        <v>1225</v>
      </c>
      <c r="M1384" s="23" t="s">
        <v>291</v>
      </c>
      <c r="N1384" s="23" t="s">
        <v>75</v>
      </c>
      <c r="O1384" s="23" t="s">
        <v>1224</v>
      </c>
    </row>
    <row r="1385" customFormat="false" ht="15" hidden="false" customHeight="true" outlineLevel="0" collapsed="false">
      <c r="A1385" s="3" t="s">
        <v>1226</v>
      </c>
      <c r="B1385" s="3" t="s">
        <v>140</v>
      </c>
      <c r="C1385" s="3" t="s">
        <v>1227</v>
      </c>
      <c r="M1385" s="23"/>
      <c r="N1385" s="23"/>
      <c r="O1385" s="23"/>
    </row>
    <row r="1386" customFormat="false" ht="48" hidden="false" customHeight="true" outlineLevel="0" collapsed="false">
      <c r="C1386" s="26" t="s">
        <v>1228</v>
      </c>
      <c r="M1386" s="23"/>
      <c r="N1386" s="23"/>
      <c r="O1386" s="23"/>
    </row>
    <row r="1387" customFormat="false" ht="15" hidden="false" customHeight="true" outlineLevel="0" collapsed="false">
      <c r="C1387" s="27" t="s">
        <v>992</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1224</v>
      </c>
    </row>
    <row r="1389" customFormat="false" ht="15" hidden="false" customHeight="true" outlineLevel="0" collapsed="false">
      <c r="A1389" s="3" t="s">
        <v>1229</v>
      </c>
      <c r="B1389" s="3" t="s">
        <v>140</v>
      </c>
      <c r="C1389" s="3" t="s">
        <v>1230</v>
      </c>
      <c r="M1389" s="23"/>
      <c r="N1389" s="23"/>
      <c r="O1389" s="23"/>
    </row>
    <row r="1390" customFormat="false" ht="108" hidden="false" customHeight="true" outlineLevel="0" collapsed="false">
      <c r="C1390" s="26" t="s">
        <v>1231</v>
      </c>
      <c r="M1390" s="23"/>
      <c r="N1390" s="23"/>
      <c r="O1390" s="23"/>
    </row>
    <row r="1391" customFormat="false" ht="15" hidden="false" customHeight="true" outlineLevel="0" collapsed="false">
      <c r="C1391" s="27" t="s">
        <v>992</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1224</v>
      </c>
    </row>
    <row r="1393" customFormat="false" ht="15" hidden="false" customHeight="true" outlineLevel="0" collapsed="false">
      <c r="A1393" s="3" t="s">
        <v>1232</v>
      </c>
      <c r="B1393" s="3" t="s">
        <v>103</v>
      </c>
      <c r="C1393" s="3" t="s">
        <v>1233</v>
      </c>
      <c r="M1393" s="23"/>
      <c r="N1393" s="23"/>
      <c r="O1393" s="23"/>
    </row>
    <row r="1394" customFormat="false" ht="60" hidden="false" customHeight="true" outlineLevel="0" collapsed="false">
      <c r="C1394" s="26" t="s">
        <v>1234</v>
      </c>
      <c r="M1394" s="23"/>
      <c r="N1394" s="23"/>
      <c r="O1394" s="23"/>
    </row>
    <row r="1395" customFormat="false" ht="15" hidden="false" customHeight="true" outlineLevel="0" collapsed="false">
      <c r="C1395" s="27" t="s">
        <v>992</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1224</v>
      </c>
    </row>
    <row r="1397" customFormat="false" ht="15" hidden="false" customHeight="true" outlineLevel="0" collapsed="false">
      <c r="C1397" s="34" t="s">
        <v>1235</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1236</v>
      </c>
    </row>
    <row r="3" customFormat="false" ht="42" hidden="false" customHeight="true" outlineLevel="0" collapsed="false">
      <c r="A3" s="38" t="s">
        <v>1237</v>
      </c>
      <c r="B3" s="26" t="s">
        <v>1238</v>
      </c>
    </row>
    <row r="4" customFormat="false" ht="13.5" hidden="false" customHeight="true" outlineLevel="0" collapsed="false">
      <c r="A4" s="38" t="s">
        <v>1239</v>
      </c>
      <c r="B4" s="26" t="s">
        <v>1240</v>
      </c>
    </row>
    <row r="5" customFormat="false" ht="27.75" hidden="false" customHeight="true" outlineLevel="0" collapsed="false">
      <c r="A5" s="38" t="s">
        <v>1241</v>
      </c>
      <c r="B5" s="26" t="s">
        <v>1242</v>
      </c>
    </row>
    <row r="6" customFormat="false" ht="42" hidden="false" customHeight="true" outlineLevel="0" collapsed="false">
      <c r="A6" s="38" t="s">
        <v>1243</v>
      </c>
      <c r="B6" s="26" t="s">
        <v>1244</v>
      </c>
    </row>
    <row r="7" customFormat="false" ht="13.5" hidden="false" customHeight="true" outlineLevel="0" collapsed="false">
      <c r="A7" s="38" t="s">
        <v>1245</v>
      </c>
      <c r="B7" s="26" t="s">
        <v>1246</v>
      </c>
    </row>
    <row r="8" customFormat="false" ht="63.75" hidden="false" customHeight="true" outlineLevel="0" collapsed="false">
      <c r="A8" s="38" t="s">
        <v>1247</v>
      </c>
      <c r="B8" s="26" t="s">
        <v>1248</v>
      </c>
    </row>
    <row r="9" customFormat="false" ht="63.75" hidden="false" customHeight="true" outlineLevel="0" collapsed="false">
      <c r="A9" s="38" t="s">
        <v>1249</v>
      </c>
      <c r="B9" s="26" t="s">
        <v>1250</v>
      </c>
    </row>
    <row r="10" customFormat="false" ht="102" hidden="false" customHeight="true" outlineLevel="0" collapsed="false">
      <c r="A10" s="38" t="s">
        <v>1251</v>
      </c>
      <c r="B10" s="26"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1253</v>
      </c>
    </row>
    <row r="2" customFormat="false" ht="15" hidden="false" customHeight="true" outlineLevel="0" collapsed="false">
      <c r="A2" s="11" t="s">
        <v>1254</v>
      </c>
    </row>
    <row r="3" customFormat="false" ht="15" hidden="false" customHeight="true" outlineLevel="0" collapsed="false">
      <c r="A3" s="11" t="s">
        <v>1255</v>
      </c>
    </row>
    <row r="5" customFormat="false" ht="21.75" hidden="false" customHeight="true" outlineLevel="0" collapsed="false">
      <c r="A5" s="40" t="s">
        <v>102</v>
      </c>
      <c r="B5" s="40" t="s">
        <v>103</v>
      </c>
      <c r="C5" s="40" t="s">
        <v>4</v>
      </c>
      <c r="D5" s="40" t="s">
        <v>1256</v>
      </c>
      <c r="E5" s="40" t="s">
        <v>1257</v>
      </c>
      <c r="F5" s="40" t="s">
        <v>1258</v>
      </c>
      <c r="G5" s="40" t="s">
        <v>1259</v>
      </c>
      <c r="H5" s="40" t="s">
        <v>110</v>
      </c>
      <c r="I5" s="40" t="s">
        <v>1260</v>
      </c>
      <c r="J5" s="40" t="s">
        <v>1261</v>
      </c>
      <c r="K5" s="40" t="s">
        <v>1262</v>
      </c>
      <c r="L5" s="40" t="s">
        <v>1263</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1264</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1265</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1266</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1267</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1268</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1269</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1270</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1271</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1272</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1273</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1274</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366.74</v>
      </c>
      <c r="F17" s="29" t="n">
        <f aca="false">E17-D17</f>
        <v>16.71</v>
      </c>
      <c r="G17" s="43" t="n">
        <f aca="false">IF(D17=0,"-",F17/D17)</f>
        <v>0.0477387652486931</v>
      </c>
      <c r="H17" s="44" t="n">
        <f aca="false">Presupuesto!J320</f>
        <v>4.8</v>
      </c>
      <c r="I17" s="29" t="n">
        <f aca="false">ROUND(D17*H17,2)</f>
        <v>1680.14</v>
      </c>
      <c r="J17" s="44" t="n">
        <f aca="false">Presupuesto!K320</f>
        <v>1760.35</v>
      </c>
      <c r="K17" s="29" t="n">
        <f aca="false">J17-I17</f>
        <v>80.2099999999998</v>
      </c>
      <c r="L17" s="26" t="s">
        <v>1275</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1276</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1277</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1278</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1279</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1280</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1281</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1282</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1283</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1284</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1285</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1286</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1287</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1288</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1289</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1290</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1291</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1292</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1293</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322.29</v>
      </c>
      <c r="F38" s="29" t="n">
        <f aca="false">E38-D38</f>
        <v>125.99</v>
      </c>
      <c r="G38" s="43" t="n">
        <f aca="false">IF(D38=0,"-",F38/D38)</f>
        <v>0.641823739174733</v>
      </c>
      <c r="H38" s="44" t="n">
        <f aca="false">Presupuesto!J522</f>
        <v>29.56</v>
      </c>
      <c r="I38" s="29" t="n">
        <f aca="false">ROUND(D38*H38,2)</f>
        <v>5802.63</v>
      </c>
      <c r="J38" s="44" t="n">
        <f aca="false">Presupuesto!K522</f>
        <v>9526.89</v>
      </c>
      <c r="K38" s="29" t="n">
        <f aca="false">J38-I38</f>
        <v>3724.26</v>
      </c>
      <c r="L38" s="26" t="s">
        <v>1294</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1295</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1296</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1297</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1298</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1299</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1300</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1301</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1302</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1303</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1304</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1305</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1306</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1307</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1308</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24.39</v>
      </c>
      <c r="F55" s="29" t="n">
        <f aca="false">E55-D55</f>
        <v>-1.61</v>
      </c>
      <c r="G55" s="43" t="n">
        <f aca="false">IF(D55=0,"-",F55/D55)</f>
        <v>-0.0619230769230769</v>
      </c>
      <c r="H55" s="44" t="n">
        <f aca="false">Presupuesto!J651</f>
        <v>215</v>
      </c>
      <c r="I55" s="29" t="n">
        <f aca="false">ROUND(D55*H55,2)</f>
        <v>5590</v>
      </c>
      <c r="J55" s="44" t="n">
        <f aca="false">Presupuesto!K651</f>
        <v>5243.85</v>
      </c>
      <c r="K55" s="29" t="n">
        <f aca="false">J55-I55</f>
        <v>-346.15</v>
      </c>
      <c r="L55" s="26" t="s">
        <v>1309</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1310</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1311</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322.29</v>
      </c>
      <c r="F58" s="29" t="n">
        <f aca="false">E58-D58</f>
        <v>125.99</v>
      </c>
      <c r="G58" s="43" t="n">
        <f aca="false">IF(D58=0,"-",F58/D58)</f>
        <v>0.641823739174733</v>
      </c>
      <c r="H58" s="44" t="n">
        <f aca="false">Presupuesto!J675</f>
        <v>7.55</v>
      </c>
      <c r="I58" s="29" t="n">
        <f aca="false">ROUND(D58*H58,2)</f>
        <v>1482.07</v>
      </c>
      <c r="J58" s="44" t="n">
        <f aca="false">Presupuesto!K675</f>
        <v>2433.29</v>
      </c>
      <c r="K58" s="29" t="n">
        <f aca="false">J58-I58</f>
        <v>951.22</v>
      </c>
      <c r="L58" s="26" t="s">
        <v>1312</v>
      </c>
    </row>
    <row r="60" customFormat="false" ht="15" hidden="false" customHeight="true" outlineLevel="0" collapsed="false">
      <c r="C60" s="3" t="s">
        <v>1313</v>
      </c>
      <c r="I60" s="45" t="n">
        <f aca="false">SUM(I6:I58)</f>
        <v>207459.85</v>
      </c>
      <c r="J60" s="45" t="n">
        <f aca="false">SUM(J6:J58)</f>
        <v>217751.11</v>
      </c>
      <c r="K60" s="45" t="n">
        <f aca="false">SUM(K6:K58)</f>
        <v>10291.26</v>
      </c>
    </row>
    <row r="62" customFormat="false" ht="15" hidden="false" customHeight="true" outlineLevel="0" collapsed="false">
      <c r="C62" s="11" t="s">
        <v>1314</v>
      </c>
      <c r="J62" s="42" t="n">
        <v>359203.02</v>
      </c>
    </row>
    <row r="63" customFormat="false" ht="15" hidden="false" customHeight="true" outlineLevel="0" collapsed="false">
      <c r="C63" s="11" t="s">
        <v>1315</v>
      </c>
      <c r="J63" s="44" t="n">
        <f aca="false">Resumen!C48</f>
        <v>362644.27</v>
      </c>
    </row>
    <row r="64" customFormat="false" ht="15" hidden="false" customHeight="true" outlineLevel="0" collapsed="false">
      <c r="C64" s="3" t="s">
        <v>1258</v>
      </c>
      <c r="J64" s="45" t="n">
        <f aca="false">J63-J62</f>
        <v>3441.24999999994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2026-10-21T18:05:54Z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