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<sst xmlns="http://schemas.openxmlformats.org/spreadsheetml/2006/main" count="3081" uniqueCount="1322">
  <si>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</si>
  <si>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</si>
  <si>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 con la estructura del ingeniero (23-oct)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</si>
  <si>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</si>
  <si>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</si>
  <si>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</si>
  <si>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</si>
  <si>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</si>
  <si>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</si>
  <si>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</si>
  <si>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</si>
  <si>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</si>
  <si>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</si>
  <si>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</si>
  <si>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</si>
  <si>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</si>
  <si>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</si>
  <si>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</si>
  <si>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</si>
  <si>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</si>
  <si>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</si>
  <si>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</si>
  <si>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</si>
  <si>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</si>
  <si>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</si>
  <si>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</si>
  <si>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</si>
  <si>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</si>
  <si>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</si>
  <si>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</si>
  <si>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</si>
  <si>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</si>
  <si>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</si>
  <si>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</si>
  <si>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</si>
  <si>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</si>
  <si>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</si>
  <si>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</si>
  <si>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</si>
  <si>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</si>
  <si>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</si>
  <si>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</si>
  <si>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</si>
  <si>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</si>
  <si>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</si>
  <si>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</si>
  <si>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</si>
  <si>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</si>
  <si>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</si>
  <si>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</si>
  <si>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</si>
  <si>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</si>
  <si>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</si>
  <si>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</si>
  <si>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</si>
  <si>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</si>
  <si>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</si>
  <si>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</si>
  <si>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</si>
  <si>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</si>
  <si>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</si>
  <si>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</si>
  <si>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</si>
  <si>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</si>
  <si>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</si>
  <si>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</si>
  <si>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</si>
  <si>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</si>
  <si>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</si>
  <si>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</si>
  <si>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</si>
  <si>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</si>
  <si>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</si>
  <si>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</si>
  <si>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</si>
  <si>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</si>
  <si>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</si>
  <si>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</si>
  <si>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</si>
  <si>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</si>
  <si>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</si>
  <si>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</si>
  <si>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</si>
  <si>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</si>
  <si>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</si>
  <si>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</si>
  <si>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</si>
  <si>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</si>
  <si>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</si>
  <si>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</si>
  <si>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</si>
  <si>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</si>
  <si>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</si>
  <si>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</si>
  <si>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</si>
  <si>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</si>
  <si>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</si>
  <si>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</si>
  <si>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</si>
  <si>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</si>
  <si>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</si>
  <si>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</si>
  <si>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</si>
  <si>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</si>
  <si>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</si>
  <si>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</si>
  <si>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</si>
  <si>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</si>
  <si>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</si>
  <si>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</si>
  <si>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</si>
  <si>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</si>
  <si>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</si>
  <si>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</si>
  <si>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</si>
  <si>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</si>
  <si>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</si>
  <si>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</si>
  <si>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</si>
  <si>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</si>
  <si>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</si>
  <si>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</si>
  <si>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</si>
  <si>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</si>
  <si>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</si>
  <si>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</si>
  <si>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</si>
  <si>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</si>
  <si>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</si>
  <si>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</si>
  <si>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</si>
  <si>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</si>
  <si>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</si>
  <si>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</si>
  <si>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</si>
  <si>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</si>
  <si>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</si>
  <si>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</si>
  <si>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</si>
  <si>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</si>
  <si>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</si>
  <si>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</si>
  <si>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</si>
  <si>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</si>
  <si>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</si>
  <si>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</si>
  <si>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</si>
  <si>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</si>
  <si>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</si>
  <si>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</si>
  <si>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</si>
  <si>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</si>
  <si>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</si>
  <si>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</si>
  <si>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</si>
  <si>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</si>
  <si>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</si>
  <si>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</si>
  <si>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</si>
  <si>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</si>
  <si>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</si>
  <si>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</si>
  <si>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</si>
  <si>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</si>
  <si>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</si>
  <si>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</si>
  <si>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</si>
  <si>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</si>
  <si>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</si>
  <si>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</si>
  <si>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</si>
  <si>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</si>
  <si>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</si>
  <si>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</si>
  <si>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</si>
  <si>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</si>
  <si>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</si>
  <si>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</si>
  <si>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</si>
  <si>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</si>
  <si>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</si>
  <si>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</si>
  <si>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</si>
  <si>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</si>
  <si>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</si>
  <si>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</si>
  <si>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</si>
  <si>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</si>
  <si>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</si>
  <si>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</si>
  <si>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</si>
  <si>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</si>
  <si>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</si>
  <si>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</si>
  <si>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</si>
  <si>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</si>
  <si>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</si>
  <si>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</si>
  <si>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</si>
  <si>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</si>
  <si>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</si>
  <si>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</si>
  <si>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</si>
  <si>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</si>
  <si>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</si>
  <si>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</si>
  <si>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</si>
  <si>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</si>
  <si>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</si>
  <si>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</si>
  <si>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</si>
  <si>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</si>
  <si>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</si>
  <si>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</si>
  <si>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</si>
  <si>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</si>
  <si>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</si>
  <si>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</si>
  <si>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</si>
  <si>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</si>
  <si>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</si>
  <si>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</si>
  <si>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</si>
  <si>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</si>
  <si>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</si>
  <si>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</si>
  <si>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</si>
  <si>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</si>
  <si>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</si>
  <si>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</si>
  <si>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</si>
  <si>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</si>
  <si>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</si>
  <si>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</si>
  <si>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</si>
  <si>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</si>
  <si>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</si>
  <si>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</si>
  <si>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</si>
  <si>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</si>
  <si>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</si>
  <si>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</si>
  <si>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</si>
  <si>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</si>
  <si>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</si>
  <si>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</si>
  <si>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</si>
  <si>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</si>
  <si>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</si>
  <si>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</si>
  <si>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</si>
  <si>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</si>
  <si>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</si>
  <si>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</si>
  <si>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</si>
  <si>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</si>
  <si>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</si>
  <si>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</si>
  <si>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</si>
  <si>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</si>
  <si>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</si>
  <si>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</si>
  <si>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</si>
  <si>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</si>
  <si>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</si>
  <si>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</si>
  <si>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</si>
  <si>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</si>
  <si>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</si>
  <si>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</si>
  <si>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</si>
  <si>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</si>
  <si>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</si>
  <si>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</si>
  <si>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</si>
  <si>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</si>
  <si>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</si>
  <si>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</si>
  <si>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</si>
  <si>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</si>
  <si>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</si>
  <si>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</si>
  <si>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</si>
  <si>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</si>
  <si>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</si>
  <si>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</si>
  <si>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</si>
  <si>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</si>
  <si>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</si>
  <si>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</si>
  <si>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</si>
  <si>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</si>
  <si>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</si>
  <si>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</si>
  <si>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</si>
  <si>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Medición del IFC con la estructura del ingeniero (lodosa_bim_20261024-0000.ifc): planta de zapatas corridas 43,43 + aisladas 4,71 + vigas de atado 8,37 m²</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</si>
  <si>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</si>
  <si>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</si>
  <si>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</si>
  <si>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Medición del IFC (lodosa_bim_20261024-0000.ifc): zapatas corridas 20,71 m³ (ZC-1 80×50 excéntricas en medianeras, ZC-2 70×40, trazadas bajo los muros con zócalo) + aisladas 2,35 m³ + vigas de atado 3,51 m³</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</si>
  <si>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</si>
  <si>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</si>
  <si>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</si>
  <si>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</si>
  <si>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</si>
  <si>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</si>
  <si>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</si>
  <si>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</si>
  <si>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</si>
  <si>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</si>
  <si>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</si>
  <si>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</si>
  <si>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</si>
  <si>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</si>
  <si>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</si>
  <si>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</si>
  <si>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</si>
  <si>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</si>
  <si>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</si>
  <si>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</si>
  <si>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</si>
  <si>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</si>
  <si>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</si>
  <si>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</si>
  <si>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</si>
  <si>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</si>
  <si>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</si>
  <si>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</si>
  <si>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</si>
  <si>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</si>
  <si>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</si>
  <si>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</si>
  <si>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</si>
  <si>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</si>
  <si>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</si>
  <si>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</si>
  <si>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</si>
  <si>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</si>
  <si>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</si>
  <si>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</si>
  <si>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</si>
  <si>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</si>
  <si>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SOBRE ZANCAS</t>
  </si>
  <si>
    <t xml:space="preserve">Peldaño de chapa de acero plegada de 4 mm, atornillado a los angulares de las zancas, con acabado antideslizante de clase 2, sin empotrar en los muros (detalle D4 del plano LO-E3).</t>
  </si>
  <si>
    <t xml:space="preserve">Planta baja a primera</t>
  </si>
  <si>
    <t xml:space="preserve">Planta primera a segunda</t>
  </si>
  <si>
    <t xml:space="preserve">Sin empotramiento ni anclaje químico en el muro: el peldaño apoya en las zancas (05.02.10)</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</si>
  <si>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</si>
  <si>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</si>
  <si>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</si>
  <si>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</si>
  <si>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</si>
  <si>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</si>
  <si>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de la escalera de pletina de acero S275 de 200×12 mm, dos por tramo (la del muro, adosada sin empotrar), con placas de apoyo ancladas a los brochales del hueco, angulares de apoyo de los peldaños, imprimación anticorrosiva y montaje (detalle D4 del plano LO-E3).</t>
  </si>
  <si>
    <t xml:space="preserve">Planta baja a primera 2 × 6,1 m + primera a segunda 2 × 5,3 m = 22,8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</si>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</sst>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0.00241682546628162</v>
      </c>
    </row>
    <row r="8" customFormat="false" ht="15" hidden="false" customHeight="true" outlineLevel="0" collapsed="false">
      <c r="A8" s="3" t="s">
        <v>11</v>
      </c>
      <c r="B8" s="3" t="s">
        <v>12</v>
      </c>
      <c r="C8" s="8" t="n">
        <f aca="false">Presupuesto!K61</f>
        <v>9292.58</v>
      </c>
      <c r="D8" s="9" t="n">
        <f aca="false">IF($C$50=0,0,C8/$C$50)</f>
        <v>0.0235612085516778</v>
      </c>
    </row>
    <row r="9" customFormat="false" ht="15" hidden="false" customHeight="true" outlineLevel="0" collapsed="false">
      <c r="A9" s="3" t="s">
        <v>13</v>
      </c>
      <c r="B9" s="3" t="s">
        <v>14</v>
      </c>
      <c r="C9" s="8" t="n">
        <f aca="false">Presupuesto!K88</f>
        <v>9643.5</v>
      </c>
      <c r="D9" s="9" t="n">
        <f aca="false">IF($C$50=0,0,C9/$C$50)</f>
        <v>0.0244509613765074</v>
      </c>
    </row>
    <row r="10" customFormat="false" ht="15" hidden="false" customHeight="true" outlineLevel="0" collapsed="false">
      <c r="A10" s="3" t="s">
        <v>15</v>
      </c>
      <c r="B10" s="3" t="s">
        <v>16</v>
      </c>
      <c r="C10" s="8" t="n">
        <f aca="false">Presupuesto!K112</f>
        <v>1450</v>
      </c>
      <c r="D10" s="9" t="n">
        <f aca="false">IF($C$50=0,0,C10/$C$50)</f>
        <v>0.00367645502109563</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0.00388157585641055</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0.0127431762649484</v>
      </c>
    </row>
    <row r="17" customFormat="false" ht="15" hidden="false" customHeight="true" outlineLevel="0" collapsed="false">
      <c r="A17" s="3" t="s">
        <v>26</v>
      </c>
      <c r="B17" s="3" t="s">
        <v>27</v>
      </c>
      <c r="C17" s="8" t="n">
        <f aca="false">Presupuesto!K212</f>
        <v>6481.94</v>
      </c>
      <c r="D17" s="9" t="n">
        <f aca="false">IF($C$50=0,0,C17/$C$50)</f>
        <v>0.0164348695582349</v>
      </c>
    </row>
    <row r="18" customFormat="false" ht="15" hidden="false" customHeight="true" outlineLevel="0" collapsed="false">
      <c r="A18" s="3" t="s">
        <v>28</v>
      </c>
      <c r="B18" s="3" t="s">
        <v>29</v>
      </c>
      <c r="C18" s="8" t="n">
        <f aca="false">Presupuesto!K286</f>
        <v>81127.25</v>
      </c>
      <c r="D18" s="9" t="n">
        <f aca="false">IF($C$50=0,0,C18/$C$50)</f>
        <v>0.205697024558745</v>
      </c>
    </row>
    <row r="19" customFormat="false" ht="15" hidden="false" customHeight="true" outlineLevel="0" collapsed="false">
      <c r="A19" s="11" t="s">
        <v>30</v>
      </c>
      <c r="B19" s="11" t="s">
        <v>31</v>
      </c>
      <c r="C19" s="12" t="n">
        <f aca="false">SUMIFS(Presupuesto!$K$5:$K$1399,Presupuesto!$M$5:$M$1399,"P",Presupuesto!$O$5:$O$1399,"05.01")</f>
        <v>18548.05</v>
      </c>
    </row>
    <row r="20" customFormat="false" ht="15" hidden="false" customHeight="true" outlineLevel="0" collapsed="false">
      <c r="A20" s="11" t="s">
        <v>32</v>
      </c>
      <c r="B20" s="11" t="s">
        <v>33</v>
      </c>
      <c r="C20" s="12" t="n">
        <f aca="false">SUMIFS(Presupuesto!$K$5:$K$1399,Presupuesto!$M$5:$M$1399,"P",Presupuesto!$O$5:$O$1399,"05.02")</f>
        <v>62579.2</v>
      </c>
    </row>
    <row r="21" customFormat="false" ht="15" hidden="false" customHeight="true" outlineLevel="0" collapsed="false">
      <c r="A21" s="3" t="s">
        <v>34</v>
      </c>
      <c r="B21" s="3" t="s">
        <v>35</v>
      </c>
      <c r="C21" s="8" t="n">
        <f aca="false">Presupuesto!K365</f>
        <v>56031.31</v>
      </c>
      <c r="D21" s="9" t="n">
        <f aca="false">IF($C$50=0,0,C21/$C$50)</f>
        <v>0.142066614474528</v>
      </c>
    </row>
    <row r="22" customFormat="false" ht="15" hidden="false" customHeight="true" outlineLevel="0" collapsed="false">
      <c r="A22" s="3" t="s">
        <v>36</v>
      </c>
      <c r="B22" s="3" t="s">
        <v>37</v>
      </c>
      <c r="C22" s="8" t="n">
        <f aca="false">Presupuesto!K422</f>
        <v>14386.83</v>
      </c>
      <c r="D22" s="9" t="n">
        <f aca="false">IF($C$50=0,0,C22/$C$50)</f>
        <v>0.0364776092352753</v>
      </c>
    </row>
    <row r="23" customFormat="false" ht="15" hidden="false" customHeight="true" outlineLevel="0" collapsed="false">
      <c r="A23" s="3" t="s">
        <v>38</v>
      </c>
      <c r="B23" s="3" t="s">
        <v>39</v>
      </c>
      <c r="C23" s="8" t="n">
        <f aca="false">Presupuesto!K458</f>
        <v>7531.54</v>
      </c>
      <c r="D23" s="9" t="n">
        <f aca="false">IF($C$50=0,0,C23/$C$50)</f>
        <v>0.0190961158962638</v>
      </c>
    </row>
    <row r="24" customFormat="false" ht="15" hidden="false" customHeight="true" outlineLevel="0" collapsed="false">
      <c r="A24" s="3" t="s">
        <v>40</v>
      </c>
      <c r="B24" s="3" t="s">
        <v>41</v>
      </c>
      <c r="C24" s="8" t="n">
        <f aca="false">Presupuesto!K473</f>
        <v>3675.43</v>
      </c>
      <c r="D24" s="9" t="n">
        <f aca="false">IF($C$50=0,0,C24/$C$50)</f>
        <v>0.00931900212288655</v>
      </c>
    </row>
    <row r="25" customFormat="false" ht="15" hidden="false" customHeight="true" outlineLevel="0" collapsed="false">
      <c r="A25" s="3" t="s">
        <v>42</v>
      </c>
      <c r="B25" s="3" t="s">
        <v>43</v>
      </c>
      <c r="C25" s="8" t="n">
        <f aca="false">Presupuesto!K514</f>
        <v>21764.7</v>
      </c>
      <c r="D25" s="9" t="n">
        <f aca="false">IF($C$50=0,0,C25/$C$50)</f>
        <v>0.0551840969638896</v>
      </c>
    </row>
    <row r="26" customFormat="false" ht="15" hidden="false" customHeight="true" outlineLevel="0" collapsed="false">
      <c r="A26" s="3" t="s">
        <v>44</v>
      </c>
      <c r="B26" s="3" t="s">
        <v>45</v>
      </c>
      <c r="C26" s="8" t="n">
        <f aca="false">Presupuesto!K545</f>
        <v>28576.34</v>
      </c>
      <c r="D26" s="9" t="n">
        <f aca="false">IF($C$50=0,0,C26/$C$50)</f>
        <v>0.072454916329335</v>
      </c>
    </row>
    <row r="27" customFormat="false" ht="15" hidden="false" customHeight="true" outlineLevel="0" collapsed="false">
      <c r="A27" s="3" t="s">
        <v>46</v>
      </c>
      <c r="B27" s="3" t="s">
        <v>47</v>
      </c>
      <c r="C27" s="8" t="n">
        <f aca="false">Presupuesto!K564</f>
        <v>10570.72</v>
      </c>
      <c r="D27" s="9" t="n">
        <f aca="false">IF($C$50=0,0,C27/$C$50)</f>
        <v>0.0268019149107558</v>
      </c>
    </row>
    <row r="28" customFormat="false" ht="15" hidden="false" customHeight="true" outlineLevel="0" collapsed="false">
      <c r="A28" s="3" t="s">
        <v>48</v>
      </c>
      <c r="B28" s="3" t="s">
        <v>49</v>
      </c>
      <c r="C28" s="8" t="n">
        <f aca="false">Presupuesto!K632</f>
        <v>52569.01</v>
      </c>
      <c r="D28" s="9" t="n">
        <f aca="false">IF($C$50=0,0,C28/$C$50)</f>
        <v>0.133288000530018</v>
      </c>
    </row>
    <row r="29" customFormat="false" ht="15" hidden="false" customHeight="true" outlineLevel="0" collapsed="false">
      <c r="A29" s="3" t="s">
        <v>50</v>
      </c>
      <c r="B29" s="3" t="s">
        <v>51</v>
      </c>
      <c r="C29" s="8" t="n">
        <f aca="false">Presupuesto!K664</f>
        <v>20509.5</v>
      </c>
      <c r="D29" s="9" t="n">
        <f aca="false">IF($C$50=0,0,C29/$C$50)</f>
        <v>0.0520015546587315</v>
      </c>
    </row>
    <row r="30" customFormat="false" ht="15" hidden="false" customHeight="true" outlineLevel="0" collapsed="false">
      <c r="A30" s="3" t="s">
        <v>52</v>
      </c>
      <c r="B30" s="3" t="s">
        <v>53</v>
      </c>
      <c r="C30" s="8" t="n">
        <f aca="false">Presupuesto!K676</f>
        <v>8961.34</v>
      </c>
      <c r="D30" s="9" t="n">
        <f aca="false">IF($C$50=0,0,C30/$C$50)</f>
        <v>0.0227213540956863</v>
      </c>
    </row>
    <row r="31" customFormat="false" ht="15" hidden="false" customHeight="true" outlineLevel="0" collapsed="false">
      <c r="A31" s="3" t="s">
        <v>54</v>
      </c>
      <c r="B31" s="3" t="s">
        <v>55</v>
      </c>
      <c r="C31" s="8" t="n">
        <f aca="false">Presupuesto!K1073</f>
        <v>45949.51</v>
      </c>
      <c r="D31" s="9" t="n">
        <f aca="false">IF($C$50=0,0,C31/$C$50)</f>
        <v>0.116504349487161</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0.0038653487445933</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0.00697268852842332</v>
      </c>
    </row>
    <row r="42" customFormat="false" ht="15" hidden="false" customHeight="true" outlineLevel="0" collapsed="false">
      <c r="A42" s="3" t="s">
        <v>75</v>
      </c>
      <c r="B42" s="3" t="s">
        <v>16</v>
      </c>
      <c r="C42" s="8" t="n">
        <f aca="false">Presupuesto!K1397</f>
        <v>4095.6</v>
      </c>
      <c r="D42" s="9" t="n">
        <f aca="false">IF($C$50=0,0,C42/$C$50)</f>
        <v>0.0103843373685512</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373062.39</v>
      </c>
    </row>
    <row r="50" customFormat="false" ht="15" hidden="false" customHeight="true" outlineLevel="0" collapsed="false">
      <c r="B50" s="13" t="s">
        <v>87</v>
      </c>
      <c r="C50" s="14" t="n">
        <f aca="false">C11+C48</f>
        <v>394401.67</v>
      </c>
    </row>
    <row r="52" customFormat="false" ht="15" hidden="false" customHeight="true" outlineLevel="0" collapsed="false">
      <c r="B52" s="11" t="s">
        <v>88</v>
      </c>
      <c r="C52" s="15" t="n">
        <f aca="false">ROUND(C50*D52,2)</f>
        <v>19720.08</v>
      </c>
      <c r="D52" s="16" t="n">
        <v>0.05</v>
      </c>
    </row>
    <row r="53" customFormat="false" ht="15" hidden="false" customHeight="true" outlineLevel="0" collapsed="false">
      <c r="B53" s="11" t="s">
        <v>89</v>
      </c>
      <c r="C53" s="15" t="n">
        <f aca="false">ROUND(C50*D53,2)</f>
        <v>19720.08</v>
      </c>
      <c r="D53" s="16" t="n">
        <v>0.05</v>
      </c>
    </row>
    <row r="54" customFormat="false" ht="15" hidden="false" customHeight="true" outlineLevel="0" collapsed="false">
      <c r="B54" s="3" t="s">
        <v>90</v>
      </c>
      <c r="C54" s="17" t="n">
        <f aca="false">C50+C52+C53</f>
        <v>433841.83</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41036.86</v>
      </c>
      <c r="D56" s="16" t="n">
        <v>0.1</v>
      </c>
    </row>
    <row r="57" customFormat="false" ht="15" hidden="false" customHeight="true" outlineLevel="0" collapsed="false">
      <c r="B57" s="13" t="s">
        <v>93</v>
      </c>
      <c r="C57" s="14" t="n">
        <f aca="false">C54+C55+C56</f>
        <v>479808.06</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1123.0755453044</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56.51</v>
      </c>
      <c r="F218" s="28"/>
      <c r="G218" s="28" t="n">
        <v>0.1</v>
      </c>
      <c r="H218" s="29" t="n">
        <f aca="false">IF(COUNT(D218:G218)=0,0,D218*IF(E218="",1,E218)*IF(F218="",1,F218)*IF(G218="",1,G218))</f>
        <v>5.651</v>
      </c>
      <c r="M218" s="23"/>
      <c r="N218" s="23"/>
      <c r="O218" s="23"/>
    </row>
    <row r="219" customFormat="false" ht="18.75" hidden="false" customHeight="true" outlineLevel="0" collapsed="false">
      <c r="H219" s="30"/>
      <c r="I219" s="31" t="n">
        <f aca="false">ROUND(SUM(H218:H218),2)</f>
        <v>5.65</v>
      </c>
      <c r="J219" s="32" t="n">
        <v>98</v>
      </c>
      <c r="K219" s="31" t="n">
        <f aca="false">ROUND(I219*J219,2)</f>
        <v>553.7</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26.57</v>
      </c>
      <c r="F222" s="28"/>
      <c r="G222" s="28"/>
      <c r="H222" s="29" t="n">
        <f aca="false">IF(COUNT(D222:G222)=0,0,D222*IF(E222="",1,E222)*IF(F222="",1,F222)*IF(G222="",1,G222))</f>
        <v>26.57</v>
      </c>
      <c r="M222" s="23"/>
      <c r="N222" s="23"/>
      <c r="O222" s="23"/>
    </row>
    <row r="223" customFormat="false" ht="27.75" hidden="false" customHeight="true" outlineLevel="0" collapsed="false">
      <c r="H223" s="30"/>
      <c r="I223" s="31" t="n">
        <f aca="false">ROUND(SUM(H222:H222),2)</f>
        <v>26.57</v>
      </c>
      <c r="J223" s="32" t="n">
        <v>185</v>
      </c>
      <c r="K223" s="31" t="n">
        <f aca="false">ROUND(I223*J223,2)</f>
        <v>4915.45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152</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320</v>
      </c>
      <c r="D245" s="28" t="n">
        <v>1</v>
      </c>
      <c r="E245" s="35" t="n">
        <v>19.17</v>
      </c>
      <c r="H245" s="29" t="n">
        <f aca="false">IF(COUNT(D245:G245)=0,0,D245*IF(E245="",1,E245)*IF(F245="",1,F245)*IF(G245="",1,G245))</f>
        <v>19.17</v>
      </c>
      <c r="M245" s="23"/>
      <c r="N245" s="23"/>
      <c r="O245" s="23"/>
    </row>
    <row r="246" customFormat="false" ht="18.75" hidden="false" customHeight="true" outlineLevel="0" collapsed="false">
      <c r="H246" s="30"/>
      <c r="I246" s="31" t="n">
        <f aca="false">ROUND(SUM(H245:H245),2)</f>
        <v>19.17</v>
      </c>
      <c r="J246" s="32" t="n">
        <v>420</v>
      </c>
      <c r="K246" s="31" t="n">
        <f aca="false">ROUND(I246*J246,2)</f>
        <v>8051.4</v>
      </c>
      <c r="L246" s="33" t="s">
        <v>321</v>
      </c>
      <c r="M246" s="23" t="s">
        <v>123</v>
      </c>
      <c r="N246" s="23" t="s">
        <v>28</v>
      </c>
      <c r="O246" s="23" t="s">
        <v>311</v>
      </c>
    </row>
    <row r="247" customFormat="false" ht="15" hidden="false" customHeight="true" outlineLevel="0" collapsed="false">
      <c r="A247" s="3" t="s">
        <v>322</v>
      </c>
      <c r="B247" s="3" t="s">
        <v>323</v>
      </c>
      <c r="C247" s="3" t="s">
        <v>324</v>
      </c>
      <c r="M247" s="23"/>
      <c r="N247" s="23"/>
      <c r="O247" s="23"/>
    </row>
    <row r="248" customFormat="false" ht="24" hidden="false" customHeight="true" outlineLevel="0" collapsed="false">
      <c r="C248" s="26" t="s">
        <v>325</v>
      </c>
      <c r="M248" s="23"/>
      <c r="N248" s="23"/>
      <c r="O248" s="23"/>
    </row>
    <row r="249" customFormat="false" ht="15" hidden="false" customHeight="true" outlineLevel="0" collapsed="false">
      <c r="C249" s="27" t="s">
        <v>326</v>
      </c>
      <c r="D249" s="28" t="n">
        <v>1</v>
      </c>
      <c r="E249" s="28" t="n">
        <v>1842</v>
      </c>
      <c r="F249" s="28"/>
      <c r="G249" s="28"/>
      <c r="H249" s="29" t="n">
        <f aca="false">IF(COUNT(D249:G249)=0,0,D249*IF(E249="",1,E249)*IF(F249="",1,F249)*IF(G249="",1,G249))</f>
        <v>1842</v>
      </c>
      <c r="M249" s="23"/>
      <c r="N249" s="23"/>
      <c r="O249" s="23"/>
    </row>
    <row r="250" customFormat="false" ht="18.75" hidden="false" customHeight="true" outlineLevel="0" collapsed="false">
      <c r="H250" s="30"/>
      <c r="I250" s="31" t="n">
        <f aca="false">ROUND(SUM(H249:H249),2)</f>
        <v>1842</v>
      </c>
      <c r="J250" s="32" t="n">
        <v>2.7</v>
      </c>
      <c r="K250" s="31" t="n">
        <f aca="false">ROUND(I250*J250,2)</f>
        <v>4973.4</v>
      </c>
      <c r="L250" s="33" t="s">
        <v>321</v>
      </c>
      <c r="M250" s="23" t="s">
        <v>123</v>
      </c>
      <c r="N250" s="23" t="s">
        <v>28</v>
      </c>
      <c r="O250" s="23" t="s">
        <v>311</v>
      </c>
    </row>
    <row r="251" customFormat="false" ht="15" hidden="false" customHeight="true" outlineLevel="0" collapsed="false">
      <c r="A251" s="3" t="s">
        <v>327</v>
      </c>
      <c r="B251" s="3" t="s">
        <v>140</v>
      </c>
      <c r="C251" s="3" t="s">
        <v>328</v>
      </c>
      <c r="M251" s="23"/>
      <c r="N251" s="23"/>
      <c r="O251" s="23"/>
    </row>
    <row r="252" customFormat="false" ht="24" hidden="false" customHeight="true" outlineLevel="0" collapsed="false">
      <c r="C252" s="26" t="s">
        <v>329</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330</v>
      </c>
      <c r="B257" s="3" t="s">
        <v>140</v>
      </c>
      <c r="C257" s="3" t="s">
        <v>331</v>
      </c>
      <c r="M257" s="23"/>
      <c r="N257" s="23"/>
      <c r="O257" s="23"/>
    </row>
    <row r="258" customFormat="false" ht="24" hidden="false" customHeight="true" outlineLevel="0" collapsed="false">
      <c r="C258" s="26" t="s">
        <v>332</v>
      </c>
      <c r="M258" s="23"/>
      <c r="N258" s="23"/>
      <c r="O258" s="23"/>
    </row>
    <row r="259" customFormat="false" ht="15" hidden="false" customHeight="true" outlineLevel="0" collapsed="false">
      <c r="C259" s="27" t="s">
        <v>333</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334</v>
      </c>
      <c r="B261" s="3" t="s">
        <v>152</v>
      </c>
      <c r="C261" s="3" t="s">
        <v>335</v>
      </c>
      <c r="M261" s="23"/>
      <c r="N261" s="23"/>
      <c r="O261" s="23"/>
    </row>
    <row r="262" customFormat="false" ht="24" hidden="false" customHeight="true" outlineLevel="0" collapsed="false">
      <c r="C262" s="26" t="s">
        <v>336</v>
      </c>
      <c r="M262" s="23"/>
      <c r="N262" s="23"/>
      <c r="O262" s="23"/>
    </row>
    <row r="263" customFormat="false" ht="15" hidden="false" customHeight="true" outlineLevel="0" collapsed="false">
      <c r="C263" s="27" t="s">
        <v>337</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338</v>
      </c>
      <c r="B265" s="3" t="s">
        <v>117</v>
      </c>
      <c r="C265" s="3" t="s">
        <v>339</v>
      </c>
      <c r="M265" s="23"/>
      <c r="N265" s="23"/>
      <c r="O265" s="23"/>
    </row>
    <row r="266" customFormat="false" ht="24" hidden="false" customHeight="true" outlineLevel="0" collapsed="false">
      <c r="C266" s="26" t="s">
        <v>340</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341</v>
      </c>
      <c r="B269" s="3" t="s">
        <v>129</v>
      </c>
      <c r="C269" s="3" t="s">
        <v>342</v>
      </c>
      <c r="M269" s="23"/>
      <c r="N269" s="23"/>
      <c r="O269" s="23"/>
    </row>
    <row r="270" customFormat="false" ht="24" hidden="false" customHeight="true" outlineLevel="0" collapsed="false">
      <c r="C270" s="26" t="s">
        <v>343</v>
      </c>
      <c r="M270" s="23"/>
      <c r="N270" s="23"/>
      <c r="O270" s="23"/>
    </row>
    <row r="271" customFormat="false" ht="15" hidden="false" customHeight="true" outlineLevel="0" collapsed="false">
      <c r="C271" s="27" t="s">
        <v>344</v>
      </c>
      <c r="D271" s="28" t="n">
        <v>19</v>
      </c>
      <c r="H271" s="29" t="n">
        <f aca="false">IF(COUNT(D271:G271)=0,0,D271*IF(E271="",1,E271)*IF(F271="",1,F271)*IF(G271="",1,G271))</f>
        <v>19</v>
      </c>
      <c r="M271" s="23"/>
      <c r="N271" s="23"/>
      <c r="O271" s="23"/>
    </row>
    <row r="272" customFormat="false" ht="15" hidden="false" customHeight="true" outlineLevel="0" collapsed="false">
      <c r="C272" s="27" t="s">
        <v>345</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120</v>
      </c>
      <c r="K273" s="31" t="n">
        <f aca="false">ROUND(I273*J273,2)</f>
        <v>4320</v>
      </c>
      <c r="L273" s="33" t="s">
        <v>346</v>
      </c>
      <c r="M273" s="23" t="s">
        <v>123</v>
      </c>
      <c r="N273" s="23" t="s">
        <v>28</v>
      </c>
      <c r="O273" s="23" t="s">
        <v>311</v>
      </c>
    </row>
    <row r="274" customFormat="false" ht="15" hidden="false" customHeight="true" outlineLevel="0" collapsed="false">
      <c r="A274" s="3" t="s">
        <v>347</v>
      </c>
      <c r="B274" s="3" t="s">
        <v>117</v>
      </c>
      <c r="C274" s="3" t="s">
        <v>348</v>
      </c>
      <c r="M274" s="23"/>
      <c r="N274" s="23"/>
      <c r="O274" s="23"/>
    </row>
    <row r="275" customFormat="false" ht="36" hidden="false" customHeight="true" outlineLevel="0" collapsed="false">
      <c r="C275" s="26" t="s">
        <v>349</v>
      </c>
      <c r="M275" s="23"/>
      <c r="N275" s="23"/>
      <c r="O275" s="23"/>
    </row>
    <row r="276" customFormat="false" ht="15" hidden="false" customHeight="true" outlineLevel="0" collapsed="false">
      <c r="C276" s="27" t="s">
        <v>350</v>
      </c>
      <c r="D276" s="28" t="n">
        <v>1</v>
      </c>
      <c r="E276" s="28" t="n">
        <v>49.52</v>
      </c>
      <c r="H276" s="29" t="n">
        <f aca="false">IF(COUNT(D276:G276)=0,0,D276*IF(E276="",1,E276)*IF(F276="",1,F276)*IF(G276="",1,G276))</f>
        <v>49.52</v>
      </c>
      <c r="M276" s="23"/>
      <c r="N276" s="23"/>
      <c r="O276" s="23"/>
    </row>
    <row r="277" customFormat="false" ht="27.75" hidden="false" customHeight="true" outlineLevel="0" collapsed="false">
      <c r="H277" s="30"/>
      <c r="I277" s="31" t="n">
        <f aca="false">ROUND(SUM(H276:H276),2)</f>
        <v>49.52</v>
      </c>
      <c r="J277" s="32" t="n">
        <v>24</v>
      </c>
      <c r="K277" s="31" t="n">
        <f aca="false">ROUND(I277*J277,2)</f>
        <v>1188.48</v>
      </c>
      <c r="L277" s="33" t="s">
        <v>321</v>
      </c>
      <c r="M277" s="23" t="s">
        <v>123</v>
      </c>
      <c r="N277" s="23" t="s">
        <v>28</v>
      </c>
      <c r="O277" s="23" t="s">
        <v>311</v>
      </c>
    </row>
    <row r="278" customFormat="false" ht="15" hidden="false" customHeight="true" outlineLevel="0" collapsed="false">
      <c r="A278" s="3" t="s">
        <v>351</v>
      </c>
      <c r="B278" s="3" t="s">
        <v>323</v>
      </c>
      <c r="C278" s="3" t="s">
        <v>352</v>
      </c>
      <c r="M278" s="23"/>
      <c r="N278" s="23"/>
      <c r="O278" s="23"/>
    </row>
    <row r="279" customFormat="false" ht="24" hidden="false" customHeight="true" outlineLevel="0" collapsed="false">
      <c r="C279" s="26" t="s">
        <v>353</v>
      </c>
      <c r="M279" s="23"/>
      <c r="N279" s="23"/>
      <c r="O279" s="23"/>
    </row>
    <row r="280" customFormat="false" ht="15" hidden="false" customHeight="true" outlineLevel="0" collapsed="false">
      <c r="C280" s="27" t="s">
        <v>354</v>
      </c>
      <c r="D280" s="28" t="n">
        <v>1</v>
      </c>
      <c r="E280" s="35" t="n">
        <v>473</v>
      </c>
      <c r="F280" s="28"/>
      <c r="G280" s="28"/>
      <c r="H280" s="29" t="n">
        <f aca="false">IF(COUNT(D280:G280)=0,0,D280*IF(E280="",1,E280)*IF(F280="",1,F280)*IF(G280="",1,G280))</f>
        <v>473</v>
      </c>
      <c r="M280" s="23"/>
      <c r="N280" s="23"/>
      <c r="O280" s="23"/>
    </row>
    <row r="281" customFormat="false" ht="15" hidden="false" customHeight="true" outlineLevel="0" collapsed="false">
      <c r="H281" s="30"/>
      <c r="I281" s="31" t="n">
        <f aca="false">ROUND(SUM(H280:H280),2)</f>
        <v>473</v>
      </c>
      <c r="J281" s="32" t="n">
        <v>3.2</v>
      </c>
      <c r="K281" s="31" t="n">
        <f aca="false">ROUND(I281*J281,2)</f>
        <v>1513.6</v>
      </c>
      <c r="L281" s="33" t="s">
        <v>355</v>
      </c>
      <c r="M281" s="23" t="s">
        <v>123</v>
      </c>
      <c r="N281" s="23" t="s">
        <v>28</v>
      </c>
      <c r="O281" s="23" t="s">
        <v>311</v>
      </c>
    </row>
    <row r="282" customFormat="false" ht="15" hidden="false" customHeight="true" outlineLevel="0" collapsed="false">
      <c r="A282" s="3" t="s">
        <v>356</v>
      </c>
      <c r="B282" s="3" t="s">
        <v>117</v>
      </c>
      <c r="C282" s="3" t="s">
        <v>357</v>
      </c>
      <c r="M282" s="23"/>
      <c r="N282" s="23"/>
      <c r="O282" s="23"/>
    </row>
    <row r="283" customFormat="false" ht="36" hidden="false" customHeight="true" outlineLevel="0" collapsed="false">
      <c r="C283" s="26" t="s">
        <v>358</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359</v>
      </c>
      <c r="M285" s="23" t="s">
        <v>123</v>
      </c>
      <c r="N285" s="23" t="s">
        <v>28</v>
      </c>
      <c r="O285" s="23" t="s">
        <v>311</v>
      </c>
    </row>
    <row r="286" customFormat="false" ht="15" hidden="false" customHeight="true" outlineLevel="0" collapsed="false">
      <c r="C286" s="34" t="s">
        <v>360</v>
      </c>
      <c r="K286" s="14" t="n">
        <f aca="false">SUMIFS($K$5:$K$285,$M$5:$M$285,"P",$N$5:$N$285,"05")</f>
        <v>81127.25</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361</v>
      </c>
      <c r="B289" s="3" t="s">
        <v>117</v>
      </c>
      <c r="C289" s="3" t="s">
        <v>362</v>
      </c>
      <c r="M289" s="23"/>
      <c r="N289" s="23"/>
      <c r="O289" s="23"/>
    </row>
    <row r="290" customFormat="false" ht="36" hidden="false" customHeight="true" outlineLevel="0" collapsed="false">
      <c r="C290" s="26" t="s">
        <v>363</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364</v>
      </c>
      <c r="B300" s="3" t="s">
        <v>117</v>
      </c>
      <c r="C300" s="3" t="s">
        <v>365</v>
      </c>
      <c r="M300" s="23"/>
      <c r="N300" s="23"/>
      <c r="O300" s="23"/>
    </row>
    <row r="301" customFormat="false" ht="36" hidden="false" customHeight="true" outlineLevel="0" collapsed="false">
      <c r="C301" s="26" t="s">
        <v>366</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367</v>
      </c>
      <c r="B307" s="3" t="s">
        <v>117</v>
      </c>
      <c r="C307" s="3" t="s">
        <v>368</v>
      </c>
      <c r="M307" s="23"/>
      <c r="N307" s="23"/>
      <c r="O307" s="23"/>
    </row>
    <row r="308" customFormat="false" ht="36" hidden="false" customHeight="true" outlineLevel="0" collapsed="false">
      <c r="C308" s="26" t="s">
        <v>369</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370</v>
      </c>
      <c r="B315" s="3" t="s">
        <v>117</v>
      </c>
      <c r="C315" s="3" t="s">
        <v>371</v>
      </c>
      <c r="M315" s="23"/>
      <c r="N315" s="23"/>
      <c r="O315" s="23"/>
    </row>
    <row r="316" customFormat="false" ht="24" hidden="false" customHeight="true" outlineLevel="0" collapsed="false">
      <c r="C316" s="26" t="s">
        <v>372</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373</v>
      </c>
      <c r="B321" s="3" t="s">
        <v>117</v>
      </c>
      <c r="C321" s="3" t="s">
        <v>374</v>
      </c>
      <c r="M321" s="23"/>
      <c r="N321" s="23"/>
      <c r="O321" s="23"/>
    </row>
    <row r="322" customFormat="false" ht="24" hidden="false" customHeight="true" outlineLevel="0" collapsed="false">
      <c r="C322" s="26" t="s">
        <v>375</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376</v>
      </c>
      <c r="B327" s="3" t="s">
        <v>117</v>
      </c>
      <c r="C327" s="3" t="s">
        <v>377</v>
      </c>
      <c r="M327" s="23"/>
      <c r="N327" s="23"/>
      <c r="O327" s="23"/>
    </row>
    <row r="328" customFormat="false" ht="24" hidden="false" customHeight="true" outlineLevel="0" collapsed="false">
      <c r="C328" s="26" t="s">
        <v>378</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379</v>
      </c>
      <c r="B333" s="3" t="s">
        <v>140</v>
      </c>
      <c r="C333" s="3" t="s">
        <v>380</v>
      </c>
      <c r="M333" s="23"/>
      <c r="N333" s="23"/>
      <c r="O333" s="23"/>
    </row>
    <row r="334" customFormat="false" ht="24" hidden="false" customHeight="true" outlineLevel="0" collapsed="false">
      <c r="C334" s="26" t="s">
        <v>381</v>
      </c>
      <c r="M334" s="23"/>
      <c r="N334" s="23"/>
      <c r="O334" s="23"/>
    </row>
    <row r="335" customFormat="false" ht="15" hidden="false" customHeight="true" outlineLevel="0" collapsed="false">
      <c r="C335" s="27" t="s">
        <v>382</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383</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384</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385</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386</v>
      </c>
      <c r="B340" s="3" t="s">
        <v>140</v>
      </c>
      <c r="C340" s="3" t="s">
        <v>387</v>
      </c>
      <c r="M340" s="23"/>
      <c r="N340" s="23"/>
      <c r="O340" s="23"/>
    </row>
    <row r="341" customFormat="false" ht="24" hidden="false" customHeight="true" outlineLevel="0" collapsed="false">
      <c r="C341" s="26" t="s">
        <v>388</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389</v>
      </c>
      <c r="B345" s="3" t="s">
        <v>129</v>
      </c>
      <c r="C345" s="3" t="s">
        <v>390</v>
      </c>
      <c r="M345" s="23"/>
      <c r="N345" s="23"/>
      <c r="O345" s="23"/>
    </row>
    <row r="346" customFormat="false" ht="12" hidden="false" customHeight="true" outlineLevel="0" collapsed="false">
      <c r="C346" s="26" t="s">
        <v>391</v>
      </c>
      <c r="M346" s="23"/>
      <c r="N346" s="23"/>
      <c r="O346" s="23"/>
    </row>
    <row r="347" customFormat="false" ht="15" hidden="false" customHeight="true" outlineLevel="0" collapsed="false">
      <c r="C347" s="27" t="s">
        <v>392</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393</v>
      </c>
      <c r="B349" s="3" t="s">
        <v>129</v>
      </c>
      <c r="C349" s="3" t="s">
        <v>394</v>
      </c>
      <c r="M349" s="23"/>
      <c r="N349" s="23"/>
      <c r="O349" s="23"/>
    </row>
    <row r="350" customFormat="false" ht="12" hidden="false" customHeight="true" outlineLevel="0" collapsed="false">
      <c r="C350" s="26" t="s">
        <v>395</v>
      </c>
      <c r="M350" s="23"/>
      <c r="N350" s="23"/>
      <c r="O350" s="23"/>
    </row>
    <row r="351" customFormat="false" ht="15" hidden="false" customHeight="true" outlineLevel="0" collapsed="false">
      <c r="C351" s="27" t="s">
        <v>396</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397</v>
      </c>
      <c r="B353" s="3" t="s">
        <v>129</v>
      </c>
      <c r="C353" s="3" t="s">
        <v>398</v>
      </c>
      <c r="M353" s="23"/>
      <c r="N353" s="23"/>
      <c r="O353" s="23"/>
    </row>
    <row r="354" customFormat="false" ht="12" hidden="false" customHeight="true" outlineLevel="0" collapsed="false">
      <c r="C354" s="26" t="s">
        <v>399</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400</v>
      </c>
      <c r="B357" s="3" t="s">
        <v>129</v>
      </c>
      <c r="C357" s="3" t="s">
        <v>401</v>
      </c>
      <c r="M357" s="23"/>
      <c r="N357" s="23"/>
      <c r="O357" s="23"/>
    </row>
    <row r="358" customFormat="false" ht="12" hidden="false" customHeight="true" outlineLevel="0" collapsed="false">
      <c r="C358" s="26" t="s">
        <v>402</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403</v>
      </c>
      <c r="B361" s="3" t="s">
        <v>129</v>
      </c>
      <c r="C361" s="3" t="s">
        <v>404</v>
      </c>
      <c r="M361" s="23"/>
      <c r="N361" s="23"/>
      <c r="O361" s="23"/>
    </row>
    <row r="362" customFormat="false" ht="24" hidden="false" customHeight="true" outlineLevel="0" collapsed="false">
      <c r="C362" s="26" t="s">
        <v>405</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406</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407</v>
      </c>
      <c r="B368" s="3" t="s">
        <v>117</v>
      </c>
      <c r="C368" s="3" t="s">
        <v>408</v>
      </c>
      <c r="M368" s="23"/>
      <c r="N368" s="23"/>
      <c r="O368" s="23"/>
    </row>
    <row r="369" customFormat="false" ht="24" hidden="false" customHeight="true" outlineLevel="0" collapsed="false">
      <c r="C369" s="26" t="s">
        <v>409</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410</v>
      </c>
      <c r="B372" s="3" t="s">
        <v>117</v>
      </c>
      <c r="C372" s="3" t="s">
        <v>411</v>
      </c>
      <c r="M372" s="23"/>
      <c r="N372" s="23"/>
      <c r="O372" s="23"/>
    </row>
    <row r="373" customFormat="false" ht="12" hidden="false" customHeight="true" outlineLevel="0" collapsed="false">
      <c r="C373" s="26" t="s">
        <v>412</v>
      </c>
      <c r="M373" s="23"/>
      <c r="N373" s="23"/>
      <c r="O373" s="23"/>
    </row>
    <row r="374" customFormat="false" ht="15" hidden="false" customHeight="true" outlineLevel="0" collapsed="false">
      <c r="C374" s="27" t="s">
        <v>413</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414</v>
      </c>
      <c r="B376" s="3" t="s">
        <v>117</v>
      </c>
      <c r="C376" s="3" t="s">
        <v>415</v>
      </c>
      <c r="M376" s="23"/>
      <c r="N376" s="23"/>
      <c r="O376" s="23"/>
    </row>
    <row r="377" customFormat="false" ht="48" hidden="false" customHeight="true" outlineLevel="0" collapsed="false">
      <c r="C377" s="26" t="s">
        <v>416</v>
      </c>
      <c r="M377" s="23"/>
      <c r="N377" s="23"/>
      <c r="O377" s="23"/>
    </row>
    <row r="378" customFormat="false" ht="15" hidden="false" customHeight="true" outlineLevel="0" collapsed="false">
      <c r="C378" s="27" t="s">
        <v>413</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417</v>
      </c>
      <c r="B380" s="3" t="s">
        <v>117</v>
      </c>
      <c r="C380" s="3" t="s">
        <v>418</v>
      </c>
      <c r="M380" s="23"/>
      <c r="N380" s="23"/>
      <c r="O380" s="23"/>
    </row>
    <row r="381" customFormat="false" ht="24" hidden="false" customHeight="true" outlineLevel="0" collapsed="false">
      <c r="C381" s="26" t="s">
        <v>419</v>
      </c>
      <c r="M381" s="23"/>
      <c r="N381" s="23"/>
      <c r="O381" s="23"/>
    </row>
    <row r="382" customFormat="false" ht="15" hidden="false" customHeight="true" outlineLevel="0" collapsed="false">
      <c r="C382" s="27" t="s">
        <v>413</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420</v>
      </c>
      <c r="B384" s="3" t="s">
        <v>421</v>
      </c>
      <c r="C384" s="3" t="s">
        <v>422</v>
      </c>
      <c r="M384" s="23"/>
      <c r="N384" s="23"/>
      <c r="O384" s="23"/>
    </row>
    <row r="385" customFormat="false" ht="24" hidden="false" customHeight="true" outlineLevel="0" collapsed="false">
      <c r="C385" s="26" t="s">
        <v>423</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424</v>
      </c>
      <c r="B388" s="3" t="s">
        <v>140</v>
      </c>
      <c r="C388" s="3" t="s">
        <v>425</v>
      </c>
      <c r="M388" s="23"/>
      <c r="N388" s="23"/>
      <c r="O388" s="23"/>
    </row>
    <row r="389" customFormat="false" ht="72" hidden="false" customHeight="true" outlineLevel="0" collapsed="false">
      <c r="C389" s="26" t="s">
        <v>426</v>
      </c>
      <c r="M389" s="23"/>
      <c r="N389" s="23"/>
      <c r="O389" s="23"/>
    </row>
    <row r="390" customFormat="false" ht="15" hidden="false" customHeight="true" outlineLevel="0" collapsed="false">
      <c r="C390" s="27" t="s">
        <v>427</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428</v>
      </c>
      <c r="B392" s="3" t="s">
        <v>140</v>
      </c>
      <c r="C392" s="3" t="s">
        <v>429</v>
      </c>
      <c r="M392" s="23"/>
      <c r="N392" s="23"/>
      <c r="O392" s="23"/>
    </row>
    <row r="393" customFormat="false" ht="24" hidden="false" customHeight="true" outlineLevel="0" collapsed="false">
      <c r="C393" s="26" t="s">
        <v>430</v>
      </c>
      <c r="M393" s="23"/>
      <c r="N393" s="23"/>
      <c r="O393" s="23"/>
    </row>
    <row r="394" customFormat="false" ht="15" hidden="false" customHeight="true" outlineLevel="0" collapsed="false">
      <c r="C394" s="27" t="s">
        <v>431</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432</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433</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434</v>
      </c>
      <c r="B398" s="3" t="s">
        <v>140</v>
      </c>
      <c r="C398" s="3" t="s">
        <v>435</v>
      </c>
      <c r="M398" s="23"/>
      <c r="N398" s="23"/>
      <c r="O398" s="23"/>
    </row>
    <row r="399" customFormat="false" ht="24" hidden="false" customHeight="true" outlineLevel="0" collapsed="false">
      <c r="C399" s="26" t="s">
        <v>436</v>
      </c>
      <c r="M399" s="23"/>
      <c r="N399" s="23"/>
      <c r="O399" s="23"/>
    </row>
    <row r="400" customFormat="false" ht="15" hidden="false" customHeight="true" outlineLevel="0" collapsed="false">
      <c r="C400" s="27" t="s">
        <v>437</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438</v>
      </c>
      <c r="B402" s="3" t="s">
        <v>117</v>
      </c>
      <c r="C402" s="3" t="s">
        <v>439</v>
      </c>
      <c r="M402" s="23"/>
      <c r="N402" s="23"/>
      <c r="O402" s="23"/>
    </row>
    <row r="403" customFormat="false" ht="36" hidden="false" customHeight="true" outlineLevel="0" collapsed="false">
      <c r="C403" s="26" t="s">
        <v>440</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441</v>
      </c>
      <c r="M405" s="23" t="s">
        <v>123</v>
      </c>
      <c r="N405" s="23" t="s">
        <v>36</v>
      </c>
      <c r="O405" s="23"/>
    </row>
    <row r="406" customFormat="false" ht="15" hidden="false" customHeight="true" outlineLevel="0" collapsed="false">
      <c r="A406" s="3" t="s">
        <v>442</v>
      </c>
      <c r="B406" s="3" t="s">
        <v>129</v>
      </c>
      <c r="C406" s="3" t="s">
        <v>443</v>
      </c>
      <c r="M406" s="23"/>
      <c r="N406" s="23"/>
      <c r="O406" s="23"/>
    </row>
    <row r="407" customFormat="false" ht="24" hidden="false" customHeight="true" outlineLevel="0" collapsed="false">
      <c r="C407" s="26" t="s">
        <v>444</v>
      </c>
      <c r="M407" s="23"/>
      <c r="N407" s="23"/>
      <c r="O407" s="23"/>
    </row>
    <row r="408" customFormat="false" ht="15" hidden="false" customHeight="true" outlineLevel="0" collapsed="false">
      <c r="C408" s="27" t="s">
        <v>445</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446</v>
      </c>
      <c r="B410" s="3" t="s">
        <v>129</v>
      </c>
      <c r="C410" s="3" t="s">
        <v>447</v>
      </c>
      <c r="M410" s="23"/>
      <c r="N410" s="23"/>
      <c r="O410" s="23"/>
    </row>
    <row r="411" customFormat="false" ht="24" hidden="false" customHeight="true" outlineLevel="0" collapsed="false">
      <c r="C411" s="26" t="s">
        <v>448</v>
      </c>
      <c r="M411" s="23"/>
      <c r="N411" s="23"/>
      <c r="O411" s="23"/>
    </row>
    <row r="412" customFormat="false" ht="15" hidden="false" customHeight="true" outlineLevel="0" collapsed="false">
      <c r="C412" s="27" t="s">
        <v>449</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450</v>
      </c>
      <c r="B414" s="3" t="s">
        <v>117</v>
      </c>
      <c r="C414" s="3" t="s">
        <v>451</v>
      </c>
      <c r="M414" s="23"/>
      <c r="N414" s="23"/>
      <c r="O414" s="23"/>
    </row>
    <row r="415" customFormat="false" ht="24" hidden="false" customHeight="true" outlineLevel="0" collapsed="false">
      <c r="C415" s="26" t="s">
        <v>452</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453</v>
      </c>
      <c r="B418" s="3" t="s">
        <v>117</v>
      </c>
      <c r="C418" s="3" t="s">
        <v>454</v>
      </c>
      <c r="M418" s="23"/>
      <c r="N418" s="23"/>
      <c r="O418" s="23"/>
    </row>
    <row r="419" customFormat="false" ht="24" hidden="false" customHeight="true" outlineLevel="0" collapsed="false">
      <c r="C419" s="26" t="s">
        <v>455</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456</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457</v>
      </c>
      <c r="B425" s="3" t="s">
        <v>117</v>
      </c>
      <c r="C425" s="3" t="s">
        <v>458</v>
      </c>
      <c r="M425" s="23"/>
      <c r="N425" s="23"/>
      <c r="O425" s="23"/>
    </row>
    <row r="426" customFormat="false" ht="24" hidden="false" customHeight="true" outlineLevel="0" collapsed="false">
      <c r="C426" s="26" t="s">
        <v>459</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460</v>
      </c>
      <c r="B429" s="3" t="s">
        <v>117</v>
      </c>
      <c r="C429" s="3" t="s">
        <v>461</v>
      </c>
      <c r="M429" s="23"/>
      <c r="N429" s="23"/>
      <c r="O429" s="23"/>
    </row>
    <row r="430" customFormat="false" ht="72" hidden="false" customHeight="true" outlineLevel="0" collapsed="false">
      <c r="C430" s="26" t="s">
        <v>462</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463</v>
      </c>
      <c r="B434" s="3" t="s">
        <v>117</v>
      </c>
      <c r="C434" s="3" t="s">
        <v>464</v>
      </c>
      <c r="M434" s="23"/>
      <c r="N434" s="23"/>
      <c r="O434" s="23"/>
    </row>
    <row r="435" customFormat="false" ht="24" hidden="false" customHeight="true" outlineLevel="0" collapsed="false">
      <c r="C435" s="26" t="s">
        <v>465</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466</v>
      </c>
      <c r="B438" s="3" t="s">
        <v>140</v>
      </c>
      <c r="C438" s="3" t="s">
        <v>467</v>
      </c>
      <c r="M438" s="23"/>
      <c r="N438" s="23"/>
      <c r="O438" s="23"/>
    </row>
    <row r="439" customFormat="false" ht="24" hidden="false" customHeight="true" outlineLevel="0" collapsed="false">
      <c r="C439" s="26" t="s">
        <v>468</v>
      </c>
      <c r="M439" s="23"/>
      <c r="N439" s="23"/>
      <c r="O439" s="23"/>
    </row>
    <row r="440" customFormat="false" ht="15" hidden="false" customHeight="true" outlineLevel="0" collapsed="false">
      <c r="C440" s="27" t="s">
        <v>469</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470</v>
      </c>
      <c r="B442" s="3" t="s">
        <v>140</v>
      </c>
      <c r="C442" s="3" t="s">
        <v>471</v>
      </c>
      <c r="M442" s="23"/>
      <c r="N442" s="23"/>
      <c r="O442" s="23"/>
    </row>
    <row r="443" customFormat="false" ht="108" hidden="false" customHeight="true" outlineLevel="0" collapsed="false">
      <c r="C443" s="26" t="s">
        <v>472</v>
      </c>
      <c r="M443" s="23"/>
      <c r="N443" s="23"/>
      <c r="O443" s="23"/>
    </row>
    <row r="444" customFormat="false" ht="15" hidden="false" customHeight="true" outlineLevel="0" collapsed="false">
      <c r="C444" s="27" t="s">
        <v>473</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474</v>
      </c>
      <c r="B446" s="3" t="s">
        <v>140</v>
      </c>
      <c r="C446" s="3" t="s">
        <v>475</v>
      </c>
      <c r="M446" s="23"/>
      <c r="N446" s="23"/>
      <c r="O446" s="23"/>
    </row>
    <row r="447" customFormat="false" ht="24" hidden="false" customHeight="true" outlineLevel="0" collapsed="false">
      <c r="C447" s="26" t="s">
        <v>476</v>
      </c>
      <c r="M447" s="23"/>
      <c r="N447" s="23"/>
      <c r="O447" s="23"/>
    </row>
    <row r="448" customFormat="false" ht="15" hidden="false" customHeight="true" outlineLevel="0" collapsed="false">
      <c r="C448" s="27" t="s">
        <v>477</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478</v>
      </c>
      <c r="B450" s="3" t="s">
        <v>117</v>
      </c>
      <c r="C450" s="3" t="s">
        <v>479</v>
      </c>
      <c r="M450" s="23"/>
      <c r="N450" s="23"/>
      <c r="O450" s="23"/>
    </row>
    <row r="451" customFormat="false" ht="12" hidden="false" customHeight="true" outlineLevel="0" collapsed="false">
      <c r="C451" s="26" t="s">
        <v>480</v>
      </c>
      <c r="M451" s="23"/>
      <c r="N451" s="23"/>
      <c r="O451" s="23"/>
    </row>
    <row r="452" customFormat="false" ht="15" hidden="false" customHeight="true" outlineLevel="0" collapsed="false">
      <c r="C452" s="27" t="s">
        <v>481</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482</v>
      </c>
      <c r="B454" s="3" t="s">
        <v>117</v>
      </c>
      <c r="C454" s="3" t="s">
        <v>483</v>
      </c>
      <c r="M454" s="23"/>
      <c r="N454" s="23"/>
      <c r="O454" s="23"/>
    </row>
    <row r="455" customFormat="false" ht="12" hidden="false" customHeight="true" outlineLevel="0" collapsed="false">
      <c r="C455" s="26" t="s">
        <v>484</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485</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486</v>
      </c>
      <c r="B461" s="3" t="s">
        <v>117</v>
      </c>
      <c r="C461" s="3" t="s">
        <v>487</v>
      </c>
      <c r="M461" s="23"/>
      <c r="N461" s="23"/>
      <c r="O461" s="23"/>
    </row>
    <row r="462" customFormat="false" ht="24" hidden="false" customHeight="true" outlineLevel="0" collapsed="false">
      <c r="C462" s="26" t="s">
        <v>488</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489</v>
      </c>
      <c r="B465" s="3" t="s">
        <v>129</v>
      </c>
      <c r="C465" s="3" t="s">
        <v>490</v>
      </c>
      <c r="M465" s="23"/>
      <c r="N465" s="23"/>
      <c r="O465" s="23"/>
    </row>
    <row r="466" customFormat="false" ht="12" hidden="false" customHeight="true" outlineLevel="0" collapsed="false">
      <c r="C466" s="26" t="s">
        <v>491</v>
      </c>
      <c r="M466" s="23"/>
      <c r="N466" s="23"/>
      <c r="O466" s="23"/>
    </row>
    <row r="467" customFormat="false" ht="15" hidden="false" customHeight="true" outlineLevel="0" collapsed="false">
      <c r="C467" s="27" t="s">
        <v>492</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493</v>
      </c>
      <c r="B469" s="3" t="s">
        <v>117</v>
      </c>
      <c r="C469" s="3" t="s">
        <v>494</v>
      </c>
      <c r="M469" s="23"/>
      <c r="N469" s="23"/>
      <c r="O469" s="23"/>
    </row>
    <row r="470" customFormat="false" ht="24" hidden="false" customHeight="true" outlineLevel="0" collapsed="false">
      <c r="C470" s="26" t="s">
        <v>495</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496</v>
      </c>
      <c r="M472" s="23" t="s">
        <v>123</v>
      </c>
      <c r="N472" s="23" t="s">
        <v>40</v>
      </c>
      <c r="O472" s="23"/>
    </row>
    <row r="473" customFormat="false" ht="15" hidden="false" customHeight="true" outlineLevel="0" collapsed="false">
      <c r="C473" s="34" t="s">
        <v>497</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498</v>
      </c>
      <c r="B476" s="3" t="s">
        <v>117</v>
      </c>
      <c r="C476" s="3" t="s">
        <v>499</v>
      </c>
      <c r="M476" s="23"/>
      <c r="N476" s="23"/>
      <c r="O476" s="23"/>
    </row>
    <row r="477" customFormat="false" ht="24" hidden="false" customHeight="true" outlineLevel="0" collapsed="false">
      <c r="C477" s="26" t="s">
        <v>500</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501</v>
      </c>
      <c r="B480" s="3" t="s">
        <v>117</v>
      </c>
      <c r="C480" s="3" t="s">
        <v>502</v>
      </c>
      <c r="M480" s="23"/>
      <c r="N480" s="23"/>
      <c r="O480" s="23"/>
    </row>
    <row r="481" customFormat="false" ht="24" hidden="false" customHeight="true" outlineLevel="0" collapsed="false">
      <c r="C481" s="26" t="s">
        <v>503</v>
      </c>
      <c r="M481" s="23"/>
      <c r="N481" s="23"/>
      <c r="O481" s="23"/>
    </row>
    <row r="482" customFormat="false" ht="15" hidden="false" customHeight="true" outlineLevel="0" collapsed="false">
      <c r="C482" s="27" t="s">
        <v>504</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505</v>
      </c>
      <c r="B484" s="3" t="s">
        <v>117</v>
      </c>
      <c r="C484" s="3" t="s">
        <v>506</v>
      </c>
      <c r="M484" s="23"/>
      <c r="N484" s="23"/>
      <c r="O484" s="23"/>
    </row>
    <row r="485" customFormat="false" ht="24" hidden="false" customHeight="true" outlineLevel="0" collapsed="false">
      <c r="C485" s="26" t="s">
        <v>507</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508</v>
      </c>
      <c r="B489" s="3" t="s">
        <v>117</v>
      </c>
      <c r="C489" s="3" t="s">
        <v>509</v>
      </c>
      <c r="M489" s="23"/>
      <c r="N489" s="23"/>
      <c r="O489" s="23"/>
    </row>
    <row r="490" customFormat="false" ht="24" hidden="false" customHeight="true" outlineLevel="0" collapsed="false">
      <c r="C490" s="26" t="s">
        <v>510</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511</v>
      </c>
      <c r="B494" s="3" t="s">
        <v>117</v>
      </c>
      <c r="C494" s="3" t="s">
        <v>512</v>
      </c>
      <c r="M494" s="23"/>
      <c r="N494" s="23"/>
      <c r="O494" s="23"/>
    </row>
    <row r="495" customFormat="false" ht="12" hidden="false" customHeight="true" outlineLevel="0" collapsed="false">
      <c r="C495" s="26" t="s">
        <v>513</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514</v>
      </c>
      <c r="B498" s="3" t="s">
        <v>117</v>
      </c>
      <c r="C498" s="3" t="s">
        <v>515</v>
      </c>
      <c r="M498" s="23"/>
      <c r="N498" s="23"/>
      <c r="O498" s="23"/>
    </row>
    <row r="499" customFormat="false" ht="132" hidden="false" customHeight="true" outlineLevel="0" collapsed="false">
      <c r="C499" s="26" t="s">
        <v>516</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517</v>
      </c>
      <c r="B502" s="3" t="s">
        <v>140</v>
      </c>
      <c r="C502" s="3" t="s">
        <v>518</v>
      </c>
      <c r="M502" s="23"/>
      <c r="N502" s="23"/>
      <c r="O502" s="23"/>
    </row>
    <row r="503" customFormat="false" ht="24" hidden="false" customHeight="true" outlineLevel="0" collapsed="false">
      <c r="C503" s="26" t="s">
        <v>519</v>
      </c>
      <c r="M503" s="23"/>
      <c r="N503" s="23"/>
      <c r="O503" s="23"/>
    </row>
    <row r="504" customFormat="false" ht="15" hidden="false" customHeight="true" outlineLevel="0" collapsed="false">
      <c r="C504" s="27" t="s">
        <v>385</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520</v>
      </c>
      <c r="B506" s="3" t="s">
        <v>129</v>
      </c>
      <c r="C506" s="3" t="s">
        <v>521</v>
      </c>
      <c r="M506" s="23"/>
      <c r="N506" s="23"/>
      <c r="O506" s="23"/>
    </row>
    <row r="507" customFormat="false" ht="24" hidden="false" customHeight="true" outlineLevel="0" collapsed="false">
      <c r="C507" s="26" t="s">
        <v>522</v>
      </c>
      <c r="M507" s="23"/>
      <c r="N507" s="23"/>
      <c r="O507" s="23"/>
    </row>
    <row r="508" customFormat="false" ht="15" hidden="false" customHeight="true" outlineLevel="0" collapsed="false">
      <c r="C508" s="27" t="s">
        <v>384</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523</v>
      </c>
      <c r="B510" s="3" t="s">
        <v>117</v>
      </c>
      <c r="C510" s="3" t="s">
        <v>524</v>
      </c>
      <c r="M510" s="23"/>
      <c r="N510" s="23"/>
      <c r="O510" s="23"/>
    </row>
    <row r="511" customFormat="false" ht="24" hidden="false" customHeight="true" outlineLevel="0" collapsed="false">
      <c r="C511" s="26" t="s">
        <v>525</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526</v>
      </c>
      <c r="M513" s="23" t="s">
        <v>123</v>
      </c>
      <c r="N513" s="23" t="s">
        <v>42</v>
      </c>
      <c r="O513" s="23"/>
    </row>
    <row r="514" customFormat="false" ht="15" hidden="false" customHeight="true" outlineLevel="0" collapsed="false">
      <c r="C514" s="34" t="s">
        <v>527</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528</v>
      </c>
      <c r="B517" s="3" t="s">
        <v>421</v>
      </c>
      <c r="C517" s="3" t="s">
        <v>529</v>
      </c>
      <c r="M517" s="23"/>
      <c r="N517" s="23"/>
      <c r="O517" s="23"/>
    </row>
    <row r="518" customFormat="false" ht="36" hidden="false" customHeight="true" outlineLevel="0" collapsed="false">
      <c r="C518" s="26" t="s">
        <v>530</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531</v>
      </c>
      <c r="B523" s="3" t="s">
        <v>117</v>
      </c>
      <c r="C523" s="3" t="s">
        <v>532</v>
      </c>
      <c r="M523" s="23"/>
      <c r="N523" s="23"/>
      <c r="O523" s="23"/>
    </row>
    <row r="524" customFormat="false" ht="24" hidden="false" customHeight="true" outlineLevel="0" collapsed="false">
      <c r="C524" s="26" t="s">
        <v>533</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534</v>
      </c>
      <c r="B533" s="3" t="s">
        <v>117</v>
      </c>
      <c r="C533" s="3" t="s">
        <v>535</v>
      </c>
      <c r="M533" s="23"/>
      <c r="N533" s="23"/>
      <c r="O533" s="23"/>
    </row>
    <row r="534" customFormat="false" ht="24" hidden="false" customHeight="true" outlineLevel="0" collapsed="false">
      <c r="C534" s="26" t="s">
        <v>536</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537</v>
      </c>
      <c r="B541" s="3" t="s">
        <v>117</v>
      </c>
      <c r="C541" s="3" t="s">
        <v>538</v>
      </c>
      <c r="M541" s="23"/>
      <c r="N541" s="23"/>
      <c r="O541" s="23"/>
    </row>
    <row r="542" customFormat="false" ht="12" hidden="false" customHeight="true" outlineLevel="0" collapsed="false">
      <c r="C542" s="26" t="s">
        <v>539</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540</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541</v>
      </c>
      <c r="B548" s="3" t="s">
        <v>129</v>
      </c>
      <c r="C548" s="3" t="s">
        <v>542</v>
      </c>
      <c r="M548" s="23"/>
      <c r="N548" s="23"/>
      <c r="O548" s="23"/>
    </row>
    <row r="549" customFormat="false" ht="24" hidden="false" customHeight="true" outlineLevel="0" collapsed="false">
      <c r="C549" s="26" t="s">
        <v>543</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544</v>
      </c>
      <c r="B552" s="3" t="s">
        <v>129</v>
      </c>
      <c r="C552" s="3" t="s">
        <v>545</v>
      </c>
      <c r="M552" s="23"/>
      <c r="N552" s="23"/>
      <c r="O552" s="23"/>
    </row>
    <row r="553" customFormat="false" ht="24" hidden="false" customHeight="true" outlineLevel="0" collapsed="false">
      <c r="C553" s="26" t="s">
        <v>546</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547</v>
      </c>
      <c r="B556" s="3" t="s">
        <v>129</v>
      </c>
      <c r="C556" s="3" t="s">
        <v>548</v>
      </c>
      <c r="M556" s="23"/>
      <c r="N556" s="23"/>
      <c r="O556" s="23"/>
    </row>
    <row r="557" customFormat="false" ht="36" hidden="false" customHeight="true" outlineLevel="0" collapsed="false">
      <c r="C557" s="26" t="s">
        <v>549</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550</v>
      </c>
      <c r="B560" s="3" t="s">
        <v>129</v>
      </c>
      <c r="C560" s="3" t="s">
        <v>551</v>
      </c>
      <c r="M560" s="23"/>
      <c r="N560" s="23"/>
      <c r="O560" s="23"/>
    </row>
    <row r="561" customFormat="false" ht="36" hidden="false" customHeight="true" outlineLevel="0" collapsed="false">
      <c r="C561" s="26" t="s">
        <v>552</v>
      </c>
      <c r="M561" s="23"/>
      <c r="N561" s="23"/>
      <c r="O561" s="23"/>
    </row>
    <row r="562" customFormat="false" ht="15" hidden="false" customHeight="true" outlineLevel="0" collapsed="false">
      <c r="C562" s="27" t="s">
        <v>553</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554</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555</v>
      </c>
      <c r="B567" s="3" t="s">
        <v>129</v>
      </c>
      <c r="C567" s="3" t="s">
        <v>556</v>
      </c>
      <c r="M567" s="23"/>
      <c r="N567" s="23"/>
      <c r="O567" s="23"/>
    </row>
    <row r="568" customFormat="false" ht="60" hidden="false" customHeight="true" outlineLevel="0" collapsed="false">
      <c r="C568" s="26" t="s">
        <v>557</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558</v>
      </c>
      <c r="B571" s="3" t="s">
        <v>129</v>
      </c>
      <c r="C571" s="3" t="s">
        <v>559</v>
      </c>
      <c r="M571" s="23"/>
      <c r="N571" s="23"/>
      <c r="O571" s="23"/>
    </row>
    <row r="572" customFormat="false" ht="60" hidden="false" customHeight="true" outlineLevel="0" collapsed="false">
      <c r="C572" s="26" t="s">
        <v>560</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561</v>
      </c>
      <c r="B575" s="3" t="s">
        <v>129</v>
      </c>
      <c r="C575" s="3" t="s">
        <v>562</v>
      </c>
      <c r="M575" s="23"/>
      <c r="N575" s="23"/>
      <c r="O575" s="23"/>
    </row>
    <row r="576" customFormat="false" ht="60" hidden="false" customHeight="true" outlineLevel="0" collapsed="false">
      <c r="C576" s="26" t="s">
        <v>563</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564</v>
      </c>
      <c r="B579" s="3" t="s">
        <v>129</v>
      </c>
      <c r="C579" s="3" t="s">
        <v>565</v>
      </c>
      <c r="M579" s="23"/>
      <c r="N579" s="23"/>
      <c r="O579" s="23"/>
    </row>
    <row r="580" customFormat="false" ht="60" hidden="false" customHeight="true" outlineLevel="0" collapsed="false">
      <c r="C580" s="26" t="s">
        <v>566</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567</v>
      </c>
      <c r="B583" s="3" t="s">
        <v>129</v>
      </c>
      <c r="C583" s="3" t="s">
        <v>568</v>
      </c>
      <c r="M583" s="23"/>
      <c r="N583" s="23"/>
      <c r="O583" s="23"/>
    </row>
    <row r="584" customFormat="false" ht="60" hidden="false" customHeight="true" outlineLevel="0" collapsed="false">
      <c r="C584" s="26" t="s">
        <v>569</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570</v>
      </c>
      <c r="B587" s="3" t="s">
        <v>129</v>
      </c>
      <c r="C587" s="3" t="s">
        <v>571</v>
      </c>
      <c r="M587" s="23"/>
      <c r="N587" s="23"/>
      <c r="O587" s="23"/>
    </row>
    <row r="588" customFormat="false" ht="60" hidden="false" customHeight="true" outlineLevel="0" collapsed="false">
      <c r="C588" s="26" t="s">
        <v>572</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573</v>
      </c>
      <c r="B591" s="3" t="s">
        <v>129</v>
      </c>
      <c r="C591" s="3" t="s">
        <v>574</v>
      </c>
      <c r="M591" s="23"/>
      <c r="N591" s="23"/>
      <c r="O591" s="23"/>
    </row>
    <row r="592" customFormat="false" ht="60" hidden="false" customHeight="true" outlineLevel="0" collapsed="false">
      <c r="C592" s="26" t="s">
        <v>575</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576</v>
      </c>
      <c r="B595" s="3" t="s">
        <v>129</v>
      </c>
      <c r="C595" s="3" t="s">
        <v>577</v>
      </c>
      <c r="M595" s="23"/>
      <c r="N595" s="23"/>
      <c r="O595" s="23"/>
    </row>
    <row r="596" customFormat="false" ht="60" hidden="false" customHeight="true" outlineLevel="0" collapsed="false">
      <c r="C596" s="26" t="s">
        <v>578</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579</v>
      </c>
      <c r="B599" s="3" t="s">
        <v>129</v>
      </c>
      <c r="C599" s="3" t="s">
        <v>580</v>
      </c>
      <c r="M599" s="23"/>
      <c r="N599" s="23"/>
      <c r="O599" s="23"/>
    </row>
    <row r="600" customFormat="false" ht="60" hidden="false" customHeight="true" outlineLevel="0" collapsed="false">
      <c r="C600" s="26" t="s">
        <v>581</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582</v>
      </c>
      <c r="B603" s="3" t="s">
        <v>129</v>
      </c>
      <c r="C603" s="3" t="s">
        <v>583</v>
      </c>
      <c r="M603" s="23"/>
      <c r="N603" s="23"/>
      <c r="O603" s="23"/>
    </row>
    <row r="604" customFormat="false" ht="60" hidden="false" customHeight="true" outlineLevel="0" collapsed="false">
      <c r="C604" s="26" t="s">
        <v>584</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585</v>
      </c>
      <c r="B607" s="3" t="s">
        <v>129</v>
      </c>
      <c r="C607" s="3" t="s">
        <v>586</v>
      </c>
      <c r="M607" s="23"/>
      <c r="N607" s="23"/>
      <c r="O607" s="23"/>
    </row>
    <row r="608" customFormat="false" ht="60" hidden="false" customHeight="true" outlineLevel="0" collapsed="false">
      <c r="C608" s="26" t="s">
        <v>587</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588</v>
      </c>
      <c r="B611" s="3" t="s">
        <v>129</v>
      </c>
      <c r="C611" s="3" t="s">
        <v>589</v>
      </c>
      <c r="M611" s="23"/>
      <c r="N611" s="23"/>
      <c r="O611" s="23"/>
    </row>
    <row r="612" customFormat="false" ht="24" hidden="false" customHeight="true" outlineLevel="0" collapsed="false">
      <c r="C612" s="26" t="s">
        <v>590</v>
      </c>
      <c r="M612" s="23"/>
      <c r="N612" s="23"/>
      <c r="O612" s="23"/>
    </row>
    <row r="613" customFormat="false" ht="15" hidden="false" customHeight="true" outlineLevel="0" collapsed="false">
      <c r="C613" s="27" t="s">
        <v>591</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592</v>
      </c>
      <c r="B615" s="3" t="s">
        <v>129</v>
      </c>
      <c r="C615" s="3" t="s">
        <v>593</v>
      </c>
      <c r="M615" s="23"/>
      <c r="N615" s="23"/>
      <c r="O615" s="23"/>
    </row>
    <row r="616" customFormat="false" ht="24" hidden="false" customHeight="true" outlineLevel="0" collapsed="false">
      <c r="C616" s="26" t="s">
        <v>594</v>
      </c>
      <c r="M616" s="23"/>
      <c r="N616" s="23"/>
      <c r="O616" s="23"/>
    </row>
    <row r="617" customFormat="false" ht="15" hidden="false" customHeight="true" outlineLevel="0" collapsed="false">
      <c r="C617" s="27" t="s">
        <v>384</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595</v>
      </c>
      <c r="B619" s="3" t="s">
        <v>129</v>
      </c>
      <c r="C619" s="3" t="s">
        <v>596</v>
      </c>
      <c r="M619" s="23"/>
      <c r="N619" s="23"/>
      <c r="O619" s="23"/>
    </row>
    <row r="620" customFormat="false" ht="36" hidden="false" customHeight="true" outlineLevel="0" collapsed="false">
      <c r="C620" s="26" t="s">
        <v>597</v>
      </c>
      <c r="M620" s="23"/>
      <c r="N620" s="23"/>
      <c r="O620" s="23"/>
    </row>
    <row r="621" customFormat="false" ht="15" hidden="false" customHeight="true" outlineLevel="0" collapsed="false">
      <c r="C621" s="27" t="s">
        <v>385</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598</v>
      </c>
      <c r="B623" s="3" t="s">
        <v>129</v>
      </c>
      <c r="C623" s="3" t="s">
        <v>599</v>
      </c>
      <c r="M623" s="23"/>
      <c r="N623" s="23"/>
      <c r="O623" s="23"/>
    </row>
    <row r="624" customFormat="false" ht="36" hidden="false" customHeight="true" outlineLevel="0" collapsed="false">
      <c r="C624" s="26" t="s">
        <v>600</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601</v>
      </c>
      <c r="M626" s="23" t="s">
        <v>123</v>
      </c>
      <c r="N626" s="23" t="s">
        <v>48</v>
      </c>
      <c r="O626" s="23"/>
    </row>
    <row r="627" customFormat="false" ht="15" hidden="false" customHeight="true" outlineLevel="0" collapsed="false">
      <c r="A627" s="3" t="s">
        <v>602</v>
      </c>
      <c r="B627" s="3" t="s">
        <v>140</v>
      </c>
      <c r="C627" s="3" t="s">
        <v>603</v>
      </c>
      <c r="M627" s="23"/>
      <c r="N627" s="23"/>
      <c r="O627" s="23"/>
    </row>
    <row r="628" customFormat="false" ht="60" hidden="false" customHeight="true" outlineLevel="0" collapsed="false">
      <c r="C628" s="26" t="s">
        <v>604</v>
      </c>
      <c r="M628" s="23"/>
      <c r="N628" s="23"/>
      <c r="O628" s="23"/>
    </row>
    <row r="629" customFormat="false" ht="15" hidden="false" customHeight="true" outlineLevel="0" collapsed="false">
      <c r="C629" s="27" t="s">
        <v>605</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606</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607</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608</v>
      </c>
      <c r="B635" s="3" t="s">
        <v>117</v>
      </c>
      <c r="C635" s="3" t="s">
        <v>609</v>
      </c>
      <c r="M635" s="23"/>
      <c r="N635" s="23"/>
      <c r="O635" s="23"/>
    </row>
    <row r="636" customFormat="false" ht="24" hidden="false" customHeight="true" outlineLevel="0" collapsed="false">
      <c r="C636" s="26" t="s">
        <v>610</v>
      </c>
      <c r="M636" s="23"/>
      <c r="N636" s="23"/>
      <c r="O636" s="23"/>
    </row>
    <row r="637" customFormat="false" ht="15" hidden="false" customHeight="true" outlineLevel="0" collapsed="false">
      <c r="C637" s="27" t="s">
        <v>382</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383</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611</v>
      </c>
      <c r="B640" s="3" t="s">
        <v>129</v>
      </c>
      <c r="C640" s="3" t="s">
        <v>612</v>
      </c>
      <c r="M640" s="23"/>
      <c r="N640" s="23"/>
      <c r="O640" s="23"/>
    </row>
    <row r="641" customFormat="false" ht="24" hidden="false" customHeight="true" outlineLevel="0" collapsed="false">
      <c r="C641" s="26" t="s">
        <v>613</v>
      </c>
      <c r="M641" s="23"/>
      <c r="N641" s="23"/>
      <c r="O641" s="23"/>
    </row>
    <row r="642" customFormat="false" ht="15" hidden="false" customHeight="true" outlineLevel="0" collapsed="false">
      <c r="C642" s="27" t="s">
        <v>614</v>
      </c>
      <c r="D642" s="28" t="n">
        <v>1</v>
      </c>
      <c r="H642" s="29" t="n">
        <f aca="false">IF(COUNT(D642:G642)=0,0,D642*IF(E642="",1,E642)*IF(F642="",1,F642)*IF(G642="",1,G642))</f>
        <v>1</v>
      </c>
      <c r="M642" s="23"/>
      <c r="N642" s="23"/>
      <c r="O642" s="23"/>
    </row>
    <row r="643" customFormat="false" ht="15" hidden="false" customHeight="true" outlineLevel="0" collapsed="false">
      <c r="C643" s="27" t="s">
        <v>615</v>
      </c>
      <c r="D643" s="28" t="n">
        <v>1</v>
      </c>
      <c r="H643" s="29" t="n">
        <f aca="false">IF(COUNT(D643:G643)=0,0,D643*IF(E643="",1,E643)*IF(F643="",1,F643)*IF(G643="",1,G643))</f>
        <v>1</v>
      </c>
      <c r="M643" s="23"/>
      <c r="N643" s="23"/>
      <c r="O643" s="23"/>
    </row>
    <row r="644" customFormat="false" ht="15" hidden="false" customHeight="true" outlineLevel="0" collapsed="false">
      <c r="C644" s="27" t="s">
        <v>616</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617</v>
      </c>
      <c r="B646" s="3" t="s">
        <v>140</v>
      </c>
      <c r="C646" s="3" t="s">
        <v>618</v>
      </c>
      <c r="M646" s="23"/>
      <c r="N646" s="23"/>
      <c r="O646" s="23"/>
    </row>
    <row r="647" customFormat="false" ht="36" hidden="false" customHeight="true" outlineLevel="0" collapsed="false">
      <c r="C647" s="26" t="s">
        <v>619</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620</v>
      </c>
      <c r="B652" s="3" t="s">
        <v>129</v>
      </c>
      <c r="C652" s="3" t="s">
        <v>621</v>
      </c>
      <c r="M652" s="23"/>
      <c r="N652" s="23"/>
      <c r="O652" s="23"/>
    </row>
    <row r="653" customFormat="false" ht="24" hidden="false" customHeight="true" outlineLevel="0" collapsed="false">
      <c r="C653" s="26" t="s">
        <v>622</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623</v>
      </c>
      <c r="B656" s="3" t="s">
        <v>140</v>
      </c>
      <c r="C656" s="3" t="s">
        <v>624</v>
      </c>
      <c r="M656" s="23"/>
      <c r="N656" s="23"/>
      <c r="O656" s="23"/>
    </row>
    <row r="657" customFormat="false" ht="12" hidden="false" customHeight="true" outlineLevel="0" collapsed="false">
      <c r="C657" s="26" t="s">
        <v>625</v>
      </c>
      <c r="M657" s="23"/>
      <c r="N657" s="23"/>
      <c r="O657" s="23"/>
    </row>
    <row r="658" customFormat="false" ht="15" hidden="false" customHeight="true" outlineLevel="0" collapsed="false">
      <c r="C658" s="27" t="s">
        <v>626</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627</v>
      </c>
      <c r="B660" s="3" t="s">
        <v>129</v>
      </c>
      <c r="C660" s="3" t="s">
        <v>628</v>
      </c>
      <c r="M660" s="23"/>
      <c r="N660" s="23"/>
      <c r="O660" s="23"/>
    </row>
    <row r="661" customFormat="false" ht="18.75" hidden="false" customHeight="true" outlineLevel="0" collapsed="false">
      <c r="C661" s="26" t="s">
        <v>629</v>
      </c>
      <c r="M661" s="23"/>
      <c r="N661" s="23"/>
      <c r="O661" s="23"/>
    </row>
    <row r="662" customFormat="false" ht="18.75" hidden="false" customHeight="true" outlineLevel="0" collapsed="false">
      <c r="C662" s="27" t="s">
        <v>630</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631</v>
      </c>
      <c r="M663" s="23" t="s">
        <v>123</v>
      </c>
      <c r="N663" s="23" t="s">
        <v>50</v>
      </c>
      <c r="O663" s="23"/>
    </row>
    <row r="664" customFormat="false" ht="15" hidden="false" customHeight="true" outlineLevel="0" collapsed="false">
      <c r="C664" s="34" t="s">
        <v>632</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633</v>
      </c>
      <c r="B667" s="3" t="s">
        <v>117</v>
      </c>
      <c r="C667" s="3" t="s">
        <v>634</v>
      </c>
      <c r="M667" s="23"/>
      <c r="N667" s="23"/>
      <c r="O667" s="23"/>
    </row>
    <row r="668" customFormat="false" ht="96" hidden="false" customHeight="true" outlineLevel="0" collapsed="false">
      <c r="C668" s="26" t="s">
        <v>635</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636</v>
      </c>
      <c r="B672" s="3" t="s">
        <v>421</v>
      </c>
      <c r="C672" s="3" t="s">
        <v>637</v>
      </c>
      <c r="M672" s="23"/>
      <c r="N672" s="23"/>
      <c r="O672" s="23"/>
    </row>
    <row r="673" customFormat="false" ht="36" hidden="false" customHeight="true" outlineLevel="0" collapsed="false">
      <c r="C673" s="26" t="s">
        <v>638</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639</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640</v>
      </c>
      <c r="C679" s="3" t="s">
        <v>641</v>
      </c>
      <c r="M679" s="23" t="s">
        <v>291</v>
      </c>
      <c r="N679" s="23" t="s">
        <v>54</v>
      </c>
      <c r="O679" s="23" t="s">
        <v>640</v>
      </c>
    </row>
    <row r="680" customFormat="false" ht="15" hidden="false" customHeight="true" outlineLevel="0" collapsed="false">
      <c r="A680" s="3" t="s">
        <v>642</v>
      </c>
      <c r="B680" s="3" t="s">
        <v>643</v>
      </c>
      <c r="C680" s="3" t="s">
        <v>644</v>
      </c>
      <c r="M680" s="23"/>
      <c r="N680" s="23"/>
      <c r="O680" s="23"/>
    </row>
    <row r="681" customFormat="false" ht="288" hidden="false" customHeight="true" outlineLevel="0" collapsed="false">
      <c r="C681" s="26" t="s">
        <v>645</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640</v>
      </c>
    </row>
    <row r="684" customFormat="false" ht="15" hidden="false" customHeight="true" outlineLevel="0" collapsed="false">
      <c r="A684" s="3" t="s">
        <v>646</v>
      </c>
      <c r="B684" s="3" t="s">
        <v>643</v>
      </c>
      <c r="C684" s="3" t="s">
        <v>647</v>
      </c>
      <c r="M684" s="23"/>
      <c r="N684" s="23"/>
      <c r="O684" s="23"/>
    </row>
    <row r="685" customFormat="false" ht="132" hidden="false" customHeight="true" outlineLevel="0" collapsed="false">
      <c r="C685" s="26" t="s">
        <v>648</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640</v>
      </c>
    </row>
    <row r="688" customFormat="false" ht="15" hidden="false" customHeight="true" outlineLevel="0" collapsed="false">
      <c r="A688" s="3" t="s">
        <v>649</v>
      </c>
      <c r="B688" s="3" t="s">
        <v>650</v>
      </c>
      <c r="C688" s="3" t="s">
        <v>651</v>
      </c>
      <c r="M688" s="23"/>
      <c r="N688" s="23"/>
      <c r="O688" s="23"/>
    </row>
    <row r="689" customFormat="false" ht="168" hidden="false" customHeight="true" outlineLevel="0" collapsed="false">
      <c r="C689" s="26" t="s">
        <v>652</v>
      </c>
      <c r="M689" s="23"/>
      <c r="N689" s="23"/>
      <c r="O689" s="23"/>
    </row>
    <row r="690" customFormat="false" ht="15" hidden="false" customHeight="true" outlineLevel="0" collapsed="false">
      <c r="C690" s="27" t="s">
        <v>653</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640</v>
      </c>
    </row>
    <row r="692" customFormat="false" ht="15" hidden="false" customHeight="true" outlineLevel="0" collapsed="false">
      <c r="A692" s="3" t="s">
        <v>654</v>
      </c>
      <c r="B692" s="3" t="s">
        <v>643</v>
      </c>
      <c r="C692" s="3" t="s">
        <v>655</v>
      </c>
      <c r="M692" s="23"/>
      <c r="N692" s="23"/>
      <c r="O692" s="23"/>
    </row>
    <row r="693" customFormat="false" ht="108" hidden="false" customHeight="true" outlineLevel="0" collapsed="false">
      <c r="C693" s="26" t="s">
        <v>656</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640</v>
      </c>
    </row>
    <row r="696" customFormat="false" ht="15" hidden="false" customHeight="true" outlineLevel="0" collapsed="false">
      <c r="A696" s="3" t="s">
        <v>657</v>
      </c>
      <c r="B696" s="3" t="s">
        <v>650</v>
      </c>
      <c r="C696" s="3" t="s">
        <v>658</v>
      </c>
      <c r="M696" s="23"/>
      <c r="N696" s="23"/>
      <c r="O696" s="23"/>
    </row>
    <row r="697" customFormat="false" ht="96" hidden="false" customHeight="true" outlineLevel="0" collapsed="false">
      <c r="C697" s="26" t="s">
        <v>659</v>
      </c>
      <c r="M697" s="23"/>
      <c r="N697" s="23"/>
      <c r="O697" s="23"/>
    </row>
    <row r="698" customFormat="false" ht="15" hidden="false" customHeight="true" outlineLevel="0" collapsed="false">
      <c r="C698" s="27" t="s">
        <v>660</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640</v>
      </c>
    </row>
    <row r="700" customFormat="false" ht="15" hidden="false" customHeight="true" outlineLevel="0" collapsed="false">
      <c r="A700" s="3" t="s">
        <v>661</v>
      </c>
      <c r="B700" s="3" t="s">
        <v>650</v>
      </c>
      <c r="C700" s="3" t="s">
        <v>662</v>
      </c>
      <c r="M700" s="23"/>
      <c r="N700" s="23"/>
      <c r="O700" s="23"/>
    </row>
    <row r="701" customFormat="false" ht="96" hidden="false" customHeight="true" outlineLevel="0" collapsed="false">
      <c r="C701" s="26" t="s">
        <v>663</v>
      </c>
      <c r="M701" s="23"/>
      <c r="N701" s="23"/>
      <c r="O701" s="23"/>
    </row>
    <row r="702" customFormat="false" ht="15" hidden="false" customHeight="true" outlineLevel="0" collapsed="false">
      <c r="C702" s="27" t="s">
        <v>664</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640</v>
      </c>
    </row>
    <row r="704" customFormat="false" ht="15" hidden="false" customHeight="true" outlineLevel="0" collapsed="false">
      <c r="A704" s="3" t="s">
        <v>665</v>
      </c>
      <c r="B704" s="3" t="s">
        <v>650</v>
      </c>
      <c r="C704" s="3" t="s">
        <v>666</v>
      </c>
      <c r="M704" s="23"/>
      <c r="N704" s="23"/>
      <c r="O704" s="23"/>
    </row>
    <row r="705" customFormat="false" ht="96" hidden="false" customHeight="true" outlineLevel="0" collapsed="false">
      <c r="C705" s="26" t="s">
        <v>667</v>
      </c>
      <c r="M705" s="23"/>
      <c r="N705" s="23"/>
      <c r="O705" s="23"/>
    </row>
    <row r="706" customFormat="false" ht="15" hidden="false" customHeight="true" outlineLevel="0" collapsed="false">
      <c r="C706" s="27" t="s">
        <v>668</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640</v>
      </c>
    </row>
    <row r="708" customFormat="false" ht="15" hidden="false" customHeight="true" outlineLevel="0" collapsed="false">
      <c r="A708" s="3" t="s">
        <v>669</v>
      </c>
      <c r="B708" s="3" t="s">
        <v>650</v>
      </c>
      <c r="C708" s="3" t="s">
        <v>670</v>
      </c>
      <c r="M708" s="23"/>
      <c r="N708" s="23"/>
      <c r="O708" s="23"/>
    </row>
    <row r="709" customFormat="false" ht="96" hidden="false" customHeight="true" outlineLevel="0" collapsed="false">
      <c r="C709" s="26" t="s">
        <v>671</v>
      </c>
      <c r="M709" s="23"/>
      <c r="N709" s="23"/>
      <c r="O709" s="23"/>
    </row>
    <row r="710" customFormat="false" ht="15" hidden="false" customHeight="true" outlineLevel="0" collapsed="false">
      <c r="C710" s="27" t="s">
        <v>672</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640</v>
      </c>
    </row>
    <row r="712" customFormat="false" ht="15" hidden="false" customHeight="true" outlineLevel="0" collapsed="false">
      <c r="A712" s="3" t="s">
        <v>673</v>
      </c>
      <c r="B712" s="3" t="s">
        <v>643</v>
      </c>
      <c r="C712" s="3" t="s">
        <v>674</v>
      </c>
      <c r="M712" s="23"/>
      <c r="N712" s="23"/>
      <c r="O712" s="23"/>
    </row>
    <row r="713" customFormat="false" ht="96" hidden="false" customHeight="true" outlineLevel="0" collapsed="false">
      <c r="C713" s="26" t="s">
        <v>675</v>
      </c>
      <c r="M713" s="23"/>
      <c r="N713" s="23"/>
      <c r="O713" s="23"/>
    </row>
    <row r="714" customFormat="false" ht="15" hidden="false" customHeight="true" outlineLevel="0" collapsed="false">
      <c r="C714" s="27" t="s">
        <v>676</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640</v>
      </c>
    </row>
    <row r="716" customFormat="false" ht="15" hidden="false" customHeight="true" outlineLevel="0" collapsed="false">
      <c r="A716" s="3" t="s">
        <v>677</v>
      </c>
      <c r="B716" s="3" t="s">
        <v>643</v>
      </c>
      <c r="C716" s="3" t="s">
        <v>678</v>
      </c>
      <c r="M716" s="23"/>
      <c r="N716" s="23"/>
      <c r="O716" s="23"/>
    </row>
    <row r="717" customFormat="false" ht="204" hidden="false" customHeight="true" outlineLevel="0" collapsed="false">
      <c r="C717" s="26" t="s">
        <v>679</v>
      </c>
      <c r="M717" s="23"/>
      <c r="N717" s="23"/>
      <c r="O717" s="23"/>
    </row>
    <row r="718" customFormat="false" ht="15" hidden="false" customHeight="true" outlineLevel="0" collapsed="false">
      <c r="C718" s="27" t="s">
        <v>680</v>
      </c>
      <c r="D718" s="28" t="n">
        <v>1</v>
      </c>
      <c r="H718" s="29" t="n">
        <f aca="false">IF(COUNT(D718:G718)=0,0,D718*IF(E718="",1,E718)*IF(F718="",1,F718)*IF(G718="",1,G718))</f>
        <v>1</v>
      </c>
      <c r="M718" s="23"/>
      <c r="N718" s="23"/>
      <c r="O718" s="23"/>
    </row>
    <row r="719" customFormat="false" ht="15" hidden="false" customHeight="true" outlineLevel="0" collapsed="false">
      <c r="C719" s="27" t="s">
        <v>681</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640</v>
      </c>
    </row>
    <row r="721" customFormat="false" ht="15" hidden="false" customHeight="true" outlineLevel="0" collapsed="false">
      <c r="A721" s="3" t="s">
        <v>682</v>
      </c>
      <c r="B721" s="3" t="s">
        <v>643</v>
      </c>
      <c r="C721" s="3" t="s">
        <v>683</v>
      </c>
      <c r="M721" s="23"/>
      <c r="N721" s="23"/>
      <c r="O721" s="23"/>
    </row>
    <row r="722" customFormat="false" ht="192" hidden="false" customHeight="true" outlineLevel="0" collapsed="false">
      <c r="C722" s="26" t="s">
        <v>684</v>
      </c>
      <c r="M722" s="23"/>
      <c r="N722" s="23"/>
      <c r="O722" s="23"/>
    </row>
    <row r="723" customFormat="false" ht="15" hidden="false" customHeight="true" outlineLevel="0" collapsed="false">
      <c r="C723" s="27" t="s">
        <v>685</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640</v>
      </c>
    </row>
    <row r="725" customFormat="false" ht="15" hidden="false" customHeight="true" outlineLevel="0" collapsed="false">
      <c r="A725" s="3" t="s">
        <v>686</v>
      </c>
      <c r="B725" s="3" t="s">
        <v>643</v>
      </c>
      <c r="C725" s="3" t="s">
        <v>687</v>
      </c>
      <c r="M725" s="23"/>
      <c r="N725" s="23"/>
      <c r="O725" s="23"/>
    </row>
    <row r="726" customFormat="false" ht="204" hidden="false" customHeight="true" outlineLevel="0" collapsed="false">
      <c r="C726" s="26" t="s">
        <v>688</v>
      </c>
      <c r="M726" s="23"/>
      <c r="N726" s="23"/>
      <c r="O726" s="23"/>
    </row>
    <row r="727" customFormat="false" ht="15" hidden="false" customHeight="true" outlineLevel="0" collapsed="false">
      <c r="C727" s="27" t="s">
        <v>689</v>
      </c>
      <c r="D727" s="28" t="n">
        <v>1</v>
      </c>
      <c r="H727" s="29" t="n">
        <f aca="false">IF(COUNT(D727:G727)=0,0,D727*IF(E727="",1,E727)*IF(F727="",1,F727)*IF(G727="",1,G727))</f>
        <v>1</v>
      </c>
      <c r="M727" s="23"/>
      <c r="N727" s="23"/>
      <c r="O727" s="23"/>
    </row>
    <row r="728" customFormat="false" ht="15" hidden="false" customHeight="true" outlineLevel="0" collapsed="false">
      <c r="C728" s="27" t="s">
        <v>690</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640</v>
      </c>
    </row>
    <row r="730" customFormat="false" ht="15" hidden="false" customHeight="true" outlineLevel="0" collapsed="false">
      <c r="A730" s="3" t="s">
        <v>691</v>
      </c>
      <c r="B730" s="3" t="s">
        <v>643</v>
      </c>
      <c r="C730" s="3" t="s">
        <v>687</v>
      </c>
      <c r="M730" s="23"/>
      <c r="N730" s="23"/>
      <c r="O730" s="23"/>
    </row>
    <row r="731" customFormat="false" ht="204" hidden="false" customHeight="true" outlineLevel="0" collapsed="false">
      <c r="C731" s="26" t="s">
        <v>692</v>
      </c>
      <c r="M731" s="23"/>
      <c r="N731" s="23"/>
      <c r="O731" s="23"/>
    </row>
    <row r="732" customFormat="false" ht="15" hidden="false" customHeight="true" outlineLevel="0" collapsed="false">
      <c r="C732" s="27" t="s">
        <v>693</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640</v>
      </c>
    </row>
    <row r="734" customFormat="false" ht="15" hidden="false" customHeight="true" outlineLevel="0" collapsed="false">
      <c r="A734" s="3" t="s">
        <v>694</v>
      </c>
      <c r="B734" s="3" t="s">
        <v>643</v>
      </c>
      <c r="C734" s="3" t="s">
        <v>695</v>
      </c>
      <c r="M734" s="23"/>
      <c r="N734" s="23"/>
      <c r="O734" s="23"/>
    </row>
    <row r="735" customFormat="false" ht="132" hidden="false" customHeight="true" outlineLevel="0" collapsed="false">
      <c r="C735" s="26" t="s">
        <v>696</v>
      </c>
      <c r="M735" s="23"/>
      <c r="N735" s="23"/>
      <c r="O735" s="23"/>
    </row>
    <row r="736" customFormat="false" ht="15" hidden="false" customHeight="true" outlineLevel="0" collapsed="false">
      <c r="C736" s="27" t="s">
        <v>697</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640</v>
      </c>
    </row>
    <row r="738" customFormat="false" ht="15" hidden="false" customHeight="true" outlineLevel="0" collapsed="false">
      <c r="A738" s="3" t="s">
        <v>698</v>
      </c>
      <c r="B738" s="3" t="s">
        <v>643</v>
      </c>
      <c r="C738" s="3" t="s">
        <v>699</v>
      </c>
      <c r="M738" s="23"/>
      <c r="N738" s="23"/>
      <c r="O738" s="23"/>
    </row>
    <row r="739" customFormat="false" ht="120" hidden="false" customHeight="true" outlineLevel="0" collapsed="false">
      <c r="C739" s="26" t="s">
        <v>700</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640</v>
      </c>
    </row>
    <row r="742" customFormat="false" ht="15" hidden="false" customHeight="true" outlineLevel="0" collapsed="false">
      <c r="A742" s="3" t="s">
        <v>701</v>
      </c>
      <c r="B742" s="3" t="s">
        <v>643</v>
      </c>
      <c r="C742" s="3" t="s">
        <v>702</v>
      </c>
      <c r="M742" s="23"/>
      <c r="N742" s="23"/>
      <c r="O742" s="23"/>
    </row>
    <row r="743" customFormat="false" ht="144" hidden="false" customHeight="true" outlineLevel="0" collapsed="false">
      <c r="C743" s="26" t="s">
        <v>703</v>
      </c>
      <c r="M743" s="23"/>
      <c r="N743" s="23"/>
      <c r="O743" s="23"/>
    </row>
    <row r="744" customFormat="false" ht="15" hidden="false" customHeight="true" outlineLevel="0" collapsed="false">
      <c r="C744" s="27" t="s">
        <v>704</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640</v>
      </c>
    </row>
    <row r="746" customFormat="false" ht="15" hidden="false" customHeight="true" outlineLevel="0" collapsed="false">
      <c r="A746" s="3" t="s">
        <v>705</v>
      </c>
      <c r="B746" s="3" t="s">
        <v>643</v>
      </c>
      <c r="C746" s="3" t="s">
        <v>706</v>
      </c>
      <c r="M746" s="23"/>
      <c r="N746" s="23"/>
      <c r="O746" s="23"/>
    </row>
    <row r="747" customFormat="false" ht="144" hidden="false" customHeight="true" outlineLevel="0" collapsed="false">
      <c r="C747" s="26" t="s">
        <v>707</v>
      </c>
      <c r="M747" s="23"/>
      <c r="N747" s="23"/>
      <c r="O747" s="23"/>
    </row>
    <row r="748" customFormat="false" ht="15" hidden="false" customHeight="true" outlineLevel="0" collapsed="false">
      <c r="C748" s="27" t="s">
        <v>704</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640</v>
      </c>
    </row>
    <row r="750" customFormat="false" ht="15" hidden="false" customHeight="true" outlineLevel="0" collapsed="false">
      <c r="A750" s="3" t="s">
        <v>708</v>
      </c>
      <c r="B750" s="3" t="s">
        <v>643</v>
      </c>
      <c r="C750" s="3" t="s">
        <v>709</v>
      </c>
      <c r="M750" s="23"/>
      <c r="N750" s="23"/>
      <c r="O750" s="23"/>
    </row>
    <row r="751" customFormat="false" ht="132" hidden="false" customHeight="true" outlineLevel="0" collapsed="false">
      <c r="C751" s="26" t="s">
        <v>710</v>
      </c>
      <c r="M751" s="23"/>
      <c r="N751" s="23"/>
      <c r="O751" s="23"/>
    </row>
    <row r="752" customFormat="false" ht="15" hidden="false" customHeight="true" outlineLevel="0" collapsed="false">
      <c r="C752" s="27" t="s">
        <v>711</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640</v>
      </c>
    </row>
    <row r="754" customFormat="false" ht="15" hidden="false" customHeight="true" outlineLevel="0" collapsed="false">
      <c r="A754" s="3" t="s">
        <v>712</v>
      </c>
      <c r="B754" s="3" t="s">
        <v>129</v>
      </c>
      <c r="C754" s="3" t="s">
        <v>713</v>
      </c>
      <c r="M754" s="23"/>
      <c r="N754" s="23"/>
      <c r="O754" s="23"/>
    </row>
    <row r="755" customFormat="false" ht="24" hidden="false" customHeight="true" outlineLevel="0" collapsed="false">
      <c r="C755" s="26" t="s">
        <v>714</v>
      </c>
      <c r="M755" s="23"/>
      <c r="N755" s="23"/>
      <c r="O755" s="23"/>
    </row>
    <row r="756" customFormat="false" ht="15" hidden="false" customHeight="true" outlineLevel="0" collapsed="false">
      <c r="C756" s="27" t="s">
        <v>715</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640</v>
      </c>
    </row>
    <row r="758" customFormat="false" ht="15" hidden="false" customHeight="true" outlineLevel="0" collapsed="false">
      <c r="A758" s="3" t="s">
        <v>716</v>
      </c>
      <c r="C758" s="3" t="s">
        <v>717</v>
      </c>
      <c r="M758" s="23" t="s">
        <v>291</v>
      </c>
      <c r="N758" s="23" t="s">
        <v>54</v>
      </c>
      <c r="O758" s="23" t="s">
        <v>716</v>
      </c>
    </row>
    <row r="759" customFormat="false" ht="15" hidden="false" customHeight="true" outlineLevel="0" collapsed="false">
      <c r="A759" s="3" t="s">
        <v>718</v>
      </c>
      <c r="B759" s="3" t="s">
        <v>643</v>
      </c>
      <c r="C759" s="3" t="s">
        <v>719</v>
      </c>
      <c r="M759" s="23"/>
      <c r="N759" s="23"/>
      <c r="O759" s="23"/>
    </row>
    <row r="760" customFormat="false" ht="36" hidden="false" customHeight="true" outlineLevel="0" collapsed="false">
      <c r="C760" s="26" t="s">
        <v>720</v>
      </c>
      <c r="M760" s="23"/>
      <c r="N760" s="23"/>
      <c r="O760" s="23"/>
    </row>
    <row r="761" customFormat="false" ht="15" hidden="false" customHeight="true" outlineLevel="0" collapsed="false">
      <c r="C761" s="27" t="s">
        <v>721</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716</v>
      </c>
    </row>
    <row r="763" customFormat="false" ht="15" hidden="false" customHeight="true" outlineLevel="0" collapsed="false">
      <c r="A763" s="3" t="s">
        <v>722</v>
      </c>
      <c r="B763" s="3" t="s">
        <v>643</v>
      </c>
      <c r="C763" s="3" t="s">
        <v>723</v>
      </c>
      <c r="M763" s="23"/>
      <c r="N763" s="23"/>
      <c r="O763" s="23"/>
    </row>
    <row r="764" customFormat="false" ht="36" hidden="false" customHeight="true" outlineLevel="0" collapsed="false">
      <c r="C764" s="26" t="s">
        <v>724</v>
      </c>
      <c r="M764" s="23"/>
      <c r="N764" s="23"/>
      <c r="O764" s="23"/>
    </row>
    <row r="765" customFormat="false" ht="15" hidden="false" customHeight="true" outlineLevel="0" collapsed="false">
      <c r="C765" s="27" t="s">
        <v>725</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716</v>
      </c>
    </row>
    <row r="767" customFormat="false" ht="15" hidden="false" customHeight="true" outlineLevel="0" collapsed="false">
      <c r="A767" s="3" t="s">
        <v>726</v>
      </c>
      <c r="B767" s="3" t="s">
        <v>643</v>
      </c>
      <c r="C767" s="3" t="s">
        <v>727</v>
      </c>
      <c r="M767" s="23"/>
      <c r="N767" s="23"/>
      <c r="O767" s="23"/>
    </row>
    <row r="768" customFormat="false" ht="36" hidden="false" customHeight="true" outlineLevel="0" collapsed="false">
      <c r="C768" s="26" t="s">
        <v>728</v>
      </c>
      <c r="M768" s="23"/>
      <c r="N768" s="23"/>
      <c r="O768" s="23"/>
    </row>
    <row r="769" customFormat="false" ht="15" hidden="false" customHeight="true" outlineLevel="0" collapsed="false">
      <c r="C769" s="27" t="s">
        <v>729</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716</v>
      </c>
    </row>
    <row r="771" customFormat="false" ht="15" hidden="false" customHeight="true" outlineLevel="0" collapsed="false">
      <c r="A771" s="3" t="s">
        <v>730</v>
      </c>
      <c r="C771" s="3" t="s">
        <v>731</v>
      </c>
      <c r="M771" s="23" t="s">
        <v>291</v>
      </c>
      <c r="N771" s="23" t="s">
        <v>54</v>
      </c>
      <c r="O771" s="23" t="s">
        <v>730</v>
      </c>
    </row>
    <row r="772" customFormat="false" ht="15" hidden="false" customHeight="true" outlineLevel="0" collapsed="false">
      <c r="A772" s="3" t="s">
        <v>732</v>
      </c>
      <c r="B772" s="3" t="s">
        <v>129</v>
      </c>
      <c r="C772" s="3" t="s">
        <v>733</v>
      </c>
      <c r="M772" s="23"/>
      <c r="N772" s="23"/>
      <c r="O772" s="23"/>
    </row>
    <row r="773" customFormat="false" ht="48" hidden="false" customHeight="true" outlineLevel="0" collapsed="false">
      <c r="C773" s="26" t="s">
        <v>734</v>
      </c>
      <c r="M773" s="23"/>
      <c r="N773" s="23"/>
      <c r="O773" s="23"/>
    </row>
    <row r="774" customFormat="false" ht="15" hidden="false" customHeight="true" outlineLevel="0" collapsed="false">
      <c r="C774" s="27" t="s">
        <v>735</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730</v>
      </c>
    </row>
    <row r="776" customFormat="false" ht="15" hidden="false" customHeight="true" outlineLevel="0" collapsed="false">
      <c r="A776" s="3" t="s">
        <v>736</v>
      </c>
      <c r="B776" s="3" t="s">
        <v>643</v>
      </c>
      <c r="C776" s="3" t="s">
        <v>737</v>
      </c>
      <c r="M776" s="23"/>
      <c r="N776" s="23"/>
      <c r="O776" s="23"/>
    </row>
    <row r="777" customFormat="false" ht="36" hidden="false" customHeight="true" outlineLevel="0" collapsed="false">
      <c r="C777" s="26" t="s">
        <v>738</v>
      </c>
      <c r="M777" s="23"/>
      <c r="N777" s="23"/>
      <c r="O777" s="23"/>
    </row>
    <row r="778" customFormat="false" ht="15" hidden="false" customHeight="true" outlineLevel="0" collapsed="false">
      <c r="C778" s="27" t="s">
        <v>739</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730</v>
      </c>
    </row>
    <row r="780" customFormat="false" ht="15" hidden="false" customHeight="true" outlineLevel="0" collapsed="false">
      <c r="A780" s="3" t="s">
        <v>740</v>
      </c>
      <c r="B780" s="3" t="s">
        <v>643</v>
      </c>
      <c r="C780" s="3" t="s">
        <v>741</v>
      </c>
      <c r="M780" s="23"/>
      <c r="N780" s="23"/>
      <c r="O780" s="23"/>
    </row>
    <row r="781" customFormat="false" ht="24" hidden="false" customHeight="true" outlineLevel="0" collapsed="false">
      <c r="C781" s="26" t="s">
        <v>742</v>
      </c>
      <c r="M781" s="23"/>
      <c r="N781" s="23"/>
      <c r="O781" s="23"/>
    </row>
    <row r="782" customFormat="false" ht="15" hidden="false" customHeight="true" outlineLevel="0" collapsed="false">
      <c r="C782" s="27" t="s">
        <v>739</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730</v>
      </c>
    </row>
    <row r="784" customFormat="false" ht="15" hidden="false" customHeight="true" outlineLevel="0" collapsed="false">
      <c r="A784" s="3" t="s">
        <v>743</v>
      </c>
      <c r="B784" s="3" t="s">
        <v>643</v>
      </c>
      <c r="C784" s="3" t="s">
        <v>744</v>
      </c>
      <c r="M784" s="23"/>
      <c r="N784" s="23"/>
      <c r="O784" s="23"/>
    </row>
    <row r="785" customFormat="false" ht="24" hidden="false" customHeight="true" outlineLevel="0" collapsed="false">
      <c r="C785" s="26" t="s">
        <v>745</v>
      </c>
      <c r="M785" s="23"/>
      <c r="N785" s="23"/>
      <c r="O785" s="23"/>
    </row>
    <row r="786" customFormat="false" ht="15" hidden="false" customHeight="true" outlineLevel="0" collapsed="false">
      <c r="C786" s="27" t="s">
        <v>739</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730</v>
      </c>
    </row>
    <row r="788" customFormat="false" ht="15" hidden="false" customHeight="true" outlineLevel="0" collapsed="false">
      <c r="A788" s="3" t="s">
        <v>746</v>
      </c>
      <c r="B788" s="3" t="s">
        <v>643</v>
      </c>
      <c r="C788" s="3" t="s">
        <v>747</v>
      </c>
      <c r="M788" s="23"/>
      <c r="N788" s="23"/>
      <c r="O788" s="23"/>
    </row>
    <row r="789" customFormat="false" ht="36" hidden="false" customHeight="true" outlineLevel="0" collapsed="false">
      <c r="C789" s="26" t="s">
        <v>748</v>
      </c>
      <c r="M789" s="23"/>
      <c r="N789" s="23"/>
      <c r="O789" s="23"/>
    </row>
    <row r="790" customFormat="false" ht="15" hidden="false" customHeight="true" outlineLevel="0" collapsed="false">
      <c r="C790" s="27" t="s">
        <v>739</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730</v>
      </c>
    </row>
    <row r="792" customFormat="false" ht="15" hidden="false" customHeight="true" outlineLevel="0" collapsed="false">
      <c r="A792" s="3" t="s">
        <v>749</v>
      </c>
      <c r="B792" s="3" t="s">
        <v>643</v>
      </c>
      <c r="C792" s="3" t="s">
        <v>750</v>
      </c>
      <c r="M792" s="23"/>
      <c r="N792" s="23"/>
      <c r="O792" s="23"/>
    </row>
    <row r="793" customFormat="false" ht="12" hidden="false" customHeight="true" outlineLevel="0" collapsed="false">
      <c r="C793" s="26" t="s">
        <v>751</v>
      </c>
      <c r="M793" s="23"/>
      <c r="N793" s="23"/>
      <c r="O793" s="23"/>
    </row>
    <row r="794" customFormat="false" ht="15" hidden="false" customHeight="true" outlineLevel="0" collapsed="false">
      <c r="C794" s="27" t="s">
        <v>739</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730</v>
      </c>
    </row>
    <row r="796" customFormat="false" ht="15" hidden="false" customHeight="true" outlineLevel="0" collapsed="false">
      <c r="A796" s="3" t="s">
        <v>752</v>
      </c>
      <c r="B796" s="3" t="s">
        <v>643</v>
      </c>
      <c r="C796" s="3" t="s">
        <v>753</v>
      </c>
      <c r="M796" s="23"/>
      <c r="N796" s="23"/>
      <c r="O796" s="23"/>
    </row>
    <row r="797" customFormat="false" ht="240" hidden="false" customHeight="true" outlineLevel="0" collapsed="false">
      <c r="C797" s="26" t="s">
        <v>754</v>
      </c>
      <c r="M797" s="23"/>
      <c r="N797" s="23"/>
      <c r="O797" s="23"/>
    </row>
    <row r="798" customFormat="false" ht="15" hidden="false" customHeight="true" outlineLevel="0" collapsed="false">
      <c r="C798" s="27" t="s">
        <v>739</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730</v>
      </c>
    </row>
    <row r="800" customFormat="false" ht="15" hidden="false" customHeight="true" outlineLevel="0" collapsed="false">
      <c r="A800" s="3" t="s">
        <v>755</v>
      </c>
      <c r="B800" s="3" t="s">
        <v>643</v>
      </c>
      <c r="C800" s="3" t="s">
        <v>756</v>
      </c>
      <c r="M800" s="23"/>
      <c r="N800" s="23"/>
      <c r="O800" s="23"/>
    </row>
    <row r="801" customFormat="false" ht="72" hidden="false" customHeight="true" outlineLevel="0" collapsed="false">
      <c r="C801" s="26" t="s">
        <v>757</v>
      </c>
      <c r="M801" s="23"/>
      <c r="N801" s="23"/>
      <c r="O801" s="23"/>
    </row>
    <row r="802" customFormat="false" ht="15" hidden="false" customHeight="true" outlineLevel="0" collapsed="false">
      <c r="C802" s="27" t="s">
        <v>739</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730</v>
      </c>
    </row>
    <row r="804" customFormat="false" ht="15" hidden="false" customHeight="true" outlineLevel="0" collapsed="false">
      <c r="A804" s="3" t="s">
        <v>758</v>
      </c>
      <c r="B804" s="3" t="s">
        <v>643</v>
      </c>
      <c r="C804" s="3" t="s">
        <v>759</v>
      </c>
      <c r="M804" s="23"/>
      <c r="N804" s="23"/>
      <c r="O804" s="23"/>
    </row>
    <row r="805" customFormat="false" ht="48" hidden="false" customHeight="true" outlineLevel="0" collapsed="false">
      <c r="C805" s="26" t="s">
        <v>760</v>
      </c>
      <c r="M805" s="23"/>
      <c r="N805" s="23"/>
      <c r="O805" s="23"/>
    </row>
    <row r="806" customFormat="false" ht="15" hidden="false" customHeight="true" outlineLevel="0" collapsed="false">
      <c r="C806" s="27" t="s">
        <v>739</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730</v>
      </c>
    </row>
    <row r="808" customFormat="false" ht="15" hidden="false" customHeight="true" outlineLevel="0" collapsed="false">
      <c r="A808" s="3" t="s">
        <v>761</v>
      </c>
      <c r="B808" s="3" t="s">
        <v>643</v>
      </c>
      <c r="C808" s="3" t="s">
        <v>762</v>
      </c>
      <c r="M808" s="23"/>
      <c r="N808" s="23"/>
      <c r="O808" s="23"/>
    </row>
    <row r="809" customFormat="false" ht="48" hidden="false" customHeight="true" outlineLevel="0" collapsed="false">
      <c r="C809" s="26" t="s">
        <v>763</v>
      </c>
      <c r="M809" s="23"/>
      <c r="N809" s="23"/>
      <c r="O809" s="23"/>
    </row>
    <row r="810" customFormat="false" ht="15" hidden="false" customHeight="true" outlineLevel="0" collapsed="false">
      <c r="C810" s="27" t="s">
        <v>739</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730</v>
      </c>
    </row>
    <row r="812" customFormat="false" ht="15" hidden="false" customHeight="true" outlineLevel="0" collapsed="false">
      <c r="A812" s="3" t="s">
        <v>764</v>
      </c>
      <c r="B812" s="3" t="s">
        <v>643</v>
      </c>
      <c r="C812" s="3" t="s">
        <v>765</v>
      </c>
      <c r="M812" s="23"/>
      <c r="N812" s="23"/>
      <c r="O812" s="23"/>
    </row>
    <row r="813" customFormat="false" ht="24" hidden="false" customHeight="true" outlineLevel="0" collapsed="false">
      <c r="C813" s="26" t="s">
        <v>766</v>
      </c>
      <c r="M813" s="23"/>
      <c r="N813" s="23"/>
      <c r="O813" s="23"/>
    </row>
    <row r="814" customFormat="false" ht="15" hidden="false" customHeight="true" outlineLevel="0" collapsed="false">
      <c r="C814" s="27" t="s">
        <v>739</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730</v>
      </c>
    </row>
    <row r="816" customFormat="false" ht="15" hidden="false" customHeight="true" outlineLevel="0" collapsed="false">
      <c r="A816" s="3" t="s">
        <v>767</v>
      </c>
      <c r="B816" s="3" t="s">
        <v>643</v>
      </c>
      <c r="C816" s="3" t="s">
        <v>768</v>
      </c>
      <c r="M816" s="23"/>
      <c r="N816" s="23"/>
      <c r="O816" s="23"/>
    </row>
    <row r="817" customFormat="false" ht="24" hidden="false" customHeight="true" outlineLevel="0" collapsed="false">
      <c r="C817" s="26" t="s">
        <v>769</v>
      </c>
      <c r="M817" s="23"/>
      <c r="N817" s="23"/>
      <c r="O817" s="23"/>
    </row>
    <row r="818" customFormat="false" ht="15" hidden="false" customHeight="true" outlineLevel="0" collapsed="false">
      <c r="C818" s="27" t="s">
        <v>739</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730</v>
      </c>
    </row>
    <row r="820" customFormat="false" ht="15" hidden="false" customHeight="true" outlineLevel="0" collapsed="false">
      <c r="A820" s="3" t="s">
        <v>770</v>
      </c>
      <c r="B820" s="3" t="s">
        <v>650</v>
      </c>
      <c r="C820" s="3" t="s">
        <v>771</v>
      </c>
      <c r="M820" s="23"/>
      <c r="N820" s="23"/>
      <c r="O820" s="23"/>
    </row>
    <row r="821" customFormat="false" ht="96" hidden="false" customHeight="true" outlineLevel="0" collapsed="false">
      <c r="C821" s="26" t="s">
        <v>772</v>
      </c>
      <c r="M821" s="23"/>
      <c r="N821" s="23"/>
      <c r="O821" s="23"/>
    </row>
    <row r="822" customFormat="false" ht="15" hidden="false" customHeight="true" outlineLevel="0" collapsed="false">
      <c r="C822" s="27" t="s">
        <v>739</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730</v>
      </c>
    </row>
    <row r="824" customFormat="false" ht="15" hidden="false" customHeight="true" outlineLevel="0" collapsed="false">
      <c r="A824" s="3" t="s">
        <v>773</v>
      </c>
      <c r="B824" s="3" t="s">
        <v>643</v>
      </c>
      <c r="C824" s="3" t="s">
        <v>774</v>
      </c>
      <c r="M824" s="23"/>
      <c r="N824" s="23"/>
      <c r="O824" s="23"/>
    </row>
    <row r="825" customFormat="false" ht="36" hidden="false" customHeight="true" outlineLevel="0" collapsed="false">
      <c r="C825" s="26" t="s">
        <v>775</v>
      </c>
      <c r="M825" s="23"/>
      <c r="N825" s="23"/>
      <c r="O825" s="23"/>
    </row>
    <row r="826" customFormat="false" ht="15" hidden="false" customHeight="true" outlineLevel="0" collapsed="false">
      <c r="C826" s="27" t="s">
        <v>739</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730</v>
      </c>
    </row>
    <row r="828" customFormat="false" ht="15" hidden="false" customHeight="true" outlineLevel="0" collapsed="false">
      <c r="A828" s="3" t="s">
        <v>776</v>
      </c>
      <c r="B828" s="3" t="s">
        <v>643</v>
      </c>
      <c r="C828" s="3" t="s">
        <v>777</v>
      </c>
      <c r="M828" s="23"/>
      <c r="N828" s="23"/>
      <c r="O828" s="23"/>
    </row>
    <row r="829" customFormat="false" ht="24" hidden="false" customHeight="true" outlineLevel="0" collapsed="false">
      <c r="C829" s="26" t="s">
        <v>778</v>
      </c>
      <c r="M829" s="23"/>
      <c r="N829" s="23"/>
      <c r="O829" s="23"/>
    </row>
    <row r="830" customFormat="false" ht="15" hidden="false" customHeight="true" outlineLevel="0" collapsed="false">
      <c r="C830" s="27" t="s">
        <v>739</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730</v>
      </c>
    </row>
    <row r="832" customFormat="false" ht="15" hidden="false" customHeight="true" outlineLevel="0" collapsed="false">
      <c r="A832" s="3" t="s">
        <v>779</v>
      </c>
      <c r="B832" s="3" t="s">
        <v>643</v>
      </c>
      <c r="C832" s="3" t="s">
        <v>780</v>
      </c>
      <c r="M832" s="23"/>
      <c r="N832" s="23"/>
      <c r="O832" s="23"/>
    </row>
    <row r="833" customFormat="false" ht="24" hidden="false" customHeight="true" outlineLevel="0" collapsed="false">
      <c r="C833" s="26" t="s">
        <v>781</v>
      </c>
      <c r="M833" s="23"/>
      <c r="N833" s="23"/>
      <c r="O833" s="23"/>
    </row>
    <row r="834" customFormat="false" ht="15" hidden="false" customHeight="true" outlineLevel="0" collapsed="false">
      <c r="C834" s="27" t="s">
        <v>739</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730</v>
      </c>
    </row>
    <row r="836" customFormat="false" ht="15" hidden="false" customHeight="true" outlineLevel="0" collapsed="false">
      <c r="A836" s="3" t="s">
        <v>782</v>
      </c>
      <c r="B836" s="3" t="s">
        <v>117</v>
      </c>
      <c r="C836" s="3" t="s">
        <v>783</v>
      </c>
      <c r="M836" s="23"/>
      <c r="N836" s="23"/>
      <c r="O836" s="23"/>
    </row>
    <row r="837" customFormat="false" ht="36" hidden="false" customHeight="true" outlineLevel="0" collapsed="false">
      <c r="C837" s="26" t="s">
        <v>784</v>
      </c>
      <c r="M837" s="23"/>
      <c r="N837" s="23"/>
      <c r="O837" s="23"/>
    </row>
    <row r="838" customFormat="false" ht="15" hidden="false" customHeight="true" outlineLevel="0" collapsed="false">
      <c r="C838" s="27" t="s">
        <v>785</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786</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730</v>
      </c>
    </row>
    <row r="841" customFormat="false" ht="15" hidden="false" customHeight="true" outlineLevel="0" collapsed="false">
      <c r="A841" s="3" t="s">
        <v>787</v>
      </c>
      <c r="B841" s="3" t="s">
        <v>129</v>
      </c>
      <c r="C841" s="3" t="s">
        <v>788</v>
      </c>
      <c r="M841" s="23"/>
      <c r="N841" s="23"/>
      <c r="O841" s="23"/>
    </row>
    <row r="842" customFormat="false" ht="24" hidden="false" customHeight="true" outlineLevel="0" collapsed="false">
      <c r="C842" s="26" t="s">
        <v>789</v>
      </c>
      <c r="M842" s="23"/>
      <c r="N842" s="23"/>
      <c r="O842" s="23"/>
    </row>
    <row r="843" customFormat="false" ht="15" hidden="false" customHeight="true" outlineLevel="0" collapsed="false">
      <c r="C843" s="27" t="s">
        <v>790</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730</v>
      </c>
    </row>
    <row r="845" customFormat="false" ht="15" hidden="false" customHeight="true" outlineLevel="0" collapsed="false">
      <c r="A845" s="3" t="s">
        <v>791</v>
      </c>
      <c r="B845" s="3" t="s">
        <v>643</v>
      </c>
      <c r="C845" s="3" t="s">
        <v>792</v>
      </c>
      <c r="M845" s="23"/>
      <c r="N845" s="23"/>
      <c r="O845" s="23"/>
    </row>
    <row r="846" customFormat="false" ht="12" hidden="false" customHeight="true" outlineLevel="0" collapsed="false">
      <c r="C846" s="26" t="s">
        <v>793</v>
      </c>
      <c r="M846" s="23"/>
      <c r="N846" s="23"/>
      <c r="O846" s="23"/>
    </row>
    <row r="847" customFormat="false" ht="15" hidden="false" customHeight="true" outlineLevel="0" collapsed="false">
      <c r="C847" s="27" t="s">
        <v>794</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730</v>
      </c>
    </row>
    <row r="849" customFormat="false" ht="15" hidden="false" customHeight="true" outlineLevel="0" collapsed="false">
      <c r="A849" s="3" t="s">
        <v>795</v>
      </c>
      <c r="B849" s="3" t="s">
        <v>643</v>
      </c>
      <c r="C849" s="3" t="s">
        <v>796</v>
      </c>
      <c r="M849" s="23"/>
      <c r="N849" s="23"/>
      <c r="O849" s="23"/>
    </row>
    <row r="850" customFormat="false" ht="48" hidden="false" customHeight="true" outlineLevel="0" collapsed="false">
      <c r="C850" s="26" t="s">
        <v>797</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730</v>
      </c>
    </row>
    <row r="853" customFormat="false" ht="15" hidden="false" customHeight="true" outlineLevel="0" collapsed="false">
      <c r="A853" s="3" t="s">
        <v>798</v>
      </c>
      <c r="C853" s="3" t="s">
        <v>799</v>
      </c>
      <c r="M853" s="23" t="s">
        <v>291</v>
      </c>
      <c r="N853" s="23" t="s">
        <v>54</v>
      </c>
      <c r="O853" s="23" t="s">
        <v>798</v>
      </c>
    </row>
    <row r="854" customFormat="false" ht="15" hidden="false" customHeight="true" outlineLevel="0" collapsed="false">
      <c r="A854" s="3" t="s">
        <v>800</v>
      </c>
      <c r="B854" s="3" t="s">
        <v>129</v>
      </c>
      <c r="C854" s="3" t="s">
        <v>801</v>
      </c>
      <c r="M854" s="23"/>
      <c r="N854" s="23"/>
      <c r="O854" s="23"/>
    </row>
    <row r="855" customFormat="false" ht="24" hidden="false" customHeight="true" outlineLevel="0" collapsed="false">
      <c r="C855" s="26" t="s">
        <v>802</v>
      </c>
      <c r="M855" s="23"/>
      <c r="N855" s="23"/>
      <c r="O855" s="23"/>
    </row>
    <row r="856" customFormat="false" ht="15" hidden="false" customHeight="true" outlineLevel="0" collapsed="false">
      <c r="C856" s="27" t="s">
        <v>803</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804</v>
      </c>
      <c r="M857" s="23" t="s">
        <v>123</v>
      </c>
      <c r="N857" s="23" t="s">
        <v>54</v>
      </c>
      <c r="O857" s="23" t="s">
        <v>798</v>
      </c>
    </row>
    <row r="858" customFormat="false" ht="15" hidden="false" customHeight="true" outlineLevel="0" collapsed="false">
      <c r="A858" s="3" t="s">
        <v>805</v>
      </c>
      <c r="B858" s="3" t="s">
        <v>129</v>
      </c>
      <c r="C858" s="3" t="s">
        <v>806</v>
      </c>
      <c r="M858" s="23"/>
      <c r="N858" s="23"/>
      <c r="O858" s="23"/>
    </row>
    <row r="859" customFormat="false" ht="24" hidden="false" customHeight="true" outlineLevel="0" collapsed="false">
      <c r="C859" s="26" t="s">
        <v>807</v>
      </c>
      <c r="M859" s="23"/>
      <c r="N859" s="23"/>
      <c r="O859" s="23"/>
    </row>
    <row r="860" customFormat="false" ht="15" hidden="false" customHeight="true" outlineLevel="0" collapsed="false">
      <c r="C860" s="27" t="s">
        <v>808</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809</v>
      </c>
      <c r="M861" s="23" t="s">
        <v>123</v>
      </c>
      <c r="N861" s="23" t="s">
        <v>54</v>
      </c>
      <c r="O861" s="23" t="s">
        <v>798</v>
      </c>
    </row>
    <row r="862" customFormat="false" ht="15" hidden="false" customHeight="true" outlineLevel="0" collapsed="false">
      <c r="A862" s="3" t="s">
        <v>810</v>
      </c>
      <c r="B862" s="3" t="s">
        <v>129</v>
      </c>
      <c r="C862" s="3" t="s">
        <v>811</v>
      </c>
      <c r="M862" s="23"/>
      <c r="N862" s="23"/>
      <c r="O862" s="23"/>
    </row>
    <row r="863" customFormat="false" ht="24" hidden="false" customHeight="true" outlineLevel="0" collapsed="false">
      <c r="C863" s="26" t="s">
        <v>812</v>
      </c>
      <c r="M863" s="23"/>
      <c r="N863" s="23"/>
      <c r="O863" s="23"/>
    </row>
    <row r="864" customFormat="false" ht="15" hidden="false" customHeight="true" outlineLevel="0" collapsed="false">
      <c r="C864" s="27" t="s">
        <v>813</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798</v>
      </c>
    </row>
    <row r="866" customFormat="false" ht="15" hidden="false" customHeight="true" outlineLevel="0" collapsed="false">
      <c r="A866" s="3" t="s">
        <v>814</v>
      </c>
      <c r="B866" s="3" t="s">
        <v>650</v>
      </c>
      <c r="C866" s="3" t="s">
        <v>815</v>
      </c>
      <c r="M866" s="23"/>
      <c r="N866" s="23"/>
      <c r="O866" s="23"/>
    </row>
    <row r="867" customFormat="false" ht="156" hidden="false" customHeight="true" outlineLevel="0" collapsed="false">
      <c r="C867" s="26" t="s">
        <v>816</v>
      </c>
      <c r="M867" s="23"/>
      <c r="N867" s="23"/>
      <c r="O867" s="23"/>
    </row>
    <row r="868" customFormat="false" ht="15" hidden="false" customHeight="true" outlineLevel="0" collapsed="false">
      <c r="C868" s="27" t="s">
        <v>817</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798</v>
      </c>
    </row>
    <row r="870" customFormat="false" ht="15" hidden="false" customHeight="true" outlineLevel="0" collapsed="false">
      <c r="A870" s="3" t="s">
        <v>818</v>
      </c>
      <c r="B870" s="3" t="s">
        <v>650</v>
      </c>
      <c r="C870" s="3" t="s">
        <v>819</v>
      </c>
      <c r="M870" s="23"/>
      <c r="N870" s="23"/>
      <c r="O870" s="23"/>
    </row>
    <row r="871" customFormat="false" ht="156" hidden="false" customHeight="true" outlineLevel="0" collapsed="false">
      <c r="C871" s="26" t="s">
        <v>820</v>
      </c>
      <c r="M871" s="23"/>
      <c r="N871" s="23"/>
      <c r="O871" s="23"/>
    </row>
    <row r="872" customFormat="false" ht="15" hidden="false" customHeight="true" outlineLevel="0" collapsed="false">
      <c r="C872" s="27" t="s">
        <v>821</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798</v>
      </c>
    </row>
    <row r="874" customFormat="false" ht="15" hidden="false" customHeight="true" outlineLevel="0" collapsed="false">
      <c r="A874" s="3" t="s">
        <v>822</v>
      </c>
      <c r="B874" s="3" t="s">
        <v>643</v>
      </c>
      <c r="C874" s="3" t="s">
        <v>823</v>
      </c>
      <c r="M874" s="23"/>
      <c r="N874" s="23"/>
      <c r="O874" s="23"/>
    </row>
    <row r="875" customFormat="false" ht="96" hidden="false" customHeight="true" outlineLevel="0" collapsed="false">
      <c r="C875" s="26" t="s">
        <v>824</v>
      </c>
      <c r="M875" s="23"/>
      <c r="N875" s="23"/>
      <c r="O875" s="23"/>
    </row>
    <row r="876" customFormat="false" ht="15" hidden="false" customHeight="true" outlineLevel="0" collapsed="false">
      <c r="C876" s="27" t="s">
        <v>825</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798</v>
      </c>
    </row>
    <row r="878" customFormat="false" ht="15" hidden="false" customHeight="true" outlineLevel="0" collapsed="false">
      <c r="A878" s="3" t="s">
        <v>826</v>
      </c>
      <c r="C878" s="3" t="s">
        <v>827</v>
      </c>
      <c r="M878" s="23" t="s">
        <v>291</v>
      </c>
      <c r="N878" s="23" t="s">
        <v>54</v>
      </c>
      <c r="O878" s="23" t="s">
        <v>826</v>
      </c>
    </row>
    <row r="879" customFormat="false" ht="15" hidden="false" customHeight="true" outlineLevel="0" collapsed="false">
      <c r="A879" s="3" t="s">
        <v>828</v>
      </c>
      <c r="B879" s="3" t="s">
        <v>650</v>
      </c>
      <c r="C879" s="3" t="s">
        <v>829</v>
      </c>
      <c r="M879" s="23"/>
      <c r="N879" s="23"/>
      <c r="O879" s="23"/>
    </row>
    <row r="880" customFormat="false" ht="36" hidden="false" customHeight="true" outlineLevel="0" collapsed="false">
      <c r="C880" s="26" t="s">
        <v>830</v>
      </c>
      <c r="M880" s="23"/>
      <c r="N880" s="23"/>
      <c r="O880" s="23"/>
    </row>
    <row r="881" customFormat="false" ht="15" hidden="false" customHeight="true" outlineLevel="0" collapsed="false">
      <c r="C881" s="27" t="s">
        <v>739</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826</v>
      </c>
    </row>
    <row r="883" customFormat="false" ht="15" hidden="false" customHeight="true" outlineLevel="0" collapsed="false">
      <c r="A883" s="3" t="s">
        <v>831</v>
      </c>
      <c r="B883" s="3" t="s">
        <v>650</v>
      </c>
      <c r="C883" s="3" t="s">
        <v>832</v>
      </c>
      <c r="M883" s="23"/>
      <c r="N883" s="23"/>
      <c r="O883" s="23"/>
    </row>
    <row r="884" customFormat="false" ht="60" hidden="false" customHeight="true" outlineLevel="0" collapsed="false">
      <c r="C884" s="26" t="s">
        <v>833</v>
      </c>
      <c r="M884" s="23"/>
      <c r="N884" s="23"/>
      <c r="O884" s="23"/>
    </row>
    <row r="885" customFormat="false" ht="15" hidden="false" customHeight="true" outlineLevel="0" collapsed="false">
      <c r="C885" s="27" t="s">
        <v>739</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826</v>
      </c>
    </row>
    <row r="887" customFormat="false" ht="15" hidden="false" customHeight="true" outlineLevel="0" collapsed="false">
      <c r="A887" s="3" t="s">
        <v>834</v>
      </c>
      <c r="B887" s="3" t="s">
        <v>643</v>
      </c>
      <c r="C887" s="3" t="s">
        <v>835</v>
      </c>
      <c r="M887" s="23"/>
      <c r="N887" s="23"/>
      <c r="O887" s="23"/>
    </row>
    <row r="888" customFormat="false" ht="48" hidden="false" customHeight="true" outlineLevel="0" collapsed="false">
      <c r="C888" s="26" t="s">
        <v>836</v>
      </c>
      <c r="M888" s="23"/>
      <c r="N888" s="23"/>
      <c r="O888" s="23"/>
    </row>
    <row r="889" customFormat="false" ht="15" hidden="false" customHeight="true" outlineLevel="0" collapsed="false">
      <c r="C889" s="27" t="s">
        <v>739</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826</v>
      </c>
    </row>
    <row r="891" customFormat="false" ht="15" hidden="false" customHeight="true" outlineLevel="0" collapsed="false">
      <c r="A891" s="3" t="s">
        <v>837</v>
      </c>
      <c r="B891" s="3" t="s">
        <v>643</v>
      </c>
      <c r="C891" s="3" t="s">
        <v>838</v>
      </c>
      <c r="M891" s="23"/>
      <c r="N891" s="23"/>
      <c r="O891" s="23"/>
    </row>
    <row r="892" customFormat="false" ht="48" hidden="false" customHeight="true" outlineLevel="0" collapsed="false">
      <c r="C892" s="26" t="s">
        <v>839</v>
      </c>
      <c r="M892" s="23"/>
      <c r="N892" s="23"/>
      <c r="O892" s="23"/>
    </row>
    <row r="893" customFormat="false" ht="15" hidden="false" customHeight="true" outlineLevel="0" collapsed="false">
      <c r="C893" s="27" t="s">
        <v>739</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826</v>
      </c>
    </row>
    <row r="895" customFormat="false" ht="15" hidden="false" customHeight="true" outlineLevel="0" collapsed="false">
      <c r="A895" s="3" t="s">
        <v>840</v>
      </c>
      <c r="B895" s="3" t="s">
        <v>643</v>
      </c>
      <c r="C895" s="3" t="s">
        <v>841</v>
      </c>
      <c r="M895" s="23"/>
      <c r="N895" s="23"/>
      <c r="O895" s="23"/>
    </row>
    <row r="896" customFormat="false" ht="36" hidden="false" customHeight="true" outlineLevel="0" collapsed="false">
      <c r="C896" s="26" t="s">
        <v>842</v>
      </c>
      <c r="M896" s="23"/>
      <c r="N896" s="23"/>
      <c r="O896" s="23"/>
    </row>
    <row r="897" customFormat="false" ht="15" hidden="false" customHeight="true" outlineLevel="0" collapsed="false">
      <c r="C897" s="27" t="s">
        <v>739</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826</v>
      </c>
    </row>
    <row r="899" customFormat="false" ht="15" hidden="false" customHeight="true" outlineLevel="0" collapsed="false">
      <c r="A899" s="3" t="s">
        <v>843</v>
      </c>
      <c r="B899" s="3" t="s">
        <v>643</v>
      </c>
      <c r="C899" s="3" t="s">
        <v>844</v>
      </c>
      <c r="M899" s="23"/>
      <c r="N899" s="23"/>
      <c r="O899" s="23"/>
    </row>
    <row r="900" customFormat="false" ht="216" hidden="false" customHeight="true" outlineLevel="0" collapsed="false">
      <c r="C900" s="26" t="s">
        <v>845</v>
      </c>
      <c r="M900" s="23"/>
      <c r="N900" s="23"/>
      <c r="O900" s="23"/>
    </row>
    <row r="901" customFormat="false" ht="15" hidden="false" customHeight="true" outlineLevel="0" collapsed="false">
      <c r="C901" s="27" t="s">
        <v>739</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826</v>
      </c>
    </row>
    <row r="903" customFormat="false" ht="15" hidden="false" customHeight="true" outlineLevel="0" collapsed="false">
      <c r="A903" s="3" t="s">
        <v>846</v>
      </c>
      <c r="B903" s="3" t="s">
        <v>650</v>
      </c>
      <c r="C903" s="3" t="s">
        <v>847</v>
      </c>
      <c r="M903" s="23"/>
      <c r="N903" s="23"/>
      <c r="O903" s="23"/>
    </row>
    <row r="904" customFormat="false" ht="48" hidden="false" customHeight="true" outlineLevel="0" collapsed="false">
      <c r="C904" s="26" t="s">
        <v>848</v>
      </c>
      <c r="M904" s="23"/>
      <c r="N904" s="23"/>
      <c r="O904" s="23"/>
    </row>
    <row r="905" customFormat="false" ht="15" hidden="false" customHeight="true" outlineLevel="0" collapsed="false">
      <c r="C905" s="27" t="s">
        <v>739</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826</v>
      </c>
    </row>
    <row r="907" customFormat="false" ht="15" hidden="false" customHeight="true" outlineLevel="0" collapsed="false">
      <c r="A907" s="3" t="s">
        <v>849</v>
      </c>
      <c r="B907" s="3" t="s">
        <v>129</v>
      </c>
      <c r="C907" s="3" t="s">
        <v>850</v>
      </c>
      <c r="M907" s="23"/>
      <c r="N907" s="23"/>
      <c r="O907" s="23"/>
    </row>
    <row r="908" customFormat="false" ht="36" hidden="false" customHeight="true" outlineLevel="0" collapsed="false">
      <c r="C908" s="26" t="s">
        <v>851</v>
      </c>
      <c r="M908" s="23"/>
      <c r="N908" s="23"/>
      <c r="O908" s="23"/>
    </row>
    <row r="909" customFormat="false" ht="15" hidden="false" customHeight="true" outlineLevel="0" collapsed="false">
      <c r="C909" s="27" t="s">
        <v>852</v>
      </c>
      <c r="D909" s="28" t="n">
        <v>1</v>
      </c>
      <c r="H909" s="29" t="n">
        <f aca="false">IF(COUNT(D909:G909)=0,0,D909*IF(E909="",1,E909)*IF(F909="",1,F909)*IF(G909="",1,G909))</f>
        <v>1</v>
      </c>
      <c r="M909" s="23"/>
      <c r="N909" s="23"/>
      <c r="O909" s="23"/>
    </row>
    <row r="910" customFormat="false" ht="15" hidden="false" customHeight="true" outlineLevel="0" collapsed="false">
      <c r="C910" s="27" t="s">
        <v>853</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826</v>
      </c>
    </row>
    <row r="912" customFormat="false" ht="15" hidden="false" customHeight="true" outlineLevel="0" collapsed="false">
      <c r="A912" s="3" t="s">
        <v>854</v>
      </c>
      <c r="B912" s="3" t="s">
        <v>650</v>
      </c>
      <c r="C912" s="3" t="s">
        <v>855</v>
      </c>
      <c r="M912" s="23"/>
      <c r="N912" s="23"/>
      <c r="O912" s="23"/>
    </row>
    <row r="913" customFormat="false" ht="48" hidden="false" customHeight="true" outlineLevel="0" collapsed="false">
      <c r="C913" s="26" t="s">
        <v>856</v>
      </c>
      <c r="M913" s="23"/>
      <c r="N913" s="23"/>
      <c r="O913" s="23"/>
    </row>
    <row r="914" customFormat="false" ht="15" hidden="false" customHeight="true" outlineLevel="0" collapsed="false">
      <c r="C914" s="27" t="s">
        <v>739</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826</v>
      </c>
    </row>
    <row r="916" customFormat="false" ht="15" hidden="false" customHeight="true" outlineLevel="0" collapsed="false">
      <c r="A916" s="3" t="s">
        <v>857</v>
      </c>
      <c r="B916" s="3" t="s">
        <v>129</v>
      </c>
      <c r="C916" s="3" t="s">
        <v>858</v>
      </c>
      <c r="M916" s="23"/>
      <c r="N916" s="23"/>
      <c r="O916" s="23"/>
    </row>
    <row r="917" customFormat="false" ht="48" hidden="false" customHeight="true" outlineLevel="0" collapsed="false">
      <c r="C917" s="26" t="s">
        <v>859</v>
      </c>
      <c r="M917" s="23"/>
      <c r="N917" s="23"/>
      <c r="O917" s="23"/>
    </row>
    <row r="918" customFormat="false" ht="15" hidden="false" customHeight="true" outlineLevel="0" collapsed="false">
      <c r="C918" s="27" t="s">
        <v>739</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826</v>
      </c>
    </row>
    <row r="920" customFormat="false" ht="15" hidden="false" customHeight="true" outlineLevel="0" collapsed="false">
      <c r="A920" s="3" t="s">
        <v>860</v>
      </c>
      <c r="B920" s="3" t="s">
        <v>650</v>
      </c>
      <c r="C920" s="3" t="s">
        <v>861</v>
      </c>
      <c r="M920" s="23"/>
      <c r="N920" s="23"/>
      <c r="O920" s="23"/>
    </row>
    <row r="921" customFormat="false" ht="48" hidden="false" customHeight="true" outlineLevel="0" collapsed="false">
      <c r="C921" s="26" t="s">
        <v>862</v>
      </c>
      <c r="M921" s="23"/>
      <c r="N921" s="23"/>
      <c r="O921" s="23"/>
    </row>
    <row r="922" customFormat="false" ht="15" hidden="false" customHeight="true" outlineLevel="0" collapsed="false">
      <c r="C922" s="27" t="s">
        <v>739</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826</v>
      </c>
    </row>
    <row r="924" customFormat="false" ht="15" hidden="false" customHeight="true" outlineLevel="0" collapsed="false">
      <c r="A924" s="3" t="s">
        <v>863</v>
      </c>
      <c r="B924" s="3" t="s">
        <v>650</v>
      </c>
      <c r="C924" s="3" t="s">
        <v>864</v>
      </c>
      <c r="M924" s="23"/>
      <c r="N924" s="23"/>
      <c r="O924" s="23"/>
    </row>
    <row r="925" customFormat="false" ht="48" hidden="false" customHeight="true" outlineLevel="0" collapsed="false">
      <c r="C925" s="26" t="s">
        <v>865</v>
      </c>
      <c r="M925" s="23"/>
      <c r="N925" s="23"/>
      <c r="O925" s="23"/>
    </row>
    <row r="926" customFormat="false" ht="15" hidden="false" customHeight="true" outlineLevel="0" collapsed="false">
      <c r="C926" s="27" t="s">
        <v>739</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826</v>
      </c>
    </row>
    <row r="928" customFormat="false" ht="15" hidden="false" customHeight="true" outlineLevel="0" collapsed="false">
      <c r="A928" s="3" t="s">
        <v>866</v>
      </c>
      <c r="B928" s="3" t="s">
        <v>650</v>
      </c>
      <c r="C928" s="3" t="s">
        <v>867</v>
      </c>
      <c r="M928" s="23"/>
      <c r="N928" s="23"/>
      <c r="O928" s="23"/>
    </row>
    <row r="929" customFormat="false" ht="36" hidden="false" customHeight="true" outlineLevel="0" collapsed="false">
      <c r="C929" s="26" t="s">
        <v>868</v>
      </c>
      <c r="M929" s="23"/>
      <c r="N929" s="23"/>
      <c r="O929" s="23"/>
    </row>
    <row r="930" customFormat="false" ht="15" hidden="false" customHeight="true" outlineLevel="0" collapsed="false">
      <c r="C930" s="27" t="s">
        <v>739</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826</v>
      </c>
    </row>
    <row r="932" customFormat="false" ht="15" hidden="false" customHeight="true" outlineLevel="0" collapsed="false">
      <c r="A932" s="3" t="s">
        <v>869</v>
      </c>
      <c r="B932" s="3" t="s">
        <v>650</v>
      </c>
      <c r="C932" s="3" t="s">
        <v>870</v>
      </c>
      <c r="M932" s="23"/>
      <c r="N932" s="23"/>
      <c r="O932" s="23"/>
    </row>
    <row r="933" customFormat="false" ht="36" hidden="false" customHeight="true" outlineLevel="0" collapsed="false">
      <c r="C933" s="26" t="s">
        <v>871</v>
      </c>
      <c r="M933" s="23"/>
      <c r="N933" s="23"/>
      <c r="O933" s="23"/>
    </row>
    <row r="934" customFormat="false" ht="15" hidden="false" customHeight="true" outlineLevel="0" collapsed="false">
      <c r="C934" s="27" t="s">
        <v>739</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826</v>
      </c>
    </row>
    <row r="936" customFormat="false" ht="15" hidden="false" customHeight="true" outlineLevel="0" collapsed="false">
      <c r="A936" s="3" t="s">
        <v>872</v>
      </c>
      <c r="B936" s="3" t="s">
        <v>650</v>
      </c>
      <c r="C936" s="3" t="s">
        <v>873</v>
      </c>
      <c r="M936" s="23"/>
      <c r="N936" s="23"/>
      <c r="O936" s="23"/>
    </row>
    <row r="937" customFormat="false" ht="36" hidden="false" customHeight="true" outlineLevel="0" collapsed="false">
      <c r="C937" s="26" t="s">
        <v>874</v>
      </c>
      <c r="M937" s="23"/>
      <c r="N937" s="23"/>
      <c r="O937" s="23"/>
    </row>
    <row r="938" customFormat="false" ht="15" hidden="false" customHeight="true" outlineLevel="0" collapsed="false">
      <c r="C938" s="27" t="s">
        <v>739</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826</v>
      </c>
    </row>
    <row r="940" customFormat="false" ht="15" hidden="false" customHeight="true" outlineLevel="0" collapsed="false">
      <c r="A940" s="3" t="s">
        <v>875</v>
      </c>
      <c r="B940" s="3" t="s">
        <v>650</v>
      </c>
      <c r="C940" s="3" t="s">
        <v>876</v>
      </c>
      <c r="M940" s="23"/>
      <c r="N940" s="23"/>
      <c r="O940" s="23"/>
    </row>
    <row r="941" customFormat="false" ht="36" hidden="false" customHeight="true" outlineLevel="0" collapsed="false">
      <c r="C941" s="26" t="s">
        <v>877</v>
      </c>
      <c r="M941" s="23"/>
      <c r="N941" s="23"/>
      <c r="O941" s="23"/>
    </row>
    <row r="942" customFormat="false" ht="15" hidden="false" customHeight="true" outlineLevel="0" collapsed="false">
      <c r="C942" s="27" t="s">
        <v>739</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826</v>
      </c>
    </row>
    <row r="944" customFormat="false" ht="15" hidden="false" customHeight="true" outlineLevel="0" collapsed="false">
      <c r="A944" s="3" t="s">
        <v>878</v>
      </c>
      <c r="B944" s="3" t="s">
        <v>650</v>
      </c>
      <c r="C944" s="3" t="s">
        <v>879</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739</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826</v>
      </c>
    </row>
    <row r="948" customFormat="false" ht="15" hidden="false" customHeight="true" outlineLevel="0" collapsed="false">
      <c r="A948" s="3" t="s">
        <v>880</v>
      </c>
      <c r="B948" s="3" t="s">
        <v>643</v>
      </c>
      <c r="C948" s="3" t="s">
        <v>881</v>
      </c>
      <c r="M948" s="23"/>
      <c r="N948" s="23"/>
      <c r="O948" s="23"/>
    </row>
    <row r="949" customFormat="false" ht="72" hidden="false" customHeight="true" outlineLevel="0" collapsed="false">
      <c r="C949" s="26" t="s">
        <v>882</v>
      </c>
      <c r="M949" s="23"/>
      <c r="N949" s="23"/>
      <c r="O949" s="23"/>
    </row>
    <row r="950" customFormat="false" ht="15" hidden="false" customHeight="true" outlineLevel="0" collapsed="false">
      <c r="C950" s="27" t="s">
        <v>883</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826</v>
      </c>
    </row>
    <row r="952" customFormat="false" ht="15" hidden="false" customHeight="true" outlineLevel="0" collapsed="false">
      <c r="A952" s="3" t="s">
        <v>884</v>
      </c>
      <c r="B952" s="3" t="s">
        <v>643</v>
      </c>
      <c r="C952" s="3" t="s">
        <v>885</v>
      </c>
      <c r="M952" s="23"/>
      <c r="N952" s="23"/>
      <c r="O952" s="23"/>
    </row>
    <row r="953" customFormat="false" ht="72" hidden="false" customHeight="true" outlineLevel="0" collapsed="false">
      <c r="C953" s="26" t="s">
        <v>886</v>
      </c>
      <c r="M953" s="23"/>
      <c r="N953" s="23"/>
      <c r="O953" s="23"/>
    </row>
    <row r="954" customFormat="false" ht="15" hidden="false" customHeight="true" outlineLevel="0" collapsed="false">
      <c r="C954" s="27" t="s">
        <v>887</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826</v>
      </c>
    </row>
    <row r="956" customFormat="false" ht="15" hidden="false" customHeight="true" outlineLevel="0" collapsed="false">
      <c r="A956" s="3" t="s">
        <v>888</v>
      </c>
      <c r="B956" s="3" t="s">
        <v>643</v>
      </c>
      <c r="C956" s="3" t="s">
        <v>889</v>
      </c>
      <c r="M956" s="23"/>
      <c r="N956" s="23"/>
      <c r="O956" s="23"/>
    </row>
    <row r="957" customFormat="false" ht="72" hidden="false" customHeight="true" outlineLevel="0" collapsed="false">
      <c r="C957" s="26" t="s">
        <v>890</v>
      </c>
      <c r="M957" s="23"/>
      <c r="N957" s="23"/>
      <c r="O957" s="23"/>
    </row>
    <row r="958" customFormat="false" ht="15" hidden="false" customHeight="true" outlineLevel="0" collapsed="false">
      <c r="C958" s="27" t="s">
        <v>891</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826</v>
      </c>
    </row>
    <row r="960" customFormat="false" ht="15" hidden="false" customHeight="true" outlineLevel="0" collapsed="false">
      <c r="A960" s="3" t="s">
        <v>892</v>
      </c>
      <c r="B960" s="3" t="s">
        <v>643</v>
      </c>
      <c r="C960" s="3" t="s">
        <v>893</v>
      </c>
      <c r="M960" s="23"/>
      <c r="N960" s="23"/>
      <c r="O960" s="23"/>
    </row>
    <row r="961" customFormat="false" ht="60" hidden="false" customHeight="true" outlineLevel="0" collapsed="false">
      <c r="C961" s="26" t="s">
        <v>894</v>
      </c>
      <c r="M961" s="23"/>
      <c r="N961" s="23"/>
      <c r="O961" s="23"/>
    </row>
    <row r="962" customFormat="false" ht="15" hidden="false" customHeight="true" outlineLevel="0" collapsed="false">
      <c r="C962" s="27" t="s">
        <v>895</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826</v>
      </c>
    </row>
    <row r="964" customFormat="false" ht="15" hidden="false" customHeight="true" outlineLevel="0" collapsed="false">
      <c r="A964" s="3" t="s">
        <v>896</v>
      </c>
      <c r="B964" s="3" t="s">
        <v>643</v>
      </c>
      <c r="C964" s="3" t="s">
        <v>897</v>
      </c>
      <c r="M964" s="23"/>
      <c r="N964" s="23"/>
      <c r="O964" s="23"/>
    </row>
    <row r="965" customFormat="false" ht="60" hidden="false" customHeight="true" outlineLevel="0" collapsed="false">
      <c r="C965" s="26" t="s">
        <v>898</v>
      </c>
      <c r="M965" s="23"/>
      <c r="N965" s="23"/>
      <c r="O965" s="23"/>
    </row>
    <row r="966" customFormat="false" ht="15" hidden="false" customHeight="true" outlineLevel="0" collapsed="false">
      <c r="C966" s="27" t="s">
        <v>899</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826</v>
      </c>
    </row>
    <row r="968" customFormat="false" ht="15" hidden="false" customHeight="true" outlineLevel="0" collapsed="false">
      <c r="A968" s="3" t="s">
        <v>900</v>
      </c>
      <c r="B968" s="3" t="s">
        <v>643</v>
      </c>
      <c r="C968" s="3" t="s">
        <v>901</v>
      </c>
      <c r="M968" s="23"/>
      <c r="N968" s="23"/>
      <c r="O968" s="23"/>
    </row>
    <row r="969" customFormat="false" ht="36" hidden="false" customHeight="true" outlineLevel="0" collapsed="false">
      <c r="C969" s="26" t="s">
        <v>902</v>
      </c>
      <c r="M969" s="23"/>
      <c r="N969" s="23"/>
      <c r="O969" s="23"/>
    </row>
    <row r="970" customFormat="false" ht="15" hidden="false" customHeight="true" outlineLevel="0" collapsed="false">
      <c r="C970" s="27" t="s">
        <v>903</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826</v>
      </c>
    </row>
    <row r="972" customFormat="false" ht="15" hidden="false" customHeight="true" outlineLevel="0" collapsed="false">
      <c r="A972" s="3" t="s">
        <v>904</v>
      </c>
      <c r="B972" s="3" t="s">
        <v>643</v>
      </c>
      <c r="C972" s="3" t="s">
        <v>905</v>
      </c>
      <c r="M972" s="23"/>
      <c r="N972" s="23"/>
      <c r="O972" s="23"/>
    </row>
    <row r="973" customFormat="false" ht="60" hidden="false" customHeight="true" outlineLevel="0" collapsed="false">
      <c r="C973" s="26" t="s">
        <v>906</v>
      </c>
      <c r="M973" s="23"/>
      <c r="N973" s="23"/>
      <c r="O973" s="23"/>
    </row>
    <row r="974" customFormat="false" ht="15" hidden="false" customHeight="true" outlineLevel="0" collapsed="false">
      <c r="C974" s="27" t="s">
        <v>907</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826</v>
      </c>
    </row>
    <row r="976" customFormat="false" ht="15" hidden="false" customHeight="true" outlineLevel="0" collapsed="false">
      <c r="A976" s="3" t="s">
        <v>908</v>
      </c>
      <c r="B976" s="3" t="s">
        <v>643</v>
      </c>
      <c r="C976" s="3" t="s">
        <v>909</v>
      </c>
      <c r="M976" s="23"/>
      <c r="N976" s="23"/>
      <c r="O976" s="23"/>
    </row>
    <row r="977" customFormat="false" ht="48" hidden="false" customHeight="true" outlineLevel="0" collapsed="false">
      <c r="C977" s="26" t="s">
        <v>910</v>
      </c>
      <c r="M977" s="23"/>
      <c r="N977" s="23"/>
      <c r="O977" s="23"/>
    </row>
    <row r="978" customFormat="false" ht="15" hidden="false" customHeight="true" outlineLevel="0" collapsed="false">
      <c r="C978" s="27" t="s">
        <v>911</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826</v>
      </c>
    </row>
    <row r="980" customFormat="false" ht="15" hidden="false" customHeight="true" outlineLevel="0" collapsed="false">
      <c r="A980" s="3" t="s">
        <v>912</v>
      </c>
      <c r="B980" s="3" t="s">
        <v>643</v>
      </c>
      <c r="C980" s="3" t="s">
        <v>913</v>
      </c>
      <c r="M980" s="23"/>
      <c r="N980" s="23"/>
      <c r="O980" s="23"/>
    </row>
    <row r="981" customFormat="false" ht="48" hidden="false" customHeight="true" outlineLevel="0" collapsed="false">
      <c r="C981" s="26" t="s">
        <v>914</v>
      </c>
      <c r="M981" s="23"/>
      <c r="N981" s="23"/>
      <c r="O981" s="23"/>
    </row>
    <row r="982" customFormat="false" ht="15" hidden="false" customHeight="true" outlineLevel="0" collapsed="false">
      <c r="C982" s="27" t="s">
        <v>915</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826</v>
      </c>
    </row>
    <row r="984" customFormat="false" ht="15" hidden="false" customHeight="true" outlineLevel="0" collapsed="false">
      <c r="A984" s="3" t="s">
        <v>916</v>
      </c>
      <c r="B984" s="3" t="s">
        <v>643</v>
      </c>
      <c r="C984" s="3" t="s">
        <v>917</v>
      </c>
      <c r="M984" s="23"/>
      <c r="N984" s="23"/>
      <c r="O984" s="23"/>
    </row>
    <row r="985" customFormat="false" ht="48" hidden="false" customHeight="true" outlineLevel="0" collapsed="false">
      <c r="C985" s="26" t="s">
        <v>918</v>
      </c>
      <c r="M985" s="23"/>
      <c r="N985" s="23"/>
      <c r="O985" s="23"/>
    </row>
    <row r="986" customFormat="false" ht="15" hidden="false" customHeight="true" outlineLevel="0" collapsed="false">
      <c r="C986" s="27" t="s">
        <v>704</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826</v>
      </c>
    </row>
    <row r="988" customFormat="false" ht="15" hidden="false" customHeight="true" outlineLevel="0" collapsed="false">
      <c r="A988" s="3" t="s">
        <v>919</v>
      </c>
      <c r="B988" s="3" t="s">
        <v>643</v>
      </c>
      <c r="C988" s="3" t="s">
        <v>920</v>
      </c>
      <c r="M988" s="23"/>
      <c r="N988" s="23"/>
      <c r="O988" s="23"/>
    </row>
    <row r="989" customFormat="false" ht="36" hidden="false" customHeight="true" outlineLevel="0" collapsed="false">
      <c r="C989" s="26" t="s">
        <v>921</v>
      </c>
      <c r="M989" s="23"/>
      <c r="N989" s="23"/>
      <c r="O989" s="23"/>
    </row>
    <row r="990" customFormat="false" ht="15" hidden="false" customHeight="true" outlineLevel="0" collapsed="false">
      <c r="C990" s="27" t="s">
        <v>922</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826</v>
      </c>
    </row>
    <row r="992" customFormat="false" ht="15" hidden="false" customHeight="true" outlineLevel="0" collapsed="false">
      <c r="A992" s="3" t="s">
        <v>923</v>
      </c>
      <c r="B992" s="3" t="s">
        <v>643</v>
      </c>
      <c r="C992" s="3" t="s">
        <v>924</v>
      </c>
      <c r="M992" s="23"/>
      <c r="N992" s="23"/>
      <c r="O992" s="23"/>
    </row>
    <row r="993" customFormat="false" ht="24" hidden="false" customHeight="true" outlineLevel="0" collapsed="false">
      <c r="C993" s="26" t="s">
        <v>925</v>
      </c>
      <c r="M993" s="23"/>
      <c r="N993" s="23"/>
      <c r="O993" s="23"/>
    </row>
    <row r="994" customFormat="false" ht="15" hidden="false" customHeight="true" outlineLevel="0" collapsed="false">
      <c r="C994" s="27" t="s">
        <v>926</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826</v>
      </c>
    </row>
    <row r="996" customFormat="false" ht="15" hidden="false" customHeight="true" outlineLevel="0" collapsed="false">
      <c r="A996" s="3" t="s">
        <v>927</v>
      </c>
      <c r="B996" s="3" t="s">
        <v>643</v>
      </c>
      <c r="C996" s="3" t="s">
        <v>928</v>
      </c>
      <c r="M996" s="23"/>
      <c r="N996" s="23"/>
      <c r="O996" s="23"/>
    </row>
    <row r="997" customFormat="false" ht="12" hidden="false" customHeight="true" outlineLevel="0" collapsed="false">
      <c r="C997" s="26" t="s">
        <v>929</v>
      </c>
      <c r="M997" s="23"/>
      <c r="N997" s="23"/>
      <c r="O997" s="23"/>
    </row>
    <row r="998" customFormat="false" ht="15" hidden="false" customHeight="true" outlineLevel="0" collapsed="false">
      <c r="C998" s="27" t="s">
        <v>930</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826</v>
      </c>
    </row>
    <row r="1000" customFormat="false" ht="15" hidden="false" customHeight="true" outlineLevel="0" collapsed="false">
      <c r="A1000" s="3" t="s">
        <v>931</v>
      </c>
      <c r="B1000" s="3" t="s">
        <v>643</v>
      </c>
      <c r="C1000" s="3" t="s">
        <v>932</v>
      </c>
      <c r="M1000" s="23"/>
      <c r="N1000" s="23"/>
      <c r="O1000" s="23"/>
    </row>
    <row r="1001" customFormat="false" ht="60" hidden="false" customHeight="true" outlineLevel="0" collapsed="false">
      <c r="C1001" s="26" t="s">
        <v>933</v>
      </c>
      <c r="M1001" s="23"/>
      <c r="N1001" s="23"/>
      <c r="O1001" s="23"/>
    </row>
    <row r="1002" customFormat="false" ht="15" hidden="false" customHeight="true" outlineLevel="0" collapsed="false">
      <c r="C1002" s="27" t="s">
        <v>887</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826</v>
      </c>
    </row>
    <row r="1004" customFormat="false" ht="15" hidden="false" customHeight="true" outlineLevel="0" collapsed="false">
      <c r="A1004" s="3" t="s">
        <v>934</v>
      </c>
      <c r="B1004" s="3" t="s">
        <v>643</v>
      </c>
      <c r="C1004" s="3" t="s">
        <v>935</v>
      </c>
      <c r="M1004" s="23"/>
      <c r="N1004" s="23"/>
      <c r="O1004" s="23"/>
    </row>
    <row r="1005" customFormat="false" ht="36" hidden="false" customHeight="true" outlineLevel="0" collapsed="false">
      <c r="C1005" s="26" t="s">
        <v>936</v>
      </c>
      <c r="M1005" s="23"/>
      <c r="N1005" s="23"/>
      <c r="O1005" s="23"/>
    </row>
    <row r="1006" customFormat="false" ht="15" hidden="false" customHeight="true" outlineLevel="0" collapsed="false">
      <c r="C1006" s="27" t="s">
        <v>911</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826</v>
      </c>
    </row>
    <row r="1008" customFormat="false" ht="15" hidden="false" customHeight="true" outlineLevel="0" collapsed="false">
      <c r="A1008" s="3" t="s">
        <v>937</v>
      </c>
      <c r="B1008" s="3" t="s">
        <v>643</v>
      </c>
      <c r="C1008" s="3" t="s">
        <v>938</v>
      </c>
      <c r="M1008" s="23"/>
      <c r="N1008" s="23"/>
      <c r="O1008" s="23"/>
    </row>
    <row r="1009" customFormat="false" ht="36" hidden="false" customHeight="true" outlineLevel="0" collapsed="false">
      <c r="C1009" s="26" t="s">
        <v>939</v>
      </c>
      <c r="M1009" s="23"/>
      <c r="N1009" s="23"/>
      <c r="O1009" s="23"/>
    </row>
    <row r="1010" customFormat="false" ht="15" hidden="false" customHeight="true" outlineLevel="0" collapsed="false">
      <c r="C1010" s="27" t="s">
        <v>940</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826</v>
      </c>
    </row>
    <row r="1012" customFormat="false" ht="15" hidden="false" customHeight="true" outlineLevel="0" collapsed="false">
      <c r="A1012" s="3" t="s">
        <v>941</v>
      </c>
      <c r="B1012" s="3" t="s">
        <v>643</v>
      </c>
      <c r="C1012" s="3" t="s">
        <v>942</v>
      </c>
      <c r="M1012" s="23"/>
      <c r="N1012" s="23"/>
      <c r="O1012" s="23"/>
    </row>
    <row r="1013" customFormat="false" ht="36" hidden="false" customHeight="true" outlineLevel="0" collapsed="false">
      <c r="C1013" s="26" t="s">
        <v>943</v>
      </c>
      <c r="M1013" s="23"/>
      <c r="N1013" s="23"/>
      <c r="O1013" s="23"/>
    </row>
    <row r="1014" customFormat="false" ht="15" hidden="false" customHeight="true" outlineLevel="0" collapsed="false">
      <c r="C1014" s="27" t="s">
        <v>899</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826</v>
      </c>
    </row>
    <row r="1016" customFormat="false" ht="15" hidden="false" customHeight="true" outlineLevel="0" collapsed="false">
      <c r="A1016" s="3" t="s">
        <v>944</v>
      </c>
      <c r="B1016" s="3" t="s">
        <v>643</v>
      </c>
      <c r="C1016" s="3" t="s">
        <v>945</v>
      </c>
      <c r="M1016" s="23"/>
      <c r="N1016" s="23"/>
      <c r="O1016" s="23"/>
    </row>
    <row r="1017" customFormat="false" ht="36" hidden="false" customHeight="true" outlineLevel="0" collapsed="false">
      <c r="C1017" s="26" t="s">
        <v>946</v>
      </c>
      <c r="M1017" s="23"/>
      <c r="N1017" s="23"/>
      <c r="O1017" s="23"/>
    </row>
    <row r="1018" customFormat="false" ht="15" hidden="false" customHeight="true" outlineLevel="0" collapsed="false">
      <c r="C1018" s="27" t="s">
        <v>891</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826</v>
      </c>
    </row>
    <row r="1020" customFormat="false" ht="15" hidden="false" customHeight="true" outlineLevel="0" collapsed="false">
      <c r="A1020" s="3" t="s">
        <v>947</v>
      </c>
      <c r="B1020" s="3" t="s">
        <v>643</v>
      </c>
      <c r="C1020" s="3" t="s">
        <v>948</v>
      </c>
      <c r="M1020" s="23"/>
      <c r="N1020" s="23"/>
      <c r="O1020" s="23"/>
    </row>
    <row r="1021" customFormat="false" ht="24" hidden="false" customHeight="true" outlineLevel="0" collapsed="false">
      <c r="C1021" s="26" t="s">
        <v>949</v>
      </c>
      <c r="M1021" s="23"/>
      <c r="N1021" s="23"/>
      <c r="O1021" s="23"/>
    </row>
    <row r="1022" customFormat="false" ht="15" hidden="false" customHeight="true" outlineLevel="0" collapsed="false">
      <c r="C1022" s="27" t="s">
        <v>950</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826</v>
      </c>
    </row>
    <row r="1024" customFormat="false" ht="15" hidden="false" customHeight="true" outlineLevel="0" collapsed="false">
      <c r="A1024" s="3" t="s">
        <v>951</v>
      </c>
      <c r="B1024" s="3" t="s">
        <v>129</v>
      </c>
      <c r="C1024" s="3" t="s">
        <v>952</v>
      </c>
      <c r="M1024" s="23"/>
      <c r="N1024" s="23"/>
      <c r="O1024" s="23"/>
    </row>
    <row r="1025" customFormat="false" ht="36" hidden="false" customHeight="true" outlineLevel="0" collapsed="false">
      <c r="C1025" s="26" t="s">
        <v>953</v>
      </c>
      <c r="M1025" s="23"/>
      <c r="N1025" s="23"/>
      <c r="O1025" s="23"/>
    </row>
    <row r="1026" customFormat="false" ht="15" hidden="false" customHeight="true" outlineLevel="0" collapsed="false">
      <c r="C1026" s="27" t="s">
        <v>954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826</v>
      </c>
    </row>
    <row r="1028" customFormat="false" ht="15" hidden="false" customHeight="true" outlineLevel="0" collapsed="false">
      <c r="A1028" s="3" t="s">
        <v>955</v>
      </c>
      <c r="B1028" s="3" t="s">
        <v>129</v>
      </c>
      <c r="C1028" s="3" t="s">
        <v>956</v>
      </c>
      <c r="M1028" s="23"/>
      <c r="N1028" s="23"/>
      <c r="O1028" s="23"/>
    </row>
    <row r="1029" customFormat="false" ht="24" hidden="false" customHeight="true" outlineLevel="0" collapsed="false">
      <c r="C1029" s="26" t="s">
        <v>957</v>
      </c>
      <c r="M1029" s="23"/>
      <c r="N1029" s="23"/>
      <c r="O1029" s="23"/>
    </row>
    <row r="1030" customFormat="false" ht="15" hidden="false" customHeight="true" outlineLevel="0" collapsed="false">
      <c r="C1030" s="27" t="s">
        <v>721</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958</v>
      </c>
      <c r="M1031" s="23" t="s">
        <v>123</v>
      </c>
      <c r="N1031" s="23" t="s">
        <v>54</v>
      </c>
      <c r="O1031" s="23" t="s">
        <v>826</v>
      </c>
    </row>
    <row r="1032" customFormat="false" ht="15" hidden="false" customHeight="true" outlineLevel="0" collapsed="false">
      <c r="A1032" s="3" t="s">
        <v>959</v>
      </c>
      <c r="C1032" s="3" t="s">
        <v>960</v>
      </c>
      <c r="M1032" s="23" t="s">
        <v>291</v>
      </c>
      <c r="N1032" s="23" t="s">
        <v>54</v>
      </c>
      <c r="O1032" s="23" t="s">
        <v>959</v>
      </c>
    </row>
    <row r="1033" customFormat="false" ht="15" hidden="false" customHeight="true" outlineLevel="0" collapsed="false">
      <c r="A1033" s="3" t="s">
        <v>961</v>
      </c>
      <c r="B1033" s="3" t="s">
        <v>643</v>
      </c>
      <c r="C1033" s="3" t="s">
        <v>962</v>
      </c>
      <c r="M1033" s="23"/>
      <c r="N1033" s="23"/>
      <c r="O1033" s="23"/>
    </row>
    <row r="1034" customFormat="false" ht="36" hidden="false" customHeight="true" outlineLevel="0" collapsed="false">
      <c r="C1034" s="26" t="s">
        <v>963</v>
      </c>
      <c r="M1034" s="23"/>
      <c r="N1034" s="23"/>
      <c r="O1034" s="23"/>
    </row>
    <row r="1035" customFormat="false" ht="15" hidden="false" customHeight="true" outlineLevel="0" collapsed="false">
      <c r="C1035" s="27" t="s">
        <v>739</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959</v>
      </c>
    </row>
    <row r="1037" customFormat="false" ht="15" hidden="false" customHeight="true" outlineLevel="0" collapsed="false">
      <c r="A1037" s="3" t="s">
        <v>964</v>
      </c>
      <c r="B1037" s="3" t="s">
        <v>643</v>
      </c>
      <c r="C1037" s="3" t="s">
        <v>965</v>
      </c>
      <c r="M1037" s="23"/>
      <c r="N1037" s="23"/>
      <c r="O1037" s="23"/>
    </row>
    <row r="1038" customFormat="false" ht="24" hidden="false" customHeight="true" outlineLevel="0" collapsed="false">
      <c r="C1038" s="26" t="s">
        <v>966</v>
      </c>
      <c r="M1038" s="23"/>
      <c r="N1038" s="23"/>
      <c r="O1038" s="23"/>
    </row>
    <row r="1039" customFormat="false" ht="15" hidden="false" customHeight="true" outlineLevel="0" collapsed="false">
      <c r="C1039" s="27" t="s">
        <v>739</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959</v>
      </c>
    </row>
    <row r="1041" customFormat="false" ht="15" hidden="false" customHeight="true" outlineLevel="0" collapsed="false">
      <c r="A1041" s="3" t="s">
        <v>967</v>
      </c>
      <c r="B1041" s="3" t="s">
        <v>643</v>
      </c>
      <c r="C1041" s="3" t="s">
        <v>968</v>
      </c>
      <c r="M1041" s="23"/>
      <c r="N1041" s="23"/>
      <c r="O1041" s="23"/>
    </row>
    <row r="1042" customFormat="false" ht="72" hidden="false" customHeight="true" outlineLevel="0" collapsed="false">
      <c r="C1042" s="26" t="s">
        <v>969</v>
      </c>
      <c r="M1042" s="23"/>
      <c r="N1042" s="23"/>
      <c r="O1042" s="23"/>
    </row>
    <row r="1043" customFormat="false" ht="15" hidden="false" customHeight="true" outlineLevel="0" collapsed="false">
      <c r="C1043" s="27" t="s">
        <v>739</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959</v>
      </c>
    </row>
    <row r="1045" customFormat="false" ht="15" hidden="false" customHeight="true" outlineLevel="0" collapsed="false">
      <c r="A1045" s="3" t="s">
        <v>970</v>
      </c>
      <c r="B1045" s="3" t="s">
        <v>650</v>
      </c>
      <c r="C1045" s="3" t="s">
        <v>971</v>
      </c>
      <c r="M1045" s="23"/>
      <c r="N1045" s="23"/>
      <c r="O1045" s="23"/>
    </row>
    <row r="1046" customFormat="false" ht="12" hidden="false" customHeight="true" outlineLevel="0" collapsed="false">
      <c r="C1046" s="26" t="s">
        <v>972</v>
      </c>
      <c r="M1046" s="23"/>
      <c r="N1046" s="23"/>
      <c r="O1046" s="23"/>
    </row>
    <row r="1047" customFormat="false" ht="15" hidden="false" customHeight="true" outlineLevel="0" collapsed="false">
      <c r="C1047" s="27" t="s">
        <v>739</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959</v>
      </c>
    </row>
    <row r="1049" customFormat="false" ht="15" hidden="false" customHeight="true" outlineLevel="0" collapsed="false">
      <c r="A1049" s="3" t="s">
        <v>973</v>
      </c>
      <c r="B1049" s="3" t="s">
        <v>643</v>
      </c>
      <c r="C1049" s="3" t="s">
        <v>974</v>
      </c>
      <c r="M1049" s="23"/>
      <c r="N1049" s="23"/>
      <c r="O1049" s="23"/>
    </row>
    <row r="1050" customFormat="false" ht="12" hidden="false" customHeight="true" outlineLevel="0" collapsed="false">
      <c r="C1050" s="26" t="s">
        <v>975</v>
      </c>
      <c r="M1050" s="23"/>
      <c r="N1050" s="23"/>
      <c r="O1050" s="23"/>
    </row>
    <row r="1051" customFormat="false" ht="15" hidden="false" customHeight="true" outlineLevel="0" collapsed="false">
      <c r="C1051" s="27" t="s">
        <v>739</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959</v>
      </c>
    </row>
    <row r="1053" customFormat="false" ht="15" hidden="false" customHeight="true" outlineLevel="0" collapsed="false">
      <c r="A1053" s="3" t="s">
        <v>976</v>
      </c>
      <c r="B1053" s="3" t="s">
        <v>643</v>
      </c>
      <c r="C1053" s="3" t="s">
        <v>977</v>
      </c>
      <c r="M1053" s="23"/>
      <c r="N1053" s="23"/>
      <c r="O1053" s="23"/>
    </row>
    <row r="1054" customFormat="false" ht="48" hidden="false" customHeight="true" outlineLevel="0" collapsed="false">
      <c r="C1054" s="26" t="s">
        <v>978</v>
      </c>
      <c r="M1054" s="23"/>
      <c r="N1054" s="23"/>
      <c r="O1054" s="23"/>
    </row>
    <row r="1055" customFormat="false" ht="15" hidden="false" customHeight="true" outlineLevel="0" collapsed="false">
      <c r="C1055" s="27" t="s">
        <v>739</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959</v>
      </c>
    </row>
    <row r="1057" customFormat="false" ht="15" hidden="false" customHeight="true" outlineLevel="0" collapsed="false">
      <c r="A1057" s="3" t="s">
        <v>979</v>
      </c>
      <c r="B1057" s="3" t="s">
        <v>643</v>
      </c>
      <c r="C1057" s="3" t="s">
        <v>980</v>
      </c>
      <c r="M1057" s="23"/>
      <c r="N1057" s="23"/>
      <c r="O1057" s="23"/>
    </row>
    <row r="1058" customFormat="false" ht="120" hidden="false" customHeight="true" outlineLevel="0" collapsed="false">
      <c r="C1058" s="26" t="s">
        <v>981</v>
      </c>
      <c r="M1058" s="23"/>
      <c r="N1058" s="23"/>
      <c r="O1058" s="23"/>
    </row>
    <row r="1059" customFormat="false" ht="15" hidden="false" customHeight="true" outlineLevel="0" collapsed="false">
      <c r="C1059" s="27" t="s">
        <v>739</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959</v>
      </c>
    </row>
    <row r="1061" customFormat="false" ht="15" hidden="false" customHeight="true" outlineLevel="0" collapsed="false">
      <c r="A1061" s="3" t="s">
        <v>982</v>
      </c>
      <c r="B1061" s="3" t="s">
        <v>650</v>
      </c>
      <c r="C1061" s="3" t="s">
        <v>983</v>
      </c>
      <c r="M1061" s="23"/>
      <c r="N1061" s="23"/>
      <c r="O1061" s="23"/>
    </row>
    <row r="1062" customFormat="false" ht="48" hidden="false" customHeight="true" outlineLevel="0" collapsed="false">
      <c r="C1062" s="26" t="s">
        <v>984</v>
      </c>
      <c r="M1062" s="23"/>
      <c r="N1062" s="23"/>
      <c r="O1062" s="23"/>
    </row>
    <row r="1063" customFormat="false" ht="15" hidden="false" customHeight="true" outlineLevel="0" collapsed="false">
      <c r="C1063" s="27" t="s">
        <v>739</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959</v>
      </c>
    </row>
    <row r="1065" customFormat="false" ht="15" hidden="false" customHeight="true" outlineLevel="0" collapsed="false">
      <c r="A1065" s="3" t="s">
        <v>985</v>
      </c>
      <c r="B1065" s="3" t="s">
        <v>643</v>
      </c>
      <c r="C1065" s="3" t="s">
        <v>986</v>
      </c>
      <c r="M1065" s="23"/>
      <c r="N1065" s="23"/>
      <c r="O1065" s="23"/>
    </row>
    <row r="1066" customFormat="false" ht="84" hidden="false" customHeight="true" outlineLevel="0" collapsed="false">
      <c r="C1066" s="26" t="s">
        <v>987</v>
      </c>
      <c r="M1066" s="23"/>
      <c r="N1066" s="23"/>
      <c r="O1066" s="23"/>
    </row>
    <row r="1067" customFormat="false" ht="15" hidden="false" customHeight="true" outlineLevel="0" collapsed="false">
      <c r="C1067" s="27" t="s">
        <v>739</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959</v>
      </c>
    </row>
    <row r="1069" customFormat="false" ht="15" hidden="false" customHeight="true" outlineLevel="0" collapsed="false">
      <c r="A1069" s="3" t="s">
        <v>988</v>
      </c>
      <c r="B1069" s="3" t="s">
        <v>643</v>
      </c>
      <c r="C1069" s="3" t="s">
        <v>989</v>
      </c>
      <c r="M1069" s="23"/>
      <c r="N1069" s="23"/>
      <c r="O1069" s="23"/>
    </row>
    <row r="1070" customFormat="false" ht="36" hidden="false" customHeight="true" outlineLevel="0" collapsed="false">
      <c r="C1070" s="26" t="s">
        <v>990</v>
      </c>
      <c r="M1070" s="23"/>
      <c r="N1070" s="23"/>
      <c r="O1070" s="23"/>
    </row>
    <row r="1071" customFormat="false" ht="15" hidden="false" customHeight="true" outlineLevel="0" collapsed="false">
      <c r="C1071" s="27" t="s">
        <v>991</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959</v>
      </c>
    </row>
    <row r="1073" customFormat="false" ht="15" hidden="false" customHeight="true" outlineLevel="0" collapsed="false">
      <c r="C1073" s="34" t="s">
        <v>992</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993</v>
      </c>
      <c r="C1076" s="3" t="s">
        <v>994</v>
      </c>
      <c r="M1076" s="23" t="s">
        <v>291</v>
      </c>
      <c r="N1076" s="23" t="s">
        <v>68</v>
      </c>
      <c r="O1076" s="23" t="s">
        <v>993</v>
      </c>
    </row>
    <row r="1077" customFormat="false" ht="15" hidden="false" customHeight="true" outlineLevel="0" collapsed="false">
      <c r="A1077" s="3" t="s">
        <v>995</v>
      </c>
      <c r="B1077" s="3" t="s">
        <v>643</v>
      </c>
      <c r="C1077" s="3" t="s">
        <v>996</v>
      </c>
      <c r="M1077" s="23"/>
      <c r="N1077" s="23"/>
      <c r="O1077" s="23"/>
    </row>
    <row r="1078" customFormat="false" ht="96" hidden="false" customHeight="true" outlineLevel="0" collapsed="false">
      <c r="C1078" s="26" t="s">
        <v>997</v>
      </c>
      <c r="M1078" s="23"/>
      <c r="N1078" s="23"/>
      <c r="O1078" s="23"/>
    </row>
    <row r="1079" customFormat="false" ht="15" hidden="false" customHeight="true" outlineLevel="0" collapsed="false">
      <c r="C1079" s="27" t="s">
        <v>998</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993</v>
      </c>
    </row>
    <row r="1081" customFormat="false" ht="15" hidden="false" customHeight="true" outlineLevel="0" collapsed="false">
      <c r="A1081" s="3" t="s">
        <v>999</v>
      </c>
      <c r="B1081" s="3" t="s">
        <v>643</v>
      </c>
      <c r="C1081" s="3" t="s">
        <v>1000</v>
      </c>
      <c r="M1081" s="23"/>
      <c r="N1081" s="23"/>
      <c r="O1081" s="23"/>
    </row>
    <row r="1082" customFormat="false" ht="120" hidden="false" customHeight="true" outlineLevel="0" collapsed="false">
      <c r="C1082" s="26" t="s">
        <v>1001</v>
      </c>
      <c r="M1082" s="23"/>
      <c r="N1082" s="23"/>
      <c r="O1082" s="23"/>
    </row>
    <row r="1083" customFormat="false" ht="15" hidden="false" customHeight="true" outlineLevel="0" collapsed="false">
      <c r="C1083" s="27" t="s">
        <v>998</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993</v>
      </c>
    </row>
    <row r="1085" customFormat="false" ht="15" hidden="false" customHeight="true" outlineLevel="0" collapsed="false">
      <c r="A1085" s="3" t="s">
        <v>1002</v>
      </c>
      <c r="C1085" s="3" t="s">
        <v>1003</v>
      </c>
      <c r="M1085" s="23" t="s">
        <v>291</v>
      </c>
      <c r="N1085" s="23" t="s">
        <v>68</v>
      </c>
      <c r="O1085" s="23" t="s">
        <v>1002</v>
      </c>
    </row>
    <row r="1086" customFormat="false" ht="15" hidden="false" customHeight="true" outlineLevel="0" collapsed="false">
      <c r="A1086" s="3" t="s">
        <v>1004</v>
      </c>
      <c r="B1086" s="3" t="s">
        <v>643</v>
      </c>
      <c r="C1086" s="3" t="s">
        <v>1003</v>
      </c>
      <c r="M1086" s="23"/>
      <c r="N1086" s="23"/>
      <c r="O1086" s="23"/>
    </row>
    <row r="1087" customFormat="false" ht="204" hidden="false" customHeight="true" outlineLevel="0" collapsed="false">
      <c r="C1087" s="26" t="s">
        <v>1005</v>
      </c>
      <c r="M1087" s="23"/>
      <c r="N1087" s="23"/>
      <c r="O1087" s="23"/>
    </row>
    <row r="1088" customFormat="false" ht="15" hidden="false" customHeight="true" outlineLevel="0" collapsed="false">
      <c r="C1088" s="27" t="s">
        <v>998</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1002</v>
      </c>
    </row>
    <row r="1090" customFormat="false" ht="15" hidden="false" customHeight="true" outlineLevel="0" collapsed="false">
      <c r="C1090" s="34" t="s">
        <v>1006</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1007</v>
      </c>
      <c r="B1093" s="3" t="s">
        <v>103</v>
      </c>
      <c r="C1093" s="3" t="s">
        <v>1008</v>
      </c>
      <c r="M1093" s="23"/>
      <c r="N1093" s="23"/>
      <c r="O1093" s="23"/>
    </row>
    <row r="1094" customFormat="false" ht="132" hidden="false" customHeight="true" outlineLevel="0" collapsed="false">
      <c r="C1094" s="26" t="s">
        <v>1009</v>
      </c>
      <c r="M1094" s="23"/>
      <c r="N1094" s="23"/>
      <c r="O1094" s="23"/>
    </row>
    <row r="1095" customFormat="false" ht="15" hidden="false" customHeight="true" outlineLevel="0" collapsed="false">
      <c r="C1095" s="27" t="s">
        <v>998</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1010</v>
      </c>
      <c r="B1097" s="3" t="s">
        <v>103</v>
      </c>
      <c r="C1097" s="3" t="s">
        <v>1011</v>
      </c>
      <c r="M1097" s="23"/>
      <c r="N1097" s="23"/>
      <c r="O1097" s="23"/>
    </row>
    <row r="1098" customFormat="false" ht="132" hidden="false" customHeight="true" outlineLevel="0" collapsed="false">
      <c r="C1098" s="26" t="s">
        <v>1012</v>
      </c>
      <c r="M1098" s="23"/>
      <c r="N1098" s="23"/>
      <c r="O1098" s="23"/>
    </row>
    <row r="1099" customFormat="false" ht="15" hidden="false" customHeight="true" outlineLevel="0" collapsed="false">
      <c r="C1099" s="27" t="s">
        <v>998</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1013</v>
      </c>
      <c r="B1101" s="3" t="s">
        <v>103</v>
      </c>
      <c r="C1101" s="3" t="s">
        <v>1014</v>
      </c>
      <c r="M1101" s="23"/>
      <c r="N1101" s="23"/>
      <c r="O1101" s="23"/>
    </row>
    <row r="1102" customFormat="false" ht="120" hidden="false" customHeight="true" outlineLevel="0" collapsed="false">
      <c r="C1102" s="26" t="s">
        <v>1015</v>
      </c>
      <c r="M1102" s="23"/>
      <c r="N1102" s="23"/>
      <c r="O1102" s="23"/>
    </row>
    <row r="1103" customFormat="false" ht="15" hidden="false" customHeight="true" outlineLevel="0" collapsed="false">
      <c r="C1103" s="27" t="s">
        <v>998</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1016</v>
      </c>
      <c r="B1105" s="3" t="s">
        <v>103</v>
      </c>
      <c r="C1105" s="3" t="s">
        <v>1017</v>
      </c>
      <c r="M1105" s="23"/>
      <c r="N1105" s="23"/>
      <c r="O1105" s="23"/>
    </row>
    <row r="1106" customFormat="false" ht="120" hidden="false" customHeight="true" outlineLevel="0" collapsed="false">
      <c r="C1106" s="26" t="s">
        <v>1018</v>
      </c>
      <c r="M1106" s="23"/>
      <c r="N1106" s="23"/>
      <c r="O1106" s="23"/>
    </row>
    <row r="1107" customFormat="false" ht="15" hidden="false" customHeight="true" outlineLevel="0" collapsed="false">
      <c r="C1107" s="27" t="s">
        <v>998</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1019</v>
      </c>
      <c r="B1109" s="3" t="s">
        <v>103</v>
      </c>
      <c r="C1109" s="3" t="s">
        <v>1020</v>
      </c>
      <c r="M1109" s="23"/>
      <c r="N1109" s="23"/>
      <c r="O1109" s="23"/>
    </row>
    <row r="1110" customFormat="false" ht="120" hidden="false" customHeight="true" outlineLevel="0" collapsed="false">
      <c r="C1110" s="26" t="s">
        <v>1021</v>
      </c>
      <c r="M1110" s="23"/>
      <c r="N1110" s="23"/>
      <c r="O1110" s="23"/>
    </row>
    <row r="1111" customFormat="false" ht="15" hidden="false" customHeight="true" outlineLevel="0" collapsed="false">
      <c r="C1111" s="27" t="s">
        <v>998</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1022</v>
      </c>
      <c r="B1113" s="3" t="s">
        <v>103</v>
      </c>
      <c r="C1113" s="3" t="s">
        <v>1023</v>
      </c>
      <c r="M1113" s="23"/>
      <c r="N1113" s="23"/>
      <c r="O1113" s="23"/>
    </row>
    <row r="1114" customFormat="false" ht="120" hidden="false" customHeight="true" outlineLevel="0" collapsed="false">
      <c r="C1114" s="26" t="s">
        <v>1024</v>
      </c>
      <c r="M1114" s="23"/>
      <c r="N1114" s="23"/>
      <c r="O1114" s="23"/>
    </row>
    <row r="1115" customFormat="false" ht="15" hidden="false" customHeight="true" outlineLevel="0" collapsed="false">
      <c r="C1115" s="27" t="s">
        <v>998</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1025</v>
      </c>
      <c r="B1117" s="3" t="s">
        <v>103</v>
      </c>
      <c r="C1117" s="3" t="s">
        <v>1026</v>
      </c>
      <c r="M1117" s="23"/>
      <c r="N1117" s="23"/>
      <c r="O1117" s="23"/>
    </row>
    <row r="1118" customFormat="false" ht="120" hidden="false" customHeight="true" outlineLevel="0" collapsed="false">
      <c r="C1118" s="26" t="s">
        <v>1027</v>
      </c>
      <c r="M1118" s="23"/>
      <c r="N1118" s="23"/>
      <c r="O1118" s="23"/>
    </row>
    <row r="1119" customFormat="false" ht="15" hidden="false" customHeight="true" outlineLevel="0" collapsed="false">
      <c r="C1119" s="27" t="s">
        <v>998</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1028</v>
      </c>
      <c r="B1121" s="3" t="s">
        <v>103</v>
      </c>
      <c r="C1121" s="3" t="s">
        <v>1029</v>
      </c>
      <c r="M1121" s="23"/>
      <c r="N1121" s="23"/>
      <c r="O1121" s="23"/>
    </row>
    <row r="1122" customFormat="false" ht="108" hidden="false" customHeight="true" outlineLevel="0" collapsed="false">
      <c r="C1122" s="26" t="s">
        <v>1030</v>
      </c>
      <c r="M1122" s="23"/>
      <c r="N1122" s="23"/>
      <c r="O1122" s="23"/>
    </row>
    <row r="1123" customFormat="false" ht="15" hidden="false" customHeight="true" outlineLevel="0" collapsed="false">
      <c r="C1123" s="27" t="s">
        <v>998</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1031</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1032</v>
      </c>
      <c r="C1128" s="3" t="s">
        <v>1033</v>
      </c>
      <c r="M1128" s="23" t="s">
        <v>291</v>
      </c>
      <c r="N1128" s="23" t="s">
        <v>75</v>
      </c>
      <c r="O1128" s="23" t="s">
        <v>1032</v>
      </c>
    </row>
    <row r="1129" customFormat="false" ht="15" hidden="false" customHeight="true" outlineLevel="0" collapsed="false">
      <c r="A1129" s="3" t="s">
        <v>1034</v>
      </c>
      <c r="B1129" s="3" t="s">
        <v>1035</v>
      </c>
      <c r="C1129" s="3" t="s">
        <v>1036</v>
      </c>
      <c r="M1129" s="23"/>
      <c r="N1129" s="23"/>
      <c r="O1129" s="23"/>
    </row>
    <row r="1130" customFormat="false" ht="48" hidden="false" customHeight="true" outlineLevel="0" collapsed="false">
      <c r="C1130" s="26" t="s">
        <v>1037</v>
      </c>
      <c r="M1130" s="23"/>
      <c r="N1130" s="23"/>
      <c r="O1130" s="23"/>
    </row>
    <row r="1131" customFormat="false" ht="15" hidden="false" customHeight="true" outlineLevel="0" collapsed="false">
      <c r="C1131" s="27" t="s">
        <v>998</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1032</v>
      </c>
    </row>
    <row r="1133" customFormat="false" ht="15" hidden="false" customHeight="true" outlineLevel="0" collapsed="false">
      <c r="A1133" s="3" t="s">
        <v>1038</v>
      </c>
      <c r="B1133" s="3" t="s">
        <v>650</v>
      </c>
      <c r="C1133" s="3" t="s">
        <v>1039</v>
      </c>
      <c r="M1133" s="23"/>
      <c r="N1133" s="23"/>
      <c r="O1133" s="23"/>
    </row>
    <row r="1134" customFormat="false" ht="84" hidden="false" customHeight="true" outlineLevel="0" collapsed="false">
      <c r="C1134" s="26" t="s">
        <v>1040</v>
      </c>
      <c r="M1134" s="23"/>
      <c r="N1134" s="23"/>
      <c r="O1134" s="23"/>
    </row>
    <row r="1135" customFormat="false" ht="15" hidden="false" customHeight="true" outlineLevel="0" collapsed="false">
      <c r="C1135" s="27" t="s">
        <v>998</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1032</v>
      </c>
    </row>
    <row r="1137" customFormat="false" ht="15" hidden="false" customHeight="true" outlineLevel="0" collapsed="false">
      <c r="A1137" s="3" t="s">
        <v>1041</v>
      </c>
      <c r="B1137" s="3" t="s">
        <v>650</v>
      </c>
      <c r="C1137" s="3" t="s">
        <v>1042</v>
      </c>
      <c r="M1137" s="23"/>
      <c r="N1137" s="23"/>
      <c r="O1137" s="23"/>
    </row>
    <row r="1138" customFormat="false" ht="84" hidden="false" customHeight="true" outlineLevel="0" collapsed="false">
      <c r="C1138" s="26" t="s">
        <v>1043</v>
      </c>
      <c r="M1138" s="23"/>
      <c r="N1138" s="23"/>
      <c r="O1138" s="23"/>
    </row>
    <row r="1139" customFormat="false" ht="15" hidden="false" customHeight="true" outlineLevel="0" collapsed="false">
      <c r="C1139" s="27" t="s">
        <v>998</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1032</v>
      </c>
    </row>
    <row r="1141" customFormat="false" ht="15" hidden="false" customHeight="true" outlineLevel="0" collapsed="false">
      <c r="A1141" s="3" t="s">
        <v>1044</v>
      </c>
      <c r="B1141" s="3" t="s">
        <v>650</v>
      </c>
      <c r="C1141" s="3" t="s">
        <v>1045</v>
      </c>
      <c r="M1141" s="23"/>
      <c r="N1141" s="23"/>
      <c r="O1141" s="23"/>
    </row>
    <row r="1142" customFormat="false" ht="72" hidden="false" customHeight="true" outlineLevel="0" collapsed="false">
      <c r="C1142" s="26" t="s">
        <v>1046</v>
      </c>
      <c r="M1142" s="23"/>
      <c r="N1142" s="23"/>
      <c r="O1142" s="23"/>
    </row>
    <row r="1143" customFormat="false" ht="15" hidden="false" customHeight="true" outlineLevel="0" collapsed="false">
      <c r="C1143" s="27" t="s">
        <v>998</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1032</v>
      </c>
    </row>
    <row r="1145" customFormat="false" ht="15" hidden="false" customHeight="true" outlineLevel="0" collapsed="false">
      <c r="A1145" s="3" t="s">
        <v>1047</v>
      </c>
      <c r="B1145" s="3" t="s">
        <v>643</v>
      </c>
      <c r="C1145" s="3" t="s">
        <v>1048</v>
      </c>
      <c r="M1145" s="23"/>
      <c r="N1145" s="23"/>
      <c r="O1145" s="23"/>
    </row>
    <row r="1146" customFormat="false" ht="108" hidden="false" customHeight="true" outlineLevel="0" collapsed="false">
      <c r="C1146" s="26" t="s">
        <v>1049</v>
      </c>
      <c r="M1146" s="23"/>
      <c r="N1146" s="23"/>
      <c r="O1146" s="23"/>
    </row>
    <row r="1147" customFormat="false" ht="15" hidden="false" customHeight="true" outlineLevel="0" collapsed="false">
      <c r="C1147" s="27" t="s">
        <v>998</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1032</v>
      </c>
    </row>
    <row r="1149" customFormat="false" ht="15" hidden="false" customHeight="true" outlineLevel="0" collapsed="false">
      <c r="A1149" s="3" t="s">
        <v>1050</v>
      </c>
      <c r="B1149" s="3" t="s">
        <v>650</v>
      </c>
      <c r="C1149" s="3" t="s">
        <v>1051</v>
      </c>
      <c r="M1149" s="23"/>
      <c r="N1149" s="23"/>
      <c r="O1149" s="23"/>
    </row>
    <row r="1150" customFormat="false" ht="144" hidden="false" customHeight="true" outlineLevel="0" collapsed="false">
      <c r="C1150" s="26" t="s">
        <v>1052</v>
      </c>
      <c r="M1150" s="23"/>
      <c r="N1150" s="23"/>
      <c r="O1150" s="23"/>
    </row>
    <row r="1151" customFormat="false" ht="15" hidden="false" customHeight="true" outlineLevel="0" collapsed="false">
      <c r="C1151" s="27" t="s">
        <v>998</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1032</v>
      </c>
    </row>
    <row r="1153" customFormat="false" ht="15" hidden="false" customHeight="true" outlineLevel="0" collapsed="false">
      <c r="A1153" s="3" t="s">
        <v>1053</v>
      </c>
      <c r="B1153" s="3" t="s">
        <v>1035</v>
      </c>
      <c r="C1153" s="3" t="s">
        <v>1054</v>
      </c>
      <c r="M1153" s="23"/>
      <c r="N1153" s="23"/>
      <c r="O1153" s="23"/>
    </row>
    <row r="1154" customFormat="false" ht="84" hidden="false" customHeight="true" outlineLevel="0" collapsed="false">
      <c r="C1154" s="26" t="s">
        <v>1055</v>
      </c>
      <c r="M1154" s="23"/>
      <c r="N1154" s="23"/>
      <c r="O1154" s="23"/>
    </row>
    <row r="1155" customFormat="false" ht="15" hidden="false" customHeight="true" outlineLevel="0" collapsed="false">
      <c r="C1155" s="27" t="s">
        <v>998</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1032</v>
      </c>
    </row>
    <row r="1157" customFormat="false" ht="15" hidden="false" customHeight="true" outlineLevel="0" collapsed="false">
      <c r="A1157" s="3" t="s">
        <v>1056</v>
      </c>
      <c r="B1157" s="3" t="s">
        <v>643</v>
      </c>
      <c r="C1157" s="3" t="s">
        <v>1057</v>
      </c>
      <c r="M1157" s="23"/>
      <c r="N1157" s="23"/>
      <c r="O1157" s="23"/>
    </row>
    <row r="1158" customFormat="false" ht="48" hidden="false" customHeight="true" outlineLevel="0" collapsed="false">
      <c r="C1158" s="26" t="s">
        <v>1058</v>
      </c>
      <c r="M1158" s="23"/>
      <c r="N1158" s="23"/>
      <c r="O1158" s="23"/>
    </row>
    <row r="1159" customFormat="false" ht="15" hidden="false" customHeight="true" outlineLevel="0" collapsed="false">
      <c r="C1159" s="27" t="s">
        <v>998</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1032</v>
      </c>
    </row>
    <row r="1161" customFormat="false" ht="15" hidden="false" customHeight="true" outlineLevel="0" collapsed="false">
      <c r="A1161" s="3" t="s">
        <v>1059</v>
      </c>
      <c r="B1161" s="3" t="s">
        <v>643</v>
      </c>
      <c r="C1161" s="3" t="s">
        <v>1060</v>
      </c>
      <c r="M1161" s="23"/>
      <c r="N1161" s="23"/>
      <c r="O1161" s="23"/>
    </row>
    <row r="1162" customFormat="false" ht="84" hidden="false" customHeight="true" outlineLevel="0" collapsed="false">
      <c r="C1162" s="26" t="s">
        <v>1061</v>
      </c>
      <c r="M1162" s="23"/>
      <c r="N1162" s="23"/>
      <c r="O1162" s="23"/>
    </row>
    <row r="1163" customFormat="false" ht="15" hidden="false" customHeight="true" outlineLevel="0" collapsed="false">
      <c r="C1163" s="27" t="s">
        <v>998</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1032</v>
      </c>
    </row>
    <row r="1165" customFormat="false" ht="15" hidden="false" customHeight="true" outlineLevel="0" collapsed="false">
      <c r="A1165" s="3" t="s">
        <v>1062</v>
      </c>
      <c r="B1165" s="3" t="s">
        <v>643</v>
      </c>
      <c r="C1165" s="3" t="s">
        <v>1063</v>
      </c>
      <c r="M1165" s="23"/>
      <c r="N1165" s="23"/>
      <c r="O1165" s="23"/>
    </row>
    <row r="1166" customFormat="false" ht="48" hidden="false" customHeight="true" outlineLevel="0" collapsed="false">
      <c r="C1166" s="26" t="s">
        <v>1064</v>
      </c>
      <c r="M1166" s="23"/>
      <c r="N1166" s="23"/>
      <c r="O1166" s="23"/>
    </row>
    <row r="1167" customFormat="false" ht="15" hidden="false" customHeight="true" outlineLevel="0" collapsed="false">
      <c r="C1167" s="27" t="s">
        <v>998</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1032</v>
      </c>
    </row>
    <row r="1169" customFormat="false" ht="15" hidden="false" customHeight="true" outlineLevel="0" collapsed="false">
      <c r="A1169" s="3" t="s">
        <v>1065</v>
      </c>
      <c r="B1169" s="3" t="s">
        <v>643</v>
      </c>
      <c r="C1169" s="3" t="s">
        <v>1066</v>
      </c>
      <c r="M1169" s="23"/>
      <c r="N1169" s="23"/>
      <c r="O1169" s="23"/>
    </row>
    <row r="1170" customFormat="false" ht="72" hidden="false" customHeight="true" outlineLevel="0" collapsed="false">
      <c r="C1170" s="26" t="s">
        <v>1067</v>
      </c>
      <c r="M1170" s="23"/>
      <c r="N1170" s="23"/>
      <c r="O1170" s="23"/>
    </row>
    <row r="1171" customFormat="false" ht="15" hidden="false" customHeight="true" outlineLevel="0" collapsed="false">
      <c r="C1171" s="27" t="s">
        <v>998</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1032</v>
      </c>
    </row>
    <row r="1173" customFormat="false" ht="15" hidden="false" customHeight="true" outlineLevel="0" collapsed="false">
      <c r="A1173" s="3" t="s">
        <v>1068</v>
      </c>
      <c r="B1173" s="3" t="s">
        <v>643</v>
      </c>
      <c r="C1173" s="3" t="s">
        <v>1069</v>
      </c>
      <c r="M1173" s="23"/>
      <c r="N1173" s="23"/>
      <c r="O1173" s="23"/>
    </row>
    <row r="1174" customFormat="false" ht="120" hidden="false" customHeight="true" outlineLevel="0" collapsed="false">
      <c r="C1174" s="26" t="s">
        <v>1070</v>
      </c>
      <c r="M1174" s="23"/>
      <c r="N1174" s="23"/>
      <c r="O1174" s="23"/>
    </row>
    <row r="1175" customFormat="false" ht="15" hidden="false" customHeight="true" outlineLevel="0" collapsed="false">
      <c r="C1175" s="27" t="s">
        <v>998</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1032</v>
      </c>
    </row>
    <row r="1177" customFormat="false" ht="15" hidden="false" customHeight="true" outlineLevel="0" collapsed="false">
      <c r="A1177" s="3" t="s">
        <v>1071</v>
      </c>
      <c r="B1177" s="3" t="s">
        <v>643</v>
      </c>
      <c r="C1177" s="3" t="s">
        <v>1072</v>
      </c>
      <c r="M1177" s="23"/>
      <c r="N1177" s="23"/>
      <c r="O1177" s="23"/>
    </row>
    <row r="1178" customFormat="false" ht="72" hidden="false" customHeight="true" outlineLevel="0" collapsed="false">
      <c r="C1178" s="26" t="s">
        <v>1073</v>
      </c>
      <c r="M1178" s="23"/>
      <c r="N1178" s="23"/>
      <c r="O1178" s="23"/>
    </row>
    <row r="1179" customFormat="false" ht="15" hidden="false" customHeight="true" outlineLevel="0" collapsed="false">
      <c r="C1179" s="27" t="s">
        <v>998</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1032</v>
      </c>
    </row>
    <row r="1181" customFormat="false" ht="15" hidden="false" customHeight="true" outlineLevel="0" collapsed="false">
      <c r="A1181" s="3" t="s">
        <v>1074</v>
      </c>
      <c r="B1181" s="3" t="s">
        <v>643</v>
      </c>
      <c r="C1181" s="3" t="s">
        <v>1075</v>
      </c>
      <c r="M1181" s="23"/>
      <c r="N1181" s="23"/>
      <c r="O1181" s="23"/>
    </row>
    <row r="1182" customFormat="false" ht="60" hidden="false" customHeight="true" outlineLevel="0" collapsed="false">
      <c r="C1182" s="26" t="s">
        <v>1076</v>
      </c>
      <c r="M1182" s="23"/>
      <c r="N1182" s="23"/>
      <c r="O1182" s="23"/>
    </row>
    <row r="1183" customFormat="false" ht="15" hidden="false" customHeight="true" outlineLevel="0" collapsed="false">
      <c r="C1183" s="27" t="s">
        <v>998</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1032</v>
      </c>
    </row>
    <row r="1185" customFormat="false" ht="15" hidden="false" customHeight="true" outlineLevel="0" collapsed="false">
      <c r="A1185" s="3" t="s">
        <v>1077</v>
      </c>
      <c r="B1185" s="3" t="s">
        <v>650</v>
      </c>
      <c r="C1185" s="3" t="s">
        <v>1078</v>
      </c>
      <c r="M1185" s="23"/>
      <c r="N1185" s="23"/>
      <c r="O1185" s="23"/>
    </row>
    <row r="1186" customFormat="false" ht="72" hidden="false" customHeight="true" outlineLevel="0" collapsed="false">
      <c r="C1186" s="26" t="s">
        <v>1079</v>
      </c>
      <c r="M1186" s="23"/>
      <c r="N1186" s="23"/>
      <c r="O1186" s="23"/>
    </row>
    <row r="1187" customFormat="false" ht="15" hidden="false" customHeight="true" outlineLevel="0" collapsed="false">
      <c r="C1187" s="27" t="s">
        <v>998</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1032</v>
      </c>
    </row>
    <row r="1189" customFormat="false" ht="15" hidden="false" customHeight="true" outlineLevel="0" collapsed="false">
      <c r="A1189" s="3" t="s">
        <v>1080</v>
      </c>
      <c r="B1189" s="3" t="s">
        <v>643</v>
      </c>
      <c r="C1189" s="3" t="s">
        <v>1081</v>
      </c>
      <c r="M1189" s="23"/>
      <c r="N1189" s="23"/>
      <c r="O1189" s="23"/>
    </row>
    <row r="1190" customFormat="false" ht="72" hidden="false" customHeight="true" outlineLevel="0" collapsed="false">
      <c r="C1190" s="26" t="s">
        <v>1082</v>
      </c>
      <c r="M1190" s="23"/>
      <c r="N1190" s="23"/>
      <c r="O1190" s="23"/>
    </row>
    <row r="1191" customFormat="false" ht="15" hidden="false" customHeight="true" outlineLevel="0" collapsed="false">
      <c r="C1191" s="27" t="s">
        <v>998</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1032</v>
      </c>
    </row>
    <row r="1193" customFormat="false" ht="15" hidden="false" customHeight="true" outlineLevel="0" collapsed="false">
      <c r="A1193" s="3" t="s">
        <v>1083</v>
      </c>
      <c r="C1193" s="3" t="s">
        <v>1084</v>
      </c>
      <c r="M1193" s="23" t="s">
        <v>291</v>
      </c>
      <c r="N1193" s="23" t="s">
        <v>75</v>
      </c>
      <c r="O1193" s="23" t="s">
        <v>1083</v>
      </c>
    </row>
    <row r="1194" customFormat="false" ht="15" hidden="false" customHeight="true" outlineLevel="0" collapsed="false">
      <c r="A1194" s="3" t="s">
        <v>1085</v>
      </c>
      <c r="B1194" s="3" t="s">
        <v>643</v>
      </c>
      <c r="C1194" s="3" t="s">
        <v>1086</v>
      </c>
      <c r="M1194" s="23"/>
      <c r="N1194" s="23"/>
      <c r="O1194" s="23"/>
    </row>
    <row r="1195" customFormat="false" ht="60" hidden="false" customHeight="true" outlineLevel="0" collapsed="false">
      <c r="C1195" s="26" t="s">
        <v>1087</v>
      </c>
      <c r="M1195" s="23"/>
      <c r="N1195" s="23"/>
      <c r="O1195" s="23"/>
    </row>
    <row r="1196" customFormat="false" ht="15" hidden="false" customHeight="true" outlineLevel="0" collapsed="false">
      <c r="C1196" s="27" t="s">
        <v>998</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1083</v>
      </c>
    </row>
    <row r="1198" customFormat="false" ht="15" hidden="false" customHeight="true" outlineLevel="0" collapsed="false">
      <c r="A1198" s="3" t="s">
        <v>1088</v>
      </c>
      <c r="B1198" s="3" t="s">
        <v>643</v>
      </c>
      <c r="C1198" s="3" t="s">
        <v>1089</v>
      </c>
      <c r="M1198" s="23"/>
      <c r="N1198" s="23"/>
      <c r="O1198" s="23"/>
    </row>
    <row r="1199" customFormat="false" ht="60" hidden="false" customHeight="true" outlineLevel="0" collapsed="false">
      <c r="C1199" s="26" t="s">
        <v>1090</v>
      </c>
      <c r="M1199" s="23"/>
      <c r="N1199" s="23"/>
      <c r="O1199" s="23"/>
    </row>
    <row r="1200" customFormat="false" ht="15" hidden="false" customHeight="true" outlineLevel="0" collapsed="false">
      <c r="C1200" s="27" t="s">
        <v>998</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1083</v>
      </c>
    </row>
    <row r="1202" customFormat="false" ht="15" hidden="false" customHeight="true" outlineLevel="0" collapsed="false">
      <c r="A1202" s="3" t="s">
        <v>1091</v>
      </c>
      <c r="C1202" s="3" t="s">
        <v>1092</v>
      </c>
      <c r="M1202" s="23" t="s">
        <v>291</v>
      </c>
      <c r="N1202" s="23" t="s">
        <v>75</v>
      </c>
      <c r="O1202" s="23" t="s">
        <v>1091</v>
      </c>
    </row>
    <row r="1203" customFormat="false" ht="15" hidden="false" customHeight="true" outlineLevel="0" collapsed="false">
      <c r="A1203" s="3" t="s">
        <v>1093</v>
      </c>
      <c r="B1203" s="3" t="s">
        <v>103</v>
      </c>
      <c r="C1203" s="3" t="s">
        <v>1094</v>
      </c>
      <c r="M1203" s="23"/>
      <c r="N1203" s="23"/>
      <c r="O1203" s="23"/>
    </row>
    <row r="1204" customFormat="false" ht="36" hidden="false" customHeight="true" outlineLevel="0" collapsed="false">
      <c r="C1204" s="26" t="s">
        <v>1095</v>
      </c>
      <c r="M1204" s="23"/>
      <c r="N1204" s="23"/>
      <c r="O1204" s="23"/>
    </row>
    <row r="1205" customFormat="false" ht="15" hidden="false" customHeight="true" outlineLevel="0" collapsed="false">
      <c r="C1205" s="27" t="s">
        <v>998</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1091</v>
      </c>
    </row>
    <row r="1207" customFormat="false" ht="15" hidden="false" customHeight="true" outlineLevel="0" collapsed="false">
      <c r="A1207" s="3" t="s">
        <v>1096</v>
      </c>
      <c r="B1207" s="3" t="s">
        <v>103</v>
      </c>
      <c r="C1207" s="3" t="s">
        <v>1097</v>
      </c>
      <c r="M1207" s="23"/>
      <c r="N1207" s="23"/>
      <c r="O1207" s="23"/>
    </row>
    <row r="1208" customFormat="false" ht="48" hidden="false" customHeight="true" outlineLevel="0" collapsed="false">
      <c r="C1208" s="26" t="s">
        <v>1098</v>
      </c>
      <c r="M1208" s="23"/>
      <c r="N1208" s="23"/>
      <c r="O1208" s="23"/>
    </row>
    <row r="1209" customFormat="false" ht="15" hidden="false" customHeight="true" outlineLevel="0" collapsed="false">
      <c r="C1209" s="27" t="s">
        <v>998</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1091</v>
      </c>
    </row>
    <row r="1211" customFormat="false" ht="15" hidden="false" customHeight="true" outlineLevel="0" collapsed="false">
      <c r="A1211" s="3" t="s">
        <v>1099</v>
      </c>
      <c r="B1211" s="3" t="s">
        <v>103</v>
      </c>
      <c r="C1211" s="3" t="s">
        <v>1100</v>
      </c>
      <c r="M1211" s="23"/>
      <c r="N1211" s="23"/>
      <c r="O1211" s="23"/>
    </row>
    <row r="1212" customFormat="false" ht="36" hidden="false" customHeight="true" outlineLevel="0" collapsed="false">
      <c r="C1212" s="26" t="s">
        <v>1101</v>
      </c>
      <c r="M1212" s="23"/>
      <c r="N1212" s="23"/>
      <c r="O1212" s="23"/>
    </row>
    <row r="1213" customFormat="false" ht="15" hidden="false" customHeight="true" outlineLevel="0" collapsed="false">
      <c r="C1213" s="27" t="s">
        <v>998</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1091</v>
      </c>
    </row>
    <row r="1215" customFormat="false" ht="15" hidden="false" customHeight="true" outlineLevel="0" collapsed="false">
      <c r="A1215" s="3" t="s">
        <v>1102</v>
      </c>
      <c r="B1215" s="3" t="s">
        <v>103</v>
      </c>
      <c r="C1215" s="3" t="s">
        <v>1103</v>
      </c>
      <c r="M1215" s="23"/>
      <c r="N1215" s="23"/>
      <c r="O1215" s="23"/>
    </row>
    <row r="1216" customFormat="false" ht="60" hidden="false" customHeight="true" outlineLevel="0" collapsed="false">
      <c r="C1216" s="26" t="s">
        <v>1104</v>
      </c>
      <c r="M1216" s="23"/>
      <c r="N1216" s="23"/>
      <c r="O1216" s="23"/>
    </row>
    <row r="1217" customFormat="false" ht="15" hidden="false" customHeight="true" outlineLevel="0" collapsed="false">
      <c r="C1217" s="27" t="s">
        <v>998</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1091</v>
      </c>
    </row>
    <row r="1219" customFormat="false" ht="15" hidden="false" customHeight="true" outlineLevel="0" collapsed="false">
      <c r="A1219" s="3" t="s">
        <v>1105</v>
      </c>
      <c r="B1219" s="3" t="s">
        <v>140</v>
      </c>
      <c r="C1219" s="3" t="s">
        <v>1106</v>
      </c>
      <c r="M1219" s="23"/>
      <c r="N1219" s="23"/>
      <c r="O1219" s="23"/>
    </row>
    <row r="1220" customFormat="false" ht="48" hidden="false" customHeight="true" outlineLevel="0" collapsed="false">
      <c r="C1220" s="26" t="s">
        <v>1107</v>
      </c>
      <c r="M1220" s="23"/>
      <c r="N1220" s="23"/>
      <c r="O1220" s="23"/>
    </row>
    <row r="1221" customFormat="false" ht="15" hidden="false" customHeight="true" outlineLevel="0" collapsed="false">
      <c r="C1221" s="27" t="s">
        <v>998</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1091</v>
      </c>
    </row>
    <row r="1223" customFormat="false" ht="15" hidden="false" customHeight="true" outlineLevel="0" collapsed="false">
      <c r="A1223" s="3" t="s">
        <v>1108</v>
      </c>
      <c r="B1223" s="3" t="s">
        <v>103</v>
      </c>
      <c r="C1223" s="3" t="s">
        <v>1109</v>
      </c>
      <c r="M1223" s="23"/>
      <c r="N1223" s="23"/>
      <c r="O1223" s="23"/>
    </row>
    <row r="1224" customFormat="false" ht="36" hidden="false" customHeight="true" outlineLevel="0" collapsed="false">
      <c r="C1224" s="26" t="s">
        <v>1110</v>
      </c>
      <c r="M1224" s="23"/>
      <c r="N1224" s="23"/>
      <c r="O1224" s="23"/>
    </row>
    <row r="1225" customFormat="false" ht="15" hidden="false" customHeight="true" outlineLevel="0" collapsed="false">
      <c r="C1225" s="27" t="s">
        <v>998</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1091</v>
      </c>
    </row>
    <row r="1227" customFormat="false" ht="15" hidden="false" customHeight="true" outlineLevel="0" collapsed="false">
      <c r="A1227" s="3" t="s">
        <v>1111</v>
      </c>
      <c r="B1227" s="3" t="s">
        <v>103</v>
      </c>
      <c r="C1227" s="3" t="s">
        <v>1112</v>
      </c>
      <c r="M1227" s="23"/>
      <c r="N1227" s="23"/>
      <c r="O1227" s="23"/>
    </row>
    <row r="1228" customFormat="false" ht="36" hidden="false" customHeight="true" outlineLevel="0" collapsed="false">
      <c r="C1228" s="26" t="s">
        <v>1113</v>
      </c>
      <c r="M1228" s="23"/>
      <c r="N1228" s="23"/>
      <c r="O1228" s="23"/>
    </row>
    <row r="1229" customFormat="false" ht="15" hidden="false" customHeight="true" outlineLevel="0" collapsed="false">
      <c r="C1229" s="27" t="s">
        <v>998</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1091</v>
      </c>
    </row>
    <row r="1231" customFormat="false" ht="15" hidden="false" customHeight="true" outlineLevel="0" collapsed="false">
      <c r="A1231" s="3" t="s">
        <v>1114</v>
      </c>
      <c r="B1231" s="3" t="s">
        <v>103</v>
      </c>
      <c r="C1231" s="3" t="s">
        <v>1115</v>
      </c>
      <c r="M1231" s="23"/>
      <c r="N1231" s="23"/>
      <c r="O1231" s="23"/>
    </row>
    <row r="1232" customFormat="false" ht="36" hidden="false" customHeight="true" outlineLevel="0" collapsed="false">
      <c r="C1232" s="26" t="s">
        <v>1116</v>
      </c>
      <c r="M1232" s="23"/>
      <c r="N1232" s="23"/>
      <c r="O1232" s="23"/>
    </row>
    <row r="1233" customFormat="false" ht="15" hidden="false" customHeight="true" outlineLevel="0" collapsed="false">
      <c r="C1233" s="27" t="s">
        <v>998</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1091</v>
      </c>
    </row>
    <row r="1235" customFormat="false" ht="15" hidden="false" customHeight="true" outlineLevel="0" collapsed="false">
      <c r="A1235" s="3" t="s">
        <v>1117</v>
      </c>
      <c r="B1235" s="3" t="s">
        <v>103</v>
      </c>
      <c r="C1235" s="3" t="s">
        <v>1118</v>
      </c>
      <c r="M1235" s="23"/>
      <c r="N1235" s="23"/>
      <c r="O1235" s="23"/>
    </row>
    <row r="1236" customFormat="false" ht="48" hidden="false" customHeight="true" outlineLevel="0" collapsed="false">
      <c r="C1236" s="26" t="s">
        <v>1119</v>
      </c>
      <c r="M1236" s="23"/>
      <c r="N1236" s="23"/>
      <c r="O1236" s="23"/>
    </row>
    <row r="1237" customFormat="false" ht="15" hidden="false" customHeight="true" outlineLevel="0" collapsed="false">
      <c r="C1237" s="27" t="s">
        <v>998</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1091</v>
      </c>
    </row>
    <row r="1239" customFormat="false" ht="15" hidden="false" customHeight="true" outlineLevel="0" collapsed="false">
      <c r="A1239" s="3" t="s">
        <v>1120</v>
      </c>
      <c r="B1239" s="3" t="s">
        <v>103</v>
      </c>
      <c r="C1239" s="3" t="s">
        <v>1121</v>
      </c>
      <c r="M1239" s="23"/>
      <c r="N1239" s="23"/>
      <c r="O1239" s="23"/>
    </row>
    <row r="1240" customFormat="false" ht="48" hidden="false" customHeight="true" outlineLevel="0" collapsed="false">
      <c r="C1240" s="26" t="s">
        <v>1122</v>
      </c>
      <c r="M1240" s="23"/>
      <c r="N1240" s="23"/>
      <c r="O1240" s="23"/>
    </row>
    <row r="1241" customFormat="false" ht="15" hidden="false" customHeight="true" outlineLevel="0" collapsed="false">
      <c r="C1241" s="27" t="s">
        <v>998</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1091</v>
      </c>
    </row>
    <row r="1243" customFormat="false" ht="15" hidden="false" customHeight="true" outlineLevel="0" collapsed="false">
      <c r="A1243" s="3" t="s">
        <v>1123</v>
      </c>
      <c r="B1243" s="3" t="s">
        <v>103</v>
      </c>
      <c r="C1243" s="3" t="s">
        <v>1124</v>
      </c>
      <c r="M1243" s="23"/>
      <c r="N1243" s="23"/>
      <c r="O1243" s="23"/>
    </row>
    <row r="1244" customFormat="false" ht="36" hidden="false" customHeight="true" outlineLevel="0" collapsed="false">
      <c r="C1244" s="26" t="s">
        <v>1125</v>
      </c>
      <c r="M1244" s="23"/>
      <c r="N1244" s="23"/>
      <c r="O1244" s="23"/>
    </row>
    <row r="1245" customFormat="false" ht="15" hidden="false" customHeight="true" outlineLevel="0" collapsed="false">
      <c r="C1245" s="27" t="s">
        <v>998</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1091</v>
      </c>
    </row>
    <row r="1247" customFormat="false" ht="15" hidden="false" customHeight="true" outlineLevel="0" collapsed="false">
      <c r="A1247" s="3" t="s">
        <v>1126</v>
      </c>
      <c r="B1247" s="3" t="s">
        <v>103</v>
      </c>
      <c r="C1247" s="3" t="s">
        <v>1127</v>
      </c>
      <c r="M1247" s="23"/>
      <c r="N1247" s="23"/>
      <c r="O1247" s="23"/>
    </row>
    <row r="1248" customFormat="false" ht="36" hidden="false" customHeight="true" outlineLevel="0" collapsed="false">
      <c r="C1248" s="26" t="s">
        <v>1128</v>
      </c>
      <c r="M1248" s="23"/>
      <c r="N1248" s="23"/>
      <c r="O1248" s="23"/>
    </row>
    <row r="1249" customFormat="false" ht="15" hidden="false" customHeight="true" outlineLevel="0" collapsed="false">
      <c r="C1249" s="27" t="s">
        <v>998</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1091</v>
      </c>
    </row>
    <row r="1251" customFormat="false" ht="15" hidden="false" customHeight="true" outlineLevel="0" collapsed="false">
      <c r="A1251" s="3" t="s">
        <v>1129</v>
      </c>
      <c r="B1251" s="3" t="s">
        <v>103</v>
      </c>
      <c r="C1251" s="3" t="s">
        <v>1130</v>
      </c>
      <c r="M1251" s="23"/>
      <c r="N1251" s="23"/>
      <c r="O1251" s="23"/>
    </row>
    <row r="1252" customFormat="false" ht="36" hidden="false" customHeight="true" outlineLevel="0" collapsed="false">
      <c r="C1252" s="26" t="s">
        <v>1131</v>
      </c>
      <c r="M1252" s="23"/>
      <c r="N1252" s="23"/>
      <c r="O1252" s="23"/>
    </row>
    <row r="1253" customFormat="false" ht="15" hidden="false" customHeight="true" outlineLevel="0" collapsed="false">
      <c r="C1253" s="27" t="s">
        <v>998</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1091</v>
      </c>
    </row>
    <row r="1255" customFormat="false" ht="15" hidden="false" customHeight="true" outlineLevel="0" collapsed="false">
      <c r="A1255" s="3" t="s">
        <v>1132</v>
      </c>
      <c r="B1255" s="3" t="s">
        <v>103</v>
      </c>
      <c r="C1255" s="3" t="s">
        <v>1133</v>
      </c>
      <c r="M1255" s="23"/>
      <c r="N1255" s="23"/>
      <c r="O1255" s="23"/>
    </row>
    <row r="1256" customFormat="false" ht="48" hidden="false" customHeight="true" outlineLevel="0" collapsed="false">
      <c r="C1256" s="26" t="s">
        <v>1134</v>
      </c>
      <c r="M1256" s="23"/>
      <c r="N1256" s="23"/>
      <c r="O1256" s="23"/>
    </row>
    <row r="1257" customFormat="false" ht="15" hidden="false" customHeight="true" outlineLevel="0" collapsed="false">
      <c r="C1257" s="27" t="s">
        <v>998</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1091</v>
      </c>
    </row>
    <row r="1259" customFormat="false" ht="15" hidden="false" customHeight="true" outlineLevel="0" collapsed="false">
      <c r="A1259" s="3" t="s">
        <v>1135</v>
      </c>
      <c r="B1259" s="3" t="s">
        <v>103</v>
      </c>
      <c r="C1259" s="3" t="s">
        <v>1136</v>
      </c>
      <c r="M1259" s="23"/>
      <c r="N1259" s="23"/>
      <c r="O1259" s="23"/>
    </row>
    <row r="1260" customFormat="false" ht="36" hidden="false" customHeight="true" outlineLevel="0" collapsed="false">
      <c r="C1260" s="26" t="s">
        <v>1137</v>
      </c>
      <c r="M1260" s="23"/>
      <c r="N1260" s="23"/>
      <c r="O1260" s="23"/>
    </row>
    <row r="1261" customFormat="false" ht="15" hidden="false" customHeight="true" outlineLevel="0" collapsed="false">
      <c r="C1261" s="27" t="s">
        <v>998</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1091</v>
      </c>
    </row>
    <row r="1263" customFormat="false" ht="15" hidden="false" customHeight="true" outlineLevel="0" collapsed="false">
      <c r="A1263" s="3" t="s">
        <v>1138</v>
      </c>
      <c r="B1263" s="3" t="s">
        <v>103</v>
      </c>
      <c r="C1263" s="3" t="s">
        <v>1139</v>
      </c>
      <c r="M1263" s="23"/>
      <c r="N1263" s="23"/>
      <c r="O1263" s="23"/>
    </row>
    <row r="1264" customFormat="false" ht="36" hidden="false" customHeight="true" outlineLevel="0" collapsed="false">
      <c r="C1264" s="26" t="s">
        <v>1140</v>
      </c>
      <c r="M1264" s="23"/>
      <c r="N1264" s="23"/>
      <c r="O1264" s="23"/>
    </row>
    <row r="1265" customFormat="false" ht="15" hidden="false" customHeight="true" outlineLevel="0" collapsed="false">
      <c r="C1265" s="27" t="s">
        <v>998</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1091</v>
      </c>
    </row>
    <row r="1267" customFormat="false" ht="15" hidden="false" customHeight="true" outlineLevel="0" collapsed="false">
      <c r="A1267" s="3" t="s">
        <v>1141</v>
      </c>
      <c r="B1267" s="3" t="s">
        <v>103</v>
      </c>
      <c r="C1267" s="3" t="s">
        <v>1142</v>
      </c>
      <c r="M1267" s="23"/>
      <c r="N1267" s="23"/>
      <c r="O1267" s="23"/>
    </row>
    <row r="1268" customFormat="false" ht="36" hidden="false" customHeight="true" outlineLevel="0" collapsed="false">
      <c r="C1268" s="26" t="s">
        <v>1143</v>
      </c>
      <c r="M1268" s="23"/>
      <c r="N1268" s="23"/>
      <c r="O1268" s="23"/>
    </row>
    <row r="1269" customFormat="false" ht="15" hidden="false" customHeight="true" outlineLevel="0" collapsed="false">
      <c r="C1269" s="27" t="s">
        <v>998</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1091</v>
      </c>
    </row>
    <row r="1271" customFormat="false" ht="15" hidden="false" customHeight="true" outlineLevel="0" collapsed="false">
      <c r="A1271" s="3" t="s">
        <v>1144</v>
      </c>
      <c r="B1271" s="3" t="s">
        <v>103</v>
      </c>
      <c r="C1271" s="3" t="s">
        <v>1145</v>
      </c>
      <c r="M1271" s="23"/>
      <c r="N1271" s="23"/>
      <c r="O1271" s="23"/>
    </row>
    <row r="1272" customFormat="false" ht="36" hidden="false" customHeight="true" outlineLevel="0" collapsed="false">
      <c r="C1272" s="26" t="s">
        <v>1146</v>
      </c>
      <c r="M1272" s="23"/>
      <c r="N1272" s="23"/>
      <c r="O1272" s="23"/>
    </row>
    <row r="1273" customFormat="false" ht="15" hidden="false" customHeight="true" outlineLevel="0" collapsed="false">
      <c r="C1273" s="27" t="s">
        <v>998</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1091</v>
      </c>
    </row>
    <row r="1275" customFormat="false" ht="15" hidden="false" customHeight="true" outlineLevel="0" collapsed="false">
      <c r="A1275" s="3" t="s">
        <v>1147</v>
      </c>
      <c r="B1275" s="3" t="s">
        <v>103</v>
      </c>
      <c r="C1275" s="3" t="s">
        <v>1148</v>
      </c>
      <c r="M1275" s="23"/>
      <c r="N1275" s="23"/>
      <c r="O1275" s="23"/>
    </row>
    <row r="1276" customFormat="false" ht="36" hidden="false" customHeight="true" outlineLevel="0" collapsed="false">
      <c r="C1276" s="26" t="s">
        <v>1149</v>
      </c>
      <c r="M1276" s="23"/>
      <c r="N1276" s="23"/>
      <c r="O1276" s="23"/>
    </row>
    <row r="1277" customFormat="false" ht="15" hidden="false" customHeight="true" outlineLevel="0" collapsed="false">
      <c r="C1277" s="27" t="s">
        <v>998</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1091</v>
      </c>
    </row>
    <row r="1279" customFormat="false" ht="15" hidden="false" customHeight="true" outlineLevel="0" collapsed="false">
      <c r="A1279" s="3" t="s">
        <v>1150</v>
      </c>
      <c r="B1279" s="3" t="s">
        <v>103</v>
      </c>
      <c r="C1279" s="3" t="s">
        <v>1151</v>
      </c>
      <c r="M1279" s="23"/>
      <c r="N1279" s="23"/>
      <c r="O1279" s="23"/>
    </row>
    <row r="1280" customFormat="false" ht="36" hidden="false" customHeight="true" outlineLevel="0" collapsed="false">
      <c r="C1280" s="26" t="s">
        <v>1152</v>
      </c>
      <c r="M1280" s="23"/>
      <c r="N1280" s="23"/>
      <c r="O1280" s="23"/>
    </row>
    <row r="1281" customFormat="false" ht="15" hidden="false" customHeight="true" outlineLevel="0" collapsed="false">
      <c r="C1281" s="27" t="s">
        <v>998</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1091</v>
      </c>
    </row>
    <row r="1283" customFormat="false" ht="15" hidden="false" customHeight="true" outlineLevel="0" collapsed="false">
      <c r="A1283" s="3" t="s">
        <v>1153</v>
      </c>
      <c r="B1283" s="3" t="s">
        <v>103</v>
      </c>
      <c r="C1283" s="3" t="s">
        <v>1154</v>
      </c>
      <c r="M1283" s="23"/>
      <c r="N1283" s="23"/>
      <c r="O1283" s="23"/>
    </row>
    <row r="1284" customFormat="false" ht="36" hidden="false" customHeight="true" outlineLevel="0" collapsed="false">
      <c r="C1284" s="26" t="s">
        <v>1155</v>
      </c>
      <c r="M1284" s="23"/>
      <c r="N1284" s="23"/>
      <c r="O1284" s="23"/>
    </row>
    <row r="1285" customFormat="false" ht="15" hidden="false" customHeight="true" outlineLevel="0" collapsed="false">
      <c r="C1285" s="27" t="s">
        <v>998</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1091</v>
      </c>
    </row>
    <row r="1287" customFormat="false" ht="15" hidden="false" customHeight="true" outlineLevel="0" collapsed="false">
      <c r="A1287" s="3" t="s">
        <v>1156</v>
      </c>
      <c r="B1287" s="3" t="s">
        <v>103</v>
      </c>
      <c r="C1287" s="3" t="s">
        <v>1157</v>
      </c>
      <c r="M1287" s="23"/>
      <c r="N1287" s="23"/>
      <c r="O1287" s="23"/>
    </row>
    <row r="1288" customFormat="false" ht="48" hidden="false" customHeight="true" outlineLevel="0" collapsed="false">
      <c r="C1288" s="26" t="s">
        <v>1158</v>
      </c>
      <c r="M1288" s="23"/>
      <c r="N1288" s="23"/>
      <c r="O1288" s="23"/>
    </row>
    <row r="1289" customFormat="false" ht="15" hidden="false" customHeight="true" outlineLevel="0" collapsed="false">
      <c r="C1289" s="27" t="s">
        <v>998</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1091</v>
      </c>
    </row>
    <row r="1291" customFormat="false" ht="15" hidden="false" customHeight="true" outlineLevel="0" collapsed="false">
      <c r="A1291" s="3" t="s">
        <v>1159</v>
      </c>
      <c r="B1291" s="3" t="s">
        <v>103</v>
      </c>
      <c r="C1291" s="3" t="s">
        <v>1160</v>
      </c>
      <c r="M1291" s="23"/>
      <c r="N1291" s="23"/>
      <c r="O1291" s="23"/>
    </row>
    <row r="1292" customFormat="false" ht="36" hidden="false" customHeight="true" outlineLevel="0" collapsed="false">
      <c r="C1292" s="26" t="s">
        <v>1161</v>
      </c>
      <c r="M1292" s="23"/>
      <c r="N1292" s="23"/>
      <c r="O1292" s="23"/>
    </row>
    <row r="1293" customFormat="false" ht="15" hidden="false" customHeight="true" outlineLevel="0" collapsed="false">
      <c r="C1293" s="27" t="s">
        <v>998</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1091</v>
      </c>
    </row>
    <row r="1295" customFormat="false" ht="15" hidden="false" customHeight="true" outlineLevel="0" collapsed="false">
      <c r="A1295" s="3" t="s">
        <v>1162</v>
      </c>
      <c r="B1295" s="3" t="s">
        <v>103</v>
      </c>
      <c r="C1295" s="3" t="s">
        <v>1163</v>
      </c>
      <c r="M1295" s="23"/>
      <c r="N1295" s="23"/>
      <c r="O1295" s="23"/>
    </row>
    <row r="1296" customFormat="false" ht="36" hidden="false" customHeight="true" outlineLevel="0" collapsed="false">
      <c r="C1296" s="26" t="s">
        <v>1164</v>
      </c>
      <c r="M1296" s="23"/>
      <c r="N1296" s="23"/>
      <c r="O1296" s="23"/>
    </row>
    <row r="1297" customFormat="false" ht="15" hidden="false" customHeight="true" outlineLevel="0" collapsed="false">
      <c r="C1297" s="27" t="s">
        <v>998</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1091</v>
      </c>
    </row>
    <row r="1299" customFormat="false" ht="15" hidden="false" customHeight="true" outlineLevel="0" collapsed="false">
      <c r="A1299" s="3" t="s">
        <v>1165</v>
      </c>
      <c r="B1299" s="3" t="s">
        <v>103</v>
      </c>
      <c r="C1299" s="3" t="s">
        <v>1166</v>
      </c>
      <c r="M1299" s="23"/>
      <c r="N1299" s="23"/>
      <c r="O1299" s="23"/>
    </row>
    <row r="1300" customFormat="false" ht="36" hidden="false" customHeight="true" outlineLevel="0" collapsed="false">
      <c r="C1300" s="26" t="s">
        <v>1167</v>
      </c>
      <c r="M1300" s="23"/>
      <c r="N1300" s="23"/>
      <c r="O1300" s="23"/>
    </row>
    <row r="1301" customFormat="false" ht="15" hidden="false" customHeight="true" outlineLevel="0" collapsed="false">
      <c r="C1301" s="27" t="s">
        <v>998</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1091</v>
      </c>
    </row>
    <row r="1303" customFormat="false" ht="15" hidden="false" customHeight="true" outlineLevel="0" collapsed="false">
      <c r="A1303" s="3" t="s">
        <v>1168</v>
      </c>
      <c r="B1303" s="3" t="s">
        <v>103</v>
      </c>
      <c r="C1303" s="3" t="s">
        <v>1169</v>
      </c>
      <c r="M1303" s="23"/>
      <c r="N1303" s="23"/>
      <c r="O1303" s="23"/>
    </row>
    <row r="1304" customFormat="false" ht="36" hidden="false" customHeight="true" outlineLevel="0" collapsed="false">
      <c r="C1304" s="26" t="s">
        <v>1170</v>
      </c>
      <c r="M1304" s="23"/>
      <c r="N1304" s="23"/>
      <c r="O1304" s="23"/>
    </row>
    <row r="1305" customFormat="false" ht="15" hidden="false" customHeight="true" outlineLevel="0" collapsed="false">
      <c r="C1305" s="27" t="s">
        <v>998</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1091</v>
      </c>
    </row>
    <row r="1307" customFormat="false" ht="15" hidden="false" customHeight="true" outlineLevel="0" collapsed="false">
      <c r="A1307" s="3" t="s">
        <v>1171</v>
      </c>
      <c r="B1307" s="3" t="s">
        <v>103</v>
      </c>
      <c r="C1307" s="3" t="s">
        <v>1172</v>
      </c>
      <c r="M1307" s="23"/>
      <c r="N1307" s="23"/>
      <c r="O1307" s="23"/>
    </row>
    <row r="1308" customFormat="false" ht="36" hidden="false" customHeight="true" outlineLevel="0" collapsed="false">
      <c r="C1308" s="26" t="s">
        <v>1173</v>
      </c>
      <c r="M1308" s="23"/>
      <c r="N1308" s="23"/>
      <c r="O1308" s="23"/>
    </row>
    <row r="1309" customFormat="false" ht="15" hidden="false" customHeight="true" outlineLevel="0" collapsed="false">
      <c r="C1309" s="27" t="s">
        <v>998</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1091</v>
      </c>
    </row>
    <row r="1311" customFormat="false" ht="15" hidden="false" customHeight="true" outlineLevel="0" collapsed="false">
      <c r="A1311" s="3" t="s">
        <v>1174</v>
      </c>
      <c r="B1311" s="3" t="s">
        <v>103</v>
      </c>
      <c r="C1311" s="3" t="s">
        <v>1175</v>
      </c>
      <c r="M1311" s="23"/>
      <c r="N1311" s="23"/>
      <c r="O1311" s="23"/>
    </row>
    <row r="1312" customFormat="false" ht="36" hidden="false" customHeight="true" outlineLevel="0" collapsed="false">
      <c r="C1312" s="26" t="s">
        <v>1176</v>
      </c>
      <c r="M1312" s="23"/>
      <c r="N1312" s="23"/>
      <c r="O1312" s="23"/>
    </row>
    <row r="1313" customFormat="false" ht="15" hidden="false" customHeight="true" outlineLevel="0" collapsed="false">
      <c r="C1313" s="27" t="s">
        <v>998</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1091</v>
      </c>
    </row>
    <row r="1315" customFormat="false" ht="15" hidden="false" customHeight="true" outlineLevel="0" collapsed="false">
      <c r="A1315" s="3" t="s">
        <v>1177</v>
      </c>
      <c r="B1315" s="3" t="s">
        <v>103</v>
      </c>
      <c r="C1315" s="3" t="s">
        <v>1178</v>
      </c>
      <c r="M1315" s="23"/>
      <c r="N1315" s="23"/>
      <c r="O1315" s="23"/>
    </row>
    <row r="1316" customFormat="false" ht="36" hidden="false" customHeight="true" outlineLevel="0" collapsed="false">
      <c r="C1316" s="26" t="s">
        <v>1179</v>
      </c>
      <c r="M1316" s="23"/>
      <c r="N1316" s="23"/>
      <c r="O1316" s="23"/>
    </row>
    <row r="1317" customFormat="false" ht="15" hidden="false" customHeight="true" outlineLevel="0" collapsed="false">
      <c r="C1317" s="27" t="s">
        <v>998</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1091</v>
      </c>
    </row>
    <row r="1319" customFormat="false" ht="15" hidden="false" customHeight="true" outlineLevel="0" collapsed="false">
      <c r="A1319" s="3" t="s">
        <v>1180</v>
      </c>
      <c r="B1319" s="3" t="s">
        <v>103</v>
      </c>
      <c r="C1319" s="3" t="s">
        <v>1181</v>
      </c>
      <c r="M1319" s="23"/>
      <c r="N1319" s="23"/>
      <c r="O1319" s="23"/>
    </row>
    <row r="1320" customFormat="false" ht="36" hidden="false" customHeight="true" outlineLevel="0" collapsed="false">
      <c r="C1320" s="26" t="s">
        <v>1182</v>
      </c>
      <c r="M1320" s="23"/>
      <c r="N1320" s="23"/>
      <c r="O1320" s="23"/>
    </row>
    <row r="1321" customFormat="false" ht="15" hidden="false" customHeight="true" outlineLevel="0" collapsed="false">
      <c r="C1321" s="27" t="s">
        <v>998</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1091</v>
      </c>
    </row>
    <row r="1323" customFormat="false" ht="15" hidden="false" customHeight="true" outlineLevel="0" collapsed="false">
      <c r="A1323" s="3" t="s">
        <v>1183</v>
      </c>
      <c r="B1323" s="3" t="s">
        <v>103</v>
      </c>
      <c r="C1323" s="3" t="s">
        <v>1184</v>
      </c>
      <c r="M1323" s="23"/>
      <c r="N1323" s="23"/>
      <c r="O1323" s="23"/>
    </row>
    <row r="1324" customFormat="false" ht="36" hidden="false" customHeight="true" outlineLevel="0" collapsed="false">
      <c r="C1324" s="26" t="s">
        <v>1185</v>
      </c>
      <c r="M1324" s="23"/>
      <c r="N1324" s="23"/>
      <c r="O1324" s="23"/>
    </row>
    <row r="1325" customFormat="false" ht="15" hidden="false" customHeight="true" outlineLevel="0" collapsed="false">
      <c r="C1325" s="27" t="s">
        <v>998</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1091</v>
      </c>
    </row>
    <row r="1327" customFormat="false" ht="15" hidden="false" customHeight="true" outlineLevel="0" collapsed="false">
      <c r="A1327" s="3" t="s">
        <v>1186</v>
      </c>
      <c r="B1327" s="3" t="s">
        <v>103</v>
      </c>
      <c r="C1327" s="3" t="s">
        <v>1187</v>
      </c>
      <c r="M1327" s="23"/>
      <c r="N1327" s="23"/>
      <c r="O1327" s="23"/>
    </row>
    <row r="1328" customFormat="false" ht="36" hidden="false" customHeight="true" outlineLevel="0" collapsed="false">
      <c r="C1328" s="26" t="s">
        <v>1188</v>
      </c>
      <c r="M1328" s="23"/>
      <c r="N1328" s="23"/>
      <c r="O1328" s="23"/>
    </row>
    <row r="1329" customFormat="false" ht="15" hidden="false" customHeight="true" outlineLevel="0" collapsed="false">
      <c r="C1329" s="27" t="s">
        <v>998</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1091</v>
      </c>
    </row>
    <row r="1331" customFormat="false" ht="15" hidden="false" customHeight="true" outlineLevel="0" collapsed="false">
      <c r="A1331" s="3" t="s">
        <v>1189</v>
      </c>
      <c r="B1331" s="3" t="s">
        <v>103</v>
      </c>
      <c r="C1331" s="3" t="s">
        <v>1190</v>
      </c>
      <c r="M1331" s="23"/>
      <c r="N1331" s="23"/>
      <c r="O1331" s="23"/>
    </row>
    <row r="1332" customFormat="false" ht="36" hidden="false" customHeight="true" outlineLevel="0" collapsed="false">
      <c r="C1332" s="26" t="s">
        <v>1191</v>
      </c>
      <c r="M1332" s="23"/>
      <c r="N1332" s="23"/>
      <c r="O1332" s="23"/>
    </row>
    <row r="1333" customFormat="false" ht="15" hidden="false" customHeight="true" outlineLevel="0" collapsed="false">
      <c r="C1333" s="27" t="s">
        <v>998</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1091</v>
      </c>
    </row>
    <row r="1335" customFormat="false" ht="15" hidden="false" customHeight="true" outlineLevel="0" collapsed="false">
      <c r="A1335" s="3" t="s">
        <v>1192</v>
      </c>
      <c r="B1335" s="3" t="s">
        <v>103</v>
      </c>
      <c r="C1335" s="3" t="s">
        <v>1193</v>
      </c>
      <c r="M1335" s="23"/>
      <c r="N1335" s="23"/>
      <c r="O1335" s="23"/>
    </row>
    <row r="1336" customFormat="false" ht="36" hidden="false" customHeight="true" outlineLevel="0" collapsed="false">
      <c r="C1336" s="26" t="s">
        <v>1194</v>
      </c>
      <c r="M1336" s="23"/>
      <c r="N1336" s="23"/>
      <c r="O1336" s="23"/>
    </row>
    <row r="1337" customFormat="false" ht="15" hidden="false" customHeight="true" outlineLevel="0" collapsed="false">
      <c r="C1337" s="27" t="s">
        <v>998</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1091</v>
      </c>
    </row>
    <row r="1339" customFormat="false" ht="15" hidden="false" customHeight="true" outlineLevel="0" collapsed="false">
      <c r="A1339" s="3" t="s">
        <v>1195</v>
      </c>
      <c r="B1339" s="3" t="s">
        <v>103</v>
      </c>
      <c r="C1339" s="3" t="s">
        <v>1196</v>
      </c>
      <c r="M1339" s="23"/>
      <c r="N1339" s="23"/>
      <c r="O1339" s="23"/>
    </row>
    <row r="1340" customFormat="false" ht="36" hidden="false" customHeight="true" outlineLevel="0" collapsed="false">
      <c r="C1340" s="26" t="s">
        <v>1197</v>
      </c>
      <c r="M1340" s="23"/>
      <c r="N1340" s="23"/>
      <c r="O1340" s="23"/>
    </row>
    <row r="1341" customFormat="false" ht="15" hidden="false" customHeight="true" outlineLevel="0" collapsed="false">
      <c r="C1341" s="27" t="s">
        <v>998</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1091</v>
      </c>
    </row>
    <row r="1343" customFormat="false" ht="15" hidden="false" customHeight="true" outlineLevel="0" collapsed="false">
      <c r="A1343" s="3" t="s">
        <v>1198</v>
      </c>
      <c r="B1343" s="3" t="s">
        <v>103</v>
      </c>
      <c r="C1343" s="3" t="s">
        <v>1199</v>
      </c>
      <c r="M1343" s="23"/>
      <c r="N1343" s="23"/>
      <c r="O1343" s="23"/>
    </row>
    <row r="1344" customFormat="false" ht="36" hidden="false" customHeight="true" outlineLevel="0" collapsed="false">
      <c r="C1344" s="26" t="s">
        <v>1200</v>
      </c>
      <c r="M1344" s="23"/>
      <c r="N1344" s="23"/>
      <c r="O1344" s="23"/>
    </row>
    <row r="1345" customFormat="false" ht="15" hidden="false" customHeight="true" outlineLevel="0" collapsed="false">
      <c r="C1345" s="27" t="s">
        <v>998</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1091</v>
      </c>
    </row>
    <row r="1347" customFormat="false" ht="15" hidden="false" customHeight="true" outlineLevel="0" collapsed="false">
      <c r="A1347" s="3" t="s">
        <v>1201</v>
      </c>
      <c r="B1347" s="3" t="s">
        <v>103</v>
      </c>
      <c r="C1347" s="3" t="s">
        <v>1202</v>
      </c>
      <c r="M1347" s="23"/>
      <c r="N1347" s="23"/>
      <c r="O1347" s="23"/>
    </row>
    <row r="1348" customFormat="false" ht="36" hidden="false" customHeight="true" outlineLevel="0" collapsed="false">
      <c r="C1348" s="26" t="s">
        <v>1203</v>
      </c>
      <c r="M1348" s="23"/>
      <c r="N1348" s="23"/>
      <c r="O1348" s="23"/>
    </row>
    <row r="1349" customFormat="false" ht="15" hidden="false" customHeight="true" outlineLevel="0" collapsed="false">
      <c r="C1349" s="27" t="s">
        <v>998</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1091</v>
      </c>
    </row>
    <row r="1351" customFormat="false" ht="15" hidden="false" customHeight="true" outlineLevel="0" collapsed="false">
      <c r="A1351" s="3" t="s">
        <v>1204</v>
      </c>
      <c r="B1351" s="3" t="s">
        <v>103</v>
      </c>
      <c r="C1351" s="3" t="s">
        <v>1205</v>
      </c>
      <c r="M1351" s="23"/>
      <c r="N1351" s="23"/>
      <c r="O1351" s="23"/>
    </row>
    <row r="1352" customFormat="false" ht="36" hidden="false" customHeight="true" outlineLevel="0" collapsed="false">
      <c r="C1352" s="26" t="s">
        <v>1206</v>
      </c>
      <c r="M1352" s="23"/>
      <c r="N1352" s="23"/>
      <c r="O1352" s="23"/>
    </row>
    <row r="1353" customFormat="false" ht="15" hidden="false" customHeight="true" outlineLevel="0" collapsed="false">
      <c r="C1353" s="27" t="s">
        <v>998</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1091</v>
      </c>
    </row>
    <row r="1355" customFormat="false" ht="15" hidden="false" customHeight="true" outlineLevel="0" collapsed="false">
      <c r="A1355" s="3" t="s">
        <v>1207</v>
      </c>
      <c r="B1355" s="3" t="s">
        <v>103</v>
      </c>
      <c r="C1355" s="3" t="s">
        <v>1208</v>
      </c>
      <c r="M1355" s="23"/>
      <c r="N1355" s="23"/>
      <c r="O1355" s="23"/>
    </row>
    <row r="1356" customFormat="false" ht="36" hidden="false" customHeight="true" outlineLevel="0" collapsed="false">
      <c r="C1356" s="26" t="s">
        <v>1209</v>
      </c>
      <c r="M1356" s="23"/>
      <c r="N1356" s="23"/>
      <c r="O1356" s="23"/>
    </row>
    <row r="1357" customFormat="false" ht="15" hidden="false" customHeight="true" outlineLevel="0" collapsed="false">
      <c r="C1357" s="27" t="s">
        <v>998</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1091</v>
      </c>
    </row>
    <row r="1359" customFormat="false" ht="15" hidden="false" customHeight="true" outlineLevel="0" collapsed="false">
      <c r="A1359" s="3" t="s">
        <v>1210</v>
      </c>
      <c r="B1359" s="3" t="s">
        <v>103</v>
      </c>
      <c r="C1359" s="3" t="s">
        <v>1211</v>
      </c>
      <c r="M1359" s="23"/>
      <c r="N1359" s="23"/>
      <c r="O1359" s="23"/>
    </row>
    <row r="1360" customFormat="false" ht="36" hidden="false" customHeight="true" outlineLevel="0" collapsed="false">
      <c r="C1360" s="26" t="s">
        <v>1212</v>
      </c>
      <c r="M1360" s="23"/>
      <c r="N1360" s="23"/>
      <c r="O1360" s="23"/>
    </row>
    <row r="1361" customFormat="false" ht="15" hidden="false" customHeight="true" outlineLevel="0" collapsed="false">
      <c r="C1361" s="27" t="s">
        <v>998</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1091</v>
      </c>
    </row>
    <row r="1363" customFormat="false" ht="15" hidden="false" customHeight="true" outlineLevel="0" collapsed="false">
      <c r="A1363" s="3" t="s">
        <v>1213</v>
      </c>
      <c r="B1363" s="3" t="s">
        <v>103</v>
      </c>
      <c r="C1363" s="3" t="s">
        <v>1214</v>
      </c>
      <c r="M1363" s="23"/>
      <c r="N1363" s="23"/>
      <c r="O1363" s="23"/>
    </row>
    <row r="1364" customFormat="false" ht="36" hidden="false" customHeight="true" outlineLevel="0" collapsed="false">
      <c r="C1364" s="26" t="s">
        <v>1215</v>
      </c>
      <c r="M1364" s="23"/>
      <c r="N1364" s="23"/>
      <c r="O1364" s="23"/>
    </row>
    <row r="1365" customFormat="false" ht="15" hidden="false" customHeight="true" outlineLevel="0" collapsed="false">
      <c r="C1365" s="27" t="s">
        <v>998</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1091</v>
      </c>
    </row>
    <row r="1367" customFormat="false" ht="15" hidden="false" customHeight="true" outlineLevel="0" collapsed="false">
      <c r="A1367" s="3" t="s">
        <v>1216</v>
      </c>
      <c r="B1367" s="3" t="s">
        <v>103</v>
      </c>
      <c r="C1367" s="3" t="s">
        <v>1217</v>
      </c>
      <c r="M1367" s="23"/>
      <c r="N1367" s="23"/>
      <c r="O1367" s="23"/>
    </row>
    <row r="1368" customFormat="false" ht="36" hidden="false" customHeight="true" outlineLevel="0" collapsed="false">
      <c r="C1368" s="26" t="s">
        <v>1218</v>
      </c>
      <c r="M1368" s="23"/>
      <c r="N1368" s="23"/>
      <c r="O1368" s="23"/>
    </row>
    <row r="1369" customFormat="false" ht="15" hidden="false" customHeight="true" outlineLevel="0" collapsed="false">
      <c r="C1369" s="27" t="s">
        <v>998</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1091</v>
      </c>
    </row>
    <row r="1371" customFormat="false" ht="15" hidden="false" customHeight="true" outlineLevel="0" collapsed="false">
      <c r="A1371" s="3" t="s">
        <v>1219</v>
      </c>
      <c r="B1371" s="3" t="s">
        <v>103</v>
      </c>
      <c r="C1371" s="3" t="s">
        <v>1220</v>
      </c>
      <c r="M1371" s="23"/>
      <c r="N1371" s="23"/>
      <c r="O1371" s="23"/>
    </row>
    <row r="1372" customFormat="false" ht="36" hidden="false" customHeight="true" outlineLevel="0" collapsed="false">
      <c r="C1372" s="26" t="s">
        <v>1221</v>
      </c>
      <c r="M1372" s="23"/>
      <c r="N1372" s="23"/>
      <c r="O1372" s="23"/>
    </row>
    <row r="1373" customFormat="false" ht="15" hidden="false" customHeight="true" outlineLevel="0" collapsed="false">
      <c r="C1373" s="27" t="s">
        <v>998</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1091</v>
      </c>
    </row>
    <row r="1375" customFormat="false" ht="15" hidden="false" customHeight="true" outlineLevel="0" collapsed="false">
      <c r="A1375" s="3" t="s">
        <v>1222</v>
      </c>
      <c r="C1375" s="3" t="s">
        <v>1223</v>
      </c>
      <c r="M1375" s="23" t="s">
        <v>291</v>
      </c>
      <c r="N1375" s="23" t="s">
        <v>75</v>
      </c>
      <c r="O1375" s="23" t="s">
        <v>1222</v>
      </c>
    </row>
    <row r="1376" customFormat="false" ht="15" hidden="false" customHeight="true" outlineLevel="0" collapsed="false">
      <c r="A1376" s="3" t="s">
        <v>1224</v>
      </c>
      <c r="B1376" s="3" t="s">
        <v>103</v>
      </c>
      <c r="C1376" s="3" t="s">
        <v>1225</v>
      </c>
      <c r="M1376" s="23"/>
      <c r="N1376" s="23"/>
      <c r="O1376" s="23"/>
    </row>
    <row r="1377" customFormat="false" ht="72" hidden="false" customHeight="true" outlineLevel="0" collapsed="false">
      <c r="C1377" s="26" t="s">
        <v>1226</v>
      </c>
      <c r="M1377" s="23"/>
      <c r="N1377" s="23"/>
      <c r="O1377" s="23"/>
    </row>
    <row r="1378" customFormat="false" ht="15" hidden="false" customHeight="true" outlineLevel="0" collapsed="false">
      <c r="C1378" s="27" t="s">
        <v>998</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1222</v>
      </c>
    </row>
    <row r="1380" customFormat="false" ht="15" hidden="false" customHeight="true" outlineLevel="0" collapsed="false">
      <c r="A1380" s="3" t="s">
        <v>1227</v>
      </c>
      <c r="B1380" s="3" t="s">
        <v>103</v>
      </c>
      <c r="C1380" s="3" t="s">
        <v>1228</v>
      </c>
      <c r="M1380" s="23"/>
      <c r="N1380" s="23"/>
      <c r="O1380" s="23"/>
    </row>
    <row r="1381" customFormat="false" ht="60" hidden="false" customHeight="true" outlineLevel="0" collapsed="false">
      <c r="C1381" s="26" t="s">
        <v>1229</v>
      </c>
      <c r="M1381" s="23"/>
      <c r="N1381" s="23"/>
      <c r="O1381" s="23"/>
    </row>
    <row r="1382" customFormat="false" ht="15" hidden="false" customHeight="true" outlineLevel="0" collapsed="false">
      <c r="C1382" s="27" t="s">
        <v>998</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1222</v>
      </c>
    </row>
    <row r="1384" customFormat="false" ht="15" hidden="false" customHeight="true" outlineLevel="0" collapsed="false">
      <c r="A1384" s="3" t="s">
        <v>1230</v>
      </c>
      <c r="C1384" s="3" t="s">
        <v>1231</v>
      </c>
      <c r="M1384" s="23" t="s">
        <v>291</v>
      </c>
      <c r="N1384" s="23" t="s">
        <v>75</v>
      </c>
      <c r="O1384" s="23" t="s">
        <v>1230</v>
      </c>
    </row>
    <row r="1385" customFormat="false" ht="15" hidden="false" customHeight="true" outlineLevel="0" collapsed="false">
      <c r="A1385" s="3" t="s">
        <v>1232</v>
      </c>
      <c r="B1385" s="3" t="s">
        <v>140</v>
      </c>
      <c r="C1385" s="3" t="s">
        <v>1233</v>
      </c>
      <c r="M1385" s="23"/>
      <c r="N1385" s="23"/>
      <c r="O1385" s="23"/>
    </row>
    <row r="1386" customFormat="false" ht="48" hidden="false" customHeight="true" outlineLevel="0" collapsed="false">
      <c r="C1386" s="26" t="s">
        <v>1234</v>
      </c>
      <c r="M1386" s="23"/>
      <c r="N1386" s="23"/>
      <c r="O1386" s="23"/>
    </row>
    <row r="1387" customFormat="false" ht="15" hidden="false" customHeight="true" outlineLevel="0" collapsed="false">
      <c r="C1387" s="27" t="s">
        <v>998</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1230</v>
      </c>
    </row>
    <row r="1389" customFormat="false" ht="15" hidden="false" customHeight="true" outlineLevel="0" collapsed="false">
      <c r="A1389" s="3" t="s">
        <v>1235</v>
      </c>
      <c r="B1389" s="3" t="s">
        <v>140</v>
      </c>
      <c r="C1389" s="3" t="s">
        <v>1236</v>
      </c>
      <c r="M1389" s="23"/>
      <c r="N1389" s="23"/>
      <c r="O1389" s="23"/>
    </row>
    <row r="1390" customFormat="false" ht="108" hidden="false" customHeight="true" outlineLevel="0" collapsed="false">
      <c r="C1390" s="26" t="s">
        <v>1237</v>
      </c>
      <c r="M1390" s="23"/>
      <c r="N1390" s="23"/>
      <c r="O1390" s="23"/>
    </row>
    <row r="1391" customFormat="false" ht="15" hidden="false" customHeight="true" outlineLevel="0" collapsed="false">
      <c r="C1391" s="27" t="s">
        <v>998</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1230</v>
      </c>
    </row>
    <row r="1393" customFormat="false" ht="15" hidden="false" customHeight="true" outlineLevel="0" collapsed="false">
      <c r="A1393" s="3" t="s">
        <v>1238</v>
      </c>
      <c r="B1393" s="3" t="s">
        <v>103</v>
      </c>
      <c r="C1393" s="3" t="s">
        <v>1239</v>
      </c>
      <c r="M1393" s="23"/>
      <c r="N1393" s="23"/>
      <c r="O1393" s="23"/>
    </row>
    <row r="1394" customFormat="false" ht="60" hidden="false" customHeight="true" outlineLevel="0" collapsed="false">
      <c r="C1394" s="26" t="s">
        <v>1240</v>
      </c>
      <c r="M1394" s="23"/>
      <c r="N1394" s="23"/>
      <c r="O1394" s="23"/>
    </row>
    <row r="1395" customFormat="false" ht="15" hidden="false" customHeight="true" outlineLevel="0" collapsed="false">
      <c r="C1395" s="27" t="s">
        <v>998</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1230</v>
      </c>
    </row>
    <row r="1397" customFormat="false" ht="15" hidden="false" customHeight="true" outlineLevel="0" collapsed="false">
      <c r="C1397" s="34" t="s">
        <v>1241</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1242</v>
      </c>
    </row>
    <row r="3" customFormat="false" ht="42" hidden="false" customHeight="true" outlineLevel="0" collapsed="false">
      <c r="A3" s="38" t="s">
        <v>1243</v>
      </c>
      <c r="B3" s="26" t="s">
        <v>1244</v>
      </c>
    </row>
    <row r="4" customFormat="false" ht="13.5" hidden="false" customHeight="true" outlineLevel="0" collapsed="false">
      <c r="A4" s="38" t="s">
        <v>1245</v>
      </c>
      <c r="B4" s="26" t="s">
        <v>1246</v>
      </c>
    </row>
    <row r="5" customFormat="false" ht="27.75" hidden="false" customHeight="true" outlineLevel="0" collapsed="false">
      <c r="A5" s="38" t="s">
        <v>1247</v>
      </c>
      <c r="B5" s="26" t="s">
        <v>1248</v>
      </c>
    </row>
    <row r="6" customFormat="false" ht="42" hidden="false" customHeight="true" outlineLevel="0" collapsed="false">
      <c r="A6" s="38" t="s">
        <v>1249</v>
      </c>
      <c r="B6" s="26" t="s">
        <v>1250</v>
      </c>
    </row>
    <row r="7" customFormat="false" ht="13.5" hidden="false" customHeight="true" outlineLevel="0" collapsed="false">
      <c r="A7" s="38" t="s">
        <v>1251</v>
      </c>
      <c r="B7" s="26" t="s">
        <v>1252</v>
      </c>
    </row>
    <row r="8" customFormat="false" ht="63.75" hidden="false" customHeight="true" outlineLevel="0" collapsed="false">
      <c r="A8" s="38" t="s">
        <v>1253</v>
      </c>
      <c r="B8" s="26" t="s">
        <v>1254</v>
      </c>
    </row>
    <row r="9" customFormat="false" ht="63.75" hidden="false" customHeight="true" outlineLevel="0" collapsed="false">
      <c r="A9" s="38" t="s">
        <v>1255</v>
      </c>
      <c r="B9" s="26" t="s">
        <v>1256</v>
      </c>
    </row>
    <row r="10" customFormat="false" ht="102" hidden="false" customHeight="true" outlineLevel="0" collapsed="false">
      <c r="A10" s="38" t="s">
        <v>1257</v>
      </c>
      <c r="B10" s="26" t="s">
        <v>1258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1259</v>
      </c>
    </row>
    <row r="2" customFormat="false" ht="15" hidden="false" customHeight="true" outlineLevel="0" collapsed="false">
      <c r="A2" s="11" t="s">
        <v>1260</v>
      </c>
    </row>
    <row r="3" customFormat="false" ht="15" hidden="false" customHeight="true" outlineLevel="0" collapsed="false">
      <c r="A3" s="11" t="s">
        <v>1261</v>
      </c>
    </row>
    <row r="5" customFormat="false" ht="21.75" hidden="false" customHeight="true" outlineLevel="0" collapsed="false">
      <c r="A5" s="40" t="s">
        <v>102</v>
      </c>
      <c r="B5" s="40" t="s">
        <v>103</v>
      </c>
      <c r="C5" s="40" t="s">
        <v>4</v>
      </c>
      <c r="D5" s="40" t="s">
        <v>1262</v>
      </c>
      <c r="E5" s="40" t="s">
        <v>1263</v>
      </c>
      <c r="F5" s="40" t="s">
        <v>1264</v>
      </c>
      <c r="G5" s="40" t="s">
        <v>1265</v>
      </c>
      <c r="H5" s="40" t="s">
        <v>110</v>
      </c>
      <c r="I5" s="40" t="s">
        <v>1266</v>
      </c>
      <c r="J5" s="40" t="s">
        <v>1267</v>
      </c>
      <c r="K5" s="40" t="s">
        <v>1268</v>
      </c>
      <c r="L5" s="40" t="s">
        <v>1269</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1270</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1271</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1272</v>
      </c>
    </row>
    <row r="9" customFormat="false" ht="21.75" hidden="false" customHeight="true" outlineLevel="0" collapsed="false">
      <c r="A9" s="41" t="str">
        <f aca="false">Presupuesto!A243</f>
        <v>05.02.02</v>
      </c>
      <c r="B9" s="41" t="str">
        <f aca="false">Presupuesto!B243</f>
        <v>m3</v>
      </c>
      <c r="C9" s="41" t="str">
        <f aca="false">Presupuesto!C243</f>
        <v>VIGAS DE HORMIGÓN ARMADO HA-25 (PLANAS Y DESCOLGADAS)</v>
      </c>
      <c r="D9" s="42" t="n">
        <v>0</v>
      </c>
      <c r="E9" s="42" t="n">
        <v>0</v>
      </c>
      <c r="F9" s="29" t="n">
        <f aca="false">E9-D9</f>
        <v>0</v>
      </c>
      <c r="G9" s="43" t="str">
        <f aca="false">IF(D9=0,"-",F9/D9)</f>
        <v>-</v>
      </c>
      <c r="H9" s="44" t="n">
        <f aca="false">Presupuesto!J246</f>
        <v>420</v>
      </c>
      <c r="I9" s="29" t="n">
        <f aca="false">ROUND(D9*H9,2)</f>
        <v>0</v>
      </c>
      <c r="J9" s="44" t="n">
        <f aca="false">Presupuesto!K246</f>
        <v>8051.4</v>
      </c>
      <c r="K9" s="29" t="n">
        <f aca="false">J9-I9</f>
        <v>8051.4</v>
      </c>
      <c r="L9" s="26" t="s">
        <v>1273</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1274</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1275</v>
      </c>
    </row>
    <row r="12" customFormat="false" ht="21.75" hidden="false" customHeight="true" outlineLevel="0" collapsed="false">
      <c r="A12" s="41" t="str">
        <f aca="false">Presupuesto!A278</f>
        <v>05.02.10</v>
      </c>
      <c r="B12" s="41" t="str">
        <f aca="false">Presupuesto!B278</f>
        <v>kg</v>
      </c>
      <c r="C12" s="41" t="str">
        <f aca="false">Presupuesto!C278</f>
        <v>ZANCAS DE PLETINA 200×12 S275 DE LA ESCALERA</v>
      </c>
      <c r="D12" s="42" t="n">
        <v>0</v>
      </c>
      <c r="E12" s="42" t="n">
        <v>0</v>
      </c>
      <c r="F12" s="29" t="n">
        <f aca="false">E12-D12</f>
        <v>0</v>
      </c>
      <c r="G12" s="43" t="str">
        <f aca="false">IF(D12=0,"-",F12/D12)</f>
        <v>-</v>
      </c>
      <c r="H12" s="44" t="n">
        <f aca="false">Presupuesto!J281</f>
        <v>3.2</v>
      </c>
      <c r="I12" s="29" t="n">
        <f aca="false">ROUND(D12*H12,2)</f>
        <v>0</v>
      </c>
      <c r="J12" s="44" t="n">
        <f aca="false">Presupuesto!K281</f>
        <v>1513.6</v>
      </c>
      <c r="K12" s="29" t="n">
        <f aca="false">J12-I12</f>
        <v>1513.6</v>
      </c>
      <c r="L12" s="26" t="s">
        <v>1276</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1277</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1278</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1279</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1280</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1281</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1282</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1283</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1284</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1285</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1286</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1287</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1288</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1289</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1290</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1291</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1292</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1293</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1294</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1295</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1296</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1297</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1298</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704</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954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1299</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1300</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1301</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1302</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1303</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1304</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1305</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382</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1306</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1307</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1308</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1309</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1310</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1311</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614</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1312</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1313</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1314</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1315</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1316</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1317</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1318</v>
      </c>
    </row>
    <row r="60" customFormat="false" ht="15" hidden="false" customHeight="true" outlineLevel="0" collapsed="false">
      <c r="C60" s="3" t="s">
        <v>1319</v>
      </c>
      <c r="I60" s="45" t="n">
        <f aca="false">SUM(I6:I58)</f>
        <v>200559.85</v>
      </c>
      <c r="J60" s="45" t="n">
        <f aca="false">SUM(J6:J58)</f>
        <v>225584.27</v>
      </c>
      <c r="K60" s="45" t="n">
        <f aca="false">SUM(K6:K58)</f>
        <v>25024.42</v>
      </c>
    </row>
    <row r="62" customFormat="false" ht="15" hidden="false" customHeight="true" outlineLevel="0" collapsed="false">
      <c r="C62" s="11" t="s">
        <v>1320</v>
      </c>
      <c r="J62" s="42" t="n">
        <v>359203.02</v>
      </c>
    </row>
    <row r="63" customFormat="false" ht="15" hidden="false" customHeight="true" outlineLevel="0" collapsed="false">
      <c r="C63" s="11" t="s">
        <v>1321</v>
      </c>
      <c r="J63" s="44" t="n">
        <f aca="false">Resumen!C48</f>
        <v>373062.39</v>
      </c>
    </row>
    <row r="64" customFormat="false" ht="15" hidden="false" customHeight="true" outlineLevel="0" collapsed="false">
      <c r="C64" s="3" t="s">
        <v>1264</v>
      </c>
      <c r="J64" s="45" t="n">
        <f aca="false">J63-J62</f>
        <v>13859.37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2026-10-23T22:06:37Z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