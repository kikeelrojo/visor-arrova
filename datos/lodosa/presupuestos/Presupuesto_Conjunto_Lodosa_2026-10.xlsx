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<sst xmlns="http://schemas.openxmlformats.org/spreadsheetml/2006/main" count="3071" uniqueCount="1308">
  <si>
    <t xml:space="preserve">RESUMEN DE PRESUPUESTO</t>
  </si>
  <si>
    <t xml:space="preserve">DERRIBO Y VIVIENDA DE NUEVA PLANTA · C. ANCHA 34, LODOSA</t>
  </si>
  <si>
    <t xml:space="preserve">Presupuesto conjunto (derribo + obra nueva) · propuesta de octubre de 2026, con las mediciones del modelo BIM del 14-oct y la opción 2 de cubiertas (16-oct)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</si>
  <si>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</si>
  <si>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</si>
  <si>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</si>
  <si>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</si>
  <si>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</si>
  <si>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</si>
  <si>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</si>
  <si>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</si>
  <si>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</si>
  <si>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</si>
  <si>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</si>
  <si>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</si>
  <si>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</si>
  <si>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</si>
  <si>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</si>
  <si>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</si>
  <si>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</si>
  <si>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</si>
  <si>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</si>
  <si>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</si>
  <si>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</si>
  <si>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</si>
  <si>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</si>
  <si>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</si>
  <si>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</si>
  <si>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</si>
  <si>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</si>
  <si>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</si>
  <si>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</si>
  <si>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</si>
  <si>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</si>
  <si>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</si>
  <si>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</si>
  <si>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</si>
  <si>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</si>
  <si>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</si>
  <si>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</si>
  <si>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</si>
  <si>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</si>
  <si>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</si>
  <si>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</si>
  <si>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</si>
  <si>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</si>
  <si>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</si>
  <si>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</si>
  <si>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</si>
  <si>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</si>
  <si>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</si>
  <si>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</si>
  <si>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</si>
  <si>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</si>
  <si>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</si>
  <si>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</si>
  <si>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</si>
  <si>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</si>
  <si>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</si>
  <si>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</si>
  <si>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</si>
  <si>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</si>
  <si>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</si>
  <si>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</si>
  <si>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</si>
  <si>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</si>
  <si>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</si>
  <si>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</si>
  <si>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</si>
  <si>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</si>
  <si>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</si>
  <si>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</si>
  <si>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</si>
  <si>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</si>
  <si>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</si>
  <si>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</si>
  <si>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</si>
  <si>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</si>
  <si>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</si>
  <si>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</si>
  <si>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</si>
  <si>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</si>
  <si>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</si>
  <si>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</si>
  <si>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</si>
  <si>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</si>
  <si>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</si>
  <si>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</si>
  <si>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</si>
  <si>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</si>
  <si>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</si>
  <si>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</si>
  <si>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</si>
  <si>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</si>
  <si>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</si>
  <si>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</si>
  <si>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</si>
  <si>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</si>
  <si>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</si>
  <si>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</si>
  <si>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</si>
  <si>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</si>
  <si>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</si>
  <si>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</si>
  <si>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</si>
  <si>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</si>
  <si>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</si>
  <si>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</si>
  <si>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</si>
  <si>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</si>
  <si>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</si>
  <si>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</si>
  <si>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</si>
  <si>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</si>
  <si>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</si>
  <si>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</si>
  <si>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</si>
  <si>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</si>
  <si>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</si>
  <si>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</si>
  <si>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</si>
  <si>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</si>
  <si>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</si>
  <si>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</si>
  <si>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</si>
  <si>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</si>
  <si>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</si>
  <si>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</si>
  <si>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</si>
  <si>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</si>
  <si>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</si>
  <si>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</si>
  <si>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</si>
  <si>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</si>
  <si>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</si>
  <si>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</si>
  <si>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</si>
  <si>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</si>
  <si>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</si>
  <si>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</si>
  <si>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</si>
  <si>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</si>
  <si>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</si>
  <si>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</si>
  <si>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</si>
  <si>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</si>
  <si>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</si>
  <si>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</si>
  <si>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</si>
  <si>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</si>
  <si>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</si>
  <si>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</si>
  <si>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</si>
  <si>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</si>
  <si>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</si>
  <si>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</si>
  <si>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</si>
  <si>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</si>
  <si>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</si>
  <si>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</si>
  <si>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</si>
  <si>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</si>
  <si>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</si>
  <si>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</si>
  <si>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</si>
  <si>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</si>
  <si>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</si>
  <si>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</si>
  <si>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</si>
  <si>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</si>
  <si>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</si>
  <si>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</si>
  <si>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</si>
  <si>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</si>
  <si>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</si>
  <si>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</si>
  <si>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</si>
  <si>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</si>
  <si>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</si>
  <si>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</si>
  <si>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</si>
  <si>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</si>
  <si>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</si>
  <si>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</si>
  <si>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</si>
  <si>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</si>
  <si>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</si>
  <si>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</si>
  <si>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</si>
  <si>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</si>
  <si>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</si>
  <si>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</si>
  <si>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</si>
  <si>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</si>
  <si>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</si>
  <si>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</si>
  <si>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</si>
  <si>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</si>
  <si>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</si>
  <si>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</si>
  <si>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</si>
  <si>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</si>
  <si>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</si>
  <si>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</si>
  <si>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</si>
  <si>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</si>
  <si>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</si>
  <si>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</si>
  <si>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</si>
  <si>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</si>
  <si>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</si>
  <si>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</si>
  <si>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</si>
  <si>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</si>
  <si>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</si>
  <si>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</si>
  <si>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</si>
  <si>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</si>
  <si>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</si>
  <si>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</si>
  <si>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</si>
  <si>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</si>
  <si>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</si>
  <si>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</si>
  <si>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</si>
  <si>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</si>
  <si>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</si>
  <si>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</si>
  <si>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</si>
  <si>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</si>
  <si>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</si>
  <si>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</si>
  <si>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</si>
  <si>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</si>
  <si>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</si>
  <si>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</si>
  <si>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</si>
  <si>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</si>
  <si>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</si>
  <si>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</si>
  <si>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</si>
  <si>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</si>
  <si>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</si>
  <si>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</si>
  <si>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</si>
  <si>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</si>
  <si>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</si>
  <si>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</si>
  <si>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</si>
  <si>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</si>
  <si>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</si>
  <si>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</si>
  <si>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</si>
  <si>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</si>
  <si>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</si>
  <si>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</si>
  <si>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</si>
  <si>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</si>
  <si>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</si>
  <si>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</si>
  <si>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</si>
  <si>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</si>
  <si>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</si>
  <si>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</si>
  <si>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</si>
  <si>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</si>
  <si>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</si>
  <si>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</si>
  <si>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</si>
  <si>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</si>
  <si>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</si>
  <si>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</si>
  <si>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</si>
  <si>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</si>
  <si>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</si>
  <si>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</si>
  <si>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</si>
  <si>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</si>
  <si>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</si>
  <si>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</si>
  <si>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</si>
  <si>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</si>
  <si>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</si>
  <si>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</si>
  <si>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</si>
  <si>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</si>
  <si>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</si>
  <si>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</si>
  <si>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</si>
  <si>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</si>
  <si>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</si>
  <si>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</si>
  <si>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</si>
  <si>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</si>
  <si>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</si>
  <si>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</si>
  <si>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</si>
  <si>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</si>
  <si>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</si>
  <si>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</si>
  <si>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</si>
  <si>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</si>
  <si>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</si>
  <si>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</si>
  <si>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</si>
  <si>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</si>
  <si>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</si>
  <si>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</si>
  <si>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</si>
  <si>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</si>
  <si>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</si>
  <si>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</si>
  <si>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</si>
  <si>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</si>
  <si>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</si>
  <si>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</si>
  <si>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modelo BIM de Vectorworks, opción 2 de cubiertas (16-oct-2026)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</si>
  <si>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</si>
  <si>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</si>
  <si>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</si>
  <si>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</si>
  <si>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</si>
  <si>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</si>
  <si>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</si>
  <si>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</si>
  <si>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</si>
  <si>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</si>
  <si>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</si>
  <si>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</si>
  <si>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</si>
  <si>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</si>
  <si>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</si>
  <si>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</si>
  <si>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</si>
  <si>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</si>
  <si>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</si>
  <si>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</si>
  <si>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</si>
  <si>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</si>
  <si>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</si>
  <si>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</si>
  <si>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</si>
  <si>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</si>
  <si>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</si>
  <si>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</si>
  <si>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</si>
  <si>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</si>
  <si>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</si>
  <si>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</si>
  <si>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</si>
  <si>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</si>
  <si>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</si>
  <si>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</si>
  <si>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</si>
  <si>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</si>
  <si>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</si>
  <si>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</si>
  <si>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</si>
  <si>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</si>
  <si>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</si>
  <si>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</si>
  <si>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</si>
  <si>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</si>
  <si>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</si>
  <si>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</si>
  <si>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</si>
  <si>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</si>
  <si>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</si>
  <si>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</si>
  <si>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</si>
  <si>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</si>
  <si>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</si>
  <si>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</si>
  <si>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</si>
  <si>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</si>
  <si>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</si>
  <si>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</si>
  <si>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</si>
  <si>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</si>
  <si>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</si>
  <si>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</si>
  <si>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</si>
  <si>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</si>
  <si>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</si>
  <si>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</si>
  <si>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</si>
  <si>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</si>
  <si>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</si>
  <si>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</si>
  <si>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</si>
  <si>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</si>
  <si>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</si>
  <si>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</si>
  <si>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</si>
  <si>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</si>
  <si>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</si>
  <si>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</si>
  <si>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</si>
  <si>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</si>
  <si>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</si>
  <si>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</si>
  <si>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</si>
  <si>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</si>
  <si>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</si>
  <si>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</si>
  <si>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</si>
  <si>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</si>
  <si>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</si>
  <si>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</si>
  <si>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</si>
  <si>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Cubierta inclinada: estimación de la propuesta (70 m²) + 20,86 m² de más en los faldones de la opción 2 (BIM, 16-oct)</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</si>
  <si>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</si>
  <si>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</si>
  <si>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</si>
  <si>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</si>
  <si>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</si>
  <si>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</si>
  <si>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</si>
  <si>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</si>
  <si>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</si>
  <si>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</si>
  <si>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</si>
  <si>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</si>
  <si>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</si>
  <si>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</si>
  <si>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</si>
  <si>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</si>
  <si>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</si>
  <si>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</si>
  <si>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</si>
  <si>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</si>
  <si>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</si>
  <si>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</si>
  <si>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</si>
  <si>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estimación de la propuesta (45 m) + 11,54 m de bordes libres nuevos de los faldones de la opción 2 (BIM, 16-oct)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</si>
  <si>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</si>
  <si>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</si>
  <si>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</si>
  <si>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</si>
  <si>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</si>
  <si>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</si>
  <si>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</si>
  <si>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</si>
  <si>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</si>
  <si>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</si>
  <si>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</si>
  <si>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Junto al lucernario</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</si>
  <si>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</si>
  <si>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</si>
  <si>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</si>
  <si>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</si>
  <si>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</si>
  <si>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</si>
  <si>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</si>
  <si>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</si>
  <si>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</si>
  <si>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</si>
  <si>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</si>
  <si>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</si>
  <si>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</si>
  <si>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</si>
  <si>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</si>
  <si>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</si>
  <si>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</si>
  <si>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</si>
  <si>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</si>
  <si>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</si>
  <si>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</si>
  <si>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</si>
  <si>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</si>
  <si>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</si>
  <si>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</si>
  <si>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</si>
  <si>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</si>
  <si>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+ 6,54 m del ventanal de la escalera (opción 2)</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</si>
  <si>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</si>
  <si>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</si>
  <si>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</si>
  <si>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</si>
  <si>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</si>
  <si>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</si>
  <si>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</si>
  <si>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</si>
  <si>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</si>
  <si>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</si>
  <si>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</si>
  <si>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</si>
  <si>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</si>
  <si>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</si>
  <si>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</si>
  <si>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</si>
  <si>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</si>
  <si>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</si>
  <si>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</si>
  <si>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</si>
  <si>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</si>
  <si>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</si>
  <si>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</si>
  <si>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</si>
  <si>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</si>
  <si>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</si>
  <si>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</si>
  <si>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</si>
  <si>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</si>
  <si>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</si>
  <si>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</si>
  <si>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</si>
  <si>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</si>
  <si>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</si>
  <si>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</si>
  <si>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</si>
  <si>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</si>
  <si>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</si>
  <si>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</si>
  <si>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</si>
  <si>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</si>
  <si>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</si>
  <si>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</si>
  <si>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</si>
  <si>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</si>
  <si>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</si>
  <si>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</si>
  <si>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</si>
  <si>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</si>
  <si>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</si>
  <si>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</si>
  <si>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</si>
  <si>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</si>
  <si>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</si>
  <si>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</si>
  <si>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</si>
  <si>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</si>
  <si>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</si>
  <si>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</si>
  <si>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</si>
  <si>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</si>
  <si>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</si>
  <si>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</si>
  <si>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</si>
  <si>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</si>
  <si>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</si>
  <si>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</si>
  <si>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</si>
  <si>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</si>
  <si>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</si>
  <si>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</si>
  <si>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</si>
  <si>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</si>
  <si>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</si>
  <si>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</si>
  <si>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</si>
  <si>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</si>
  <si>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</si>
  <si>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</si>
  <si>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</si>
  <si>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</si>
  <si>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</si>
  <si>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</si>
  <si>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</si>
  <si>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</si>
  <si>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</si>
  <si>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</si>
  <si>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</si>
  <si>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</si>
  <si>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</si>
  <si>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</si>
  <si>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</si>
  <si>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</si>
  <si>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</si>
  <si>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</si>
  <si>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</si>
  <si>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</si>
  <si>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</si>
  <si>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</si>
  <si>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</si>
  <si>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</si>
  <si>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</si>
  <si>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</si>
  <si>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</si>
  <si>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</si>
  <si>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</si>
  <si>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</si>
  <si>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</si>
  <si>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</si>
  <si>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</si>
  <si>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</si>
  <si>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</si>
  <si>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</si>
  <si>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</si>
  <si>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</si>
  <si>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</si>
  <si>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</si>
  <si>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</si>
  <si>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</si>
  <si>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</si>
  <si>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</si>
  <si>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DEL VENTANAL DE LA ESCALERA · 2,65 × 0,62, FIJO + PRACTICABLE DE 0,60</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</si>
  <si>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Ventanal horizontal de la escalera bajo el faldón (opción 2 de cubiertas), a haces de la cara exterior del frente este, de +9,88 a +10,50: fijo de ≈ 1,93 m, montante de 70 mm y hoja practicable de 0,60 m. Precio unitario = superficie × 690 €/m² (1.63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</si>
  <si>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</si>
  <si>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</si>
  <si>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</si>
  <si>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</si>
  <si>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</si>
  <si>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</si>
  <si>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</si>
  <si>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</si>
  <si>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</si>
  <si>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</si>
  <si>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</si>
  <si>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</si>
  <si>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</si>
  <si>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</si>
  <si>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</si>
  <si>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Ventanal de la escalera (opción 2)</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</si>
  <si>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</si>
  <si>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</si>
  <si>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</si>
  <si>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</si>
  <si>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</si>
  <si>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</si>
  <si>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</si>
  <si>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</si>
  <si>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</si>
  <si>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</si>
  <si>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</si>
  <si>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</si>
  <si>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</si>
  <si>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</si>
  <si>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</si>
  <si>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</si>
  <si>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</si>
  <si>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</si>
  <si>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</si>
  <si>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</si>
  <si>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</si>
  <si>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</si>
  <si>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</si>
  <si>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</si>
  <si>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</si>
  <si>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</si>
  <si>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</si>
  <si>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</si>
  <si>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</si>
  <si>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</si>
  <si>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</si>
  <si>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</si>
  <si>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</si>
  <si>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</si>
  <si>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</si>
  <si>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</si>
  <si>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</si>
  <si>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</si>
  <si>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</si>
  <si>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</si>
  <si>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</si>
  <si>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</si>
  <si>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</si>
  <si>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</si>
  <si>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</si>
  <si>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</si>
  <si>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</si>
  <si>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</si>
  <si>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</si>
  <si>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</si>
  <si>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</si>
  <si>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</si>
  <si>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</si>
  <si>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</si>
  <si>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</si>
  <si>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</si>
  <si>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</si>
  <si>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</si>
  <si>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</si>
  <si>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</si>
  <si>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</si>
  <si>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</si>
  <si>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</si>
  <si>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</si>
  <si>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</si>
  <si>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</si>
  <si>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</si>
  <si>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</si>
  <si>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</si>
  <si>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</si>
  <si>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</si>
  <si>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</si>
  <si>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</si>
  <si>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</si>
  <si>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</si>
  <si>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</si>
  <si>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</si>
  <si>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</si>
  <si>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</si>
  <si>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</si>
  <si>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</si>
  <si>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</si>
  <si>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</si>
  <si>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</si>
  <si>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</si>
  <si>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</si>
  <si>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</si>
  <si>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</si>
  <si>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</si>
  <si>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</si>
  <si>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</si>
  <si>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</si>
  <si>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</si>
  <si>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</si>
  <si>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</si>
  <si>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</si>
  <si>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</si>
  <si>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</si>
  <si>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</si>
  <si>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</si>
  <si>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</si>
  <si>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</si>
  <si>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</si>
  <si>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</si>
  <si>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</si>
  <si>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</si>
  <si>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</si>
  <si>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</si>
  <si>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</si>
  <si>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</si>
  <si>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</si>
  <si>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</si>
  <si>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cubierta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</si>
  <si>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</si>
  <si>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</si>
  <si>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</si>
  <si>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</si>
  <si>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</si>
  <si>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</si>
  <si>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</si>
  <si>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</si>
  <si>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</si>
  <si>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</si>
  <si>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</si>
  <si>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</si>
  <si>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</si>
  <si>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</si>
  <si>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</si>
  <si>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</si>
  <si>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</si>
  <si>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</si>
  <si>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</si>
  <si>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</si>
  <si>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</si>
  <si>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</si>
  <si>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</si>
  <si>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</si>
  <si>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</si>
  <si>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</si>
  <si>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</si>
  <si>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</si>
  <si>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</si>
  <si>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</si>
  <si>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</si>
  <si>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</si>
  <si>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</si>
  <si>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</si>
  <si>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</si>
  <si>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</si>
  <si>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</si>
  <si>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</si>
  <si>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</si>
  <si>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</si>
  <si>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</si>
  <si>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</si>
  <si>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</si>
  <si>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</si>
  <si>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</si>
  <si>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</si>
  <si>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</si>
  <si>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</si>
  <si>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</si>
  <si>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</si>
  <si>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</si>
  <si>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</si>
  <si>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</si>
  <si>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</si>
  <si>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</si>
  <si>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</si>
  <si>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</si>
  <si>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</si>
  <si>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</si>
  <si>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</si>
  <si>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</si>
  <si>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</si>
  <si>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</si>
  <si>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</si>
  <si>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</si>
  <si>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</si>
  <si>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</si>
  <si>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</si>
  <si>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</si>
  <si>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</si>
  <si>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</si>
  <si>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</si>
  <si>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</si>
  <si>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</si>
  <si>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</si>
  <si>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</si>
  <si>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</si>
  <si>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</si>
  <si>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</si>
  <si>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</si>
  <si>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</si>
  <si>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</si>
  <si>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</si>
  <si>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</si>
  <si>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</si>
  <si>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</si>
  <si>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</si>
  <si>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</si>
  <si>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</si>
  <si>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</si>
  <si>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</si>
  <si>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</si>
  <si>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</si>
  <si>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</si>
  <si>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</si>
  <si>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</si>
  <si>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</si>
  <si>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</si>
  <si>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</si>
  <si>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</si>
  <si>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</si>
  <si>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</si>
  <si>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</si>
  <si>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</si>
  <si>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</si>
  <si>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</si>
  <si>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</si>
  <si>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</si>
  <si>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</si>
  <si>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</si>
  <si>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</si>
  <si>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</si>
  <si>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</si>
  <si>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</si>
  <si>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</si>
  <si>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</si>
  <si>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</si>
  <si>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</si>
  <si>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</si>
  <si>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</si>
  <si>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</si>
  <si>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</si>
  <si>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</si>
  <si>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</si>
  <si>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</si>
  <si>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</si>
  <si>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</si>
  <si>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</si>
  <si>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</si>
  <si>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</si>
  <si>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</si>
  <si>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</si>
  <si>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</si>
  <si>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</si>
  <si>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</si>
  <si>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</si>
  <si>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</si>
  <si>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</si>
  <si>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</si>
  <si>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</si>
  <si>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</si>
  <si>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</si>
  <si>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</si>
  <si>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</si>
  <si>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</si>
  <si>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</si>
  <si>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</si>
  <si>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</si>
  <si>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</si>
  <si>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</si>
  <si>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</si>
  <si>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</si>
  <si>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</si>
  <si>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</si>
  <si>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</si>
  <si>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</si>
  <si>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</si>
  <si>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</si>
  <si>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</si>
  <si>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</si>
  <si>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</si>
  <si>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</si>
  <si>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</si>
  <si>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</si>
  <si>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</si>
  <si>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</si>
  <si>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(3)</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</si>
  <si>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</si>
  <si>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</si>
  <si>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</si>
  <si>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</si>
  <si>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</si>
  <si>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</si>
  <si>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</si>
  <si>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</si>
  <si>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</si>
  <si>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</si>
  <si>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</si>
  <si>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</si>
  <si>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</si>
  <si>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</si>
  <si>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</si>
  <si>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</si>
  <si>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</si>
  <si>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</si>
  <si>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</si>
  <si>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</si>
  <si>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</si>
  <si>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</si>
  <si>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</si>
  <si>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</si>
  <si>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</si>
  <si>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</si>
  <si>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</si>
  <si>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</si>
  <si>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</si>
  <si>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</si>
  <si>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</si>
  <si>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</si>
  <si>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</si>
  <si>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</si>
  <si>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</si>
  <si>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</si>
  <si>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</si>
  <si>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</si>
  <si>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</si>
  <si>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</si>
  <si>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</si>
  <si>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</si>
  <si>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</si>
  <si>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</si>
  <si>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</si>
  <si>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</si>
  <si>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</si>
  <si>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</si>
  <si>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</si>
  <si>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</si>
  <si>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</si>
  <si>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</si>
  <si>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</si>
  <si>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</si>
  <si>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</si>
  <si>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</si>
  <si>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</si>
  <si>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</si>
  <si>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</si>
  <si>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</si>
  <si>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</si>
  <si>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</si>
  <si>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</si>
  <si>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</si>
  <si>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</si>
  <si>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</si>
  <si>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</si>
  <si>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</si>
  <si>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</si>
  <si>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</si>
  <si>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</si>
  <si>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</si>
  <si>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</si>
  <si>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</si>
  <si>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</si>
  <si>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</si>
  <si>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</si>
  <si>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</si>
  <si>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</si>
  <si>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</si>
  <si>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</si>
  <si>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</si>
  <si>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</si>
  <si>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</si>
  <si>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</si>
  <si>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</si>
  <si>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</si>
  <si>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</si>
  <si>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</si>
  <si>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</si>
  <si>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</si>
  <si>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</si>
  <si>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</si>
  <si>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</si>
  <si>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</si>
  <si>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</si>
  <si>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</si>
  <si>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</si>
  <si>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</si>
  <si>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</si>
  <si>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</si>
  <si>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</si>
  <si>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</si>
  <si>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</si>
  <si>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</si>
  <si>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</si>
  <si>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</si>
  <si>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</si>
  <si>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</si>
  <si>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</si>
  <si>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</si>
  <si>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</si>
  <si>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</si>
  <si>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</si>
  <si>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</si>
  <si>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</si>
  <si>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</si>
  <si>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</si>
  <si>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</si>
  <si>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</si>
  <si>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</si>
  <si>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</si>
  <si>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</si>
  <si>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</si>
  <si>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</si>
  <si>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</si>
  <si>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</si>
  <si>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</si>
  <si>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</si>
  <si>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</si>
  <si>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</si>
  <si>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</si>
  <si>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</si>
  <si>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</si>
  <si>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</si>
  <si>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</si>
  <si>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</si>
  <si>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</si>
  <si>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</si>
  <si>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</si>
  <si>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</si>
  <si>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</si>
  <si>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</si>
  <si>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</si>
  <si>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</si>
  <si>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</si>
  <si>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</si>
  <si>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</si>
  <si>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</si>
  <si>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</si>
  <si>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</si>
  <si>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</si>
  <si>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</si>
  <si>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</si>
  <si>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</si>
  <si>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</si>
  <si>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</si>
  <si>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</si>
  <si>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</si>
  <si>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</si>
  <si>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</si>
  <si>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</si>
  <si>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</si>
  <si>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</si>
  <si>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</si>
  <si>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</si>
  <si>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</si>
  <si>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</si>
  <si>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</si>
  <si>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</si>
  <si>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</si>
  <si>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</si>
  <si>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</si>
  <si>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</si>
  <si>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</si>
  <si>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</si>
  <si>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</si>
  <si>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</si>
  <si>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</si>
  <si>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</si>
  <si>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</si>
  <si>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</si>
  <si>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</si>
  <si>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</si>
  <si>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</si>
  <si>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</si>
  <si>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</si>
  <si>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</si>
  <si>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</si>
  <si>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</si>
  <si>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</si>
  <si>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</si>
  <si>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</si>
  <si>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</si>
  <si>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</si>
  <si>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</si>
  <si>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</si>
  <si>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</si>
  <si>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</si>
  <si>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</si>
  <si>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</si>
  <si>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</si>
  <si>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</si>
  <si>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</si>
  <si>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</si>
  <si>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</si>
  <si>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</si>
  <si>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</si>
  <si>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</si>
  <si>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</si>
  <si>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</si>
  <si>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</si>
  <si>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</si>
  <si>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</si>
  <si>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</si>
  <si>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</si>
  <si>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</si>
  <si>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</si>
  <si>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</si>
  <si>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</si>
  <si>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</si>
  <si>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</si>
  <si>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</si>
  <si>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</si>
  <si>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</si>
  <si>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</si>
  <si>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</si>
  <si>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</si>
  <si>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</si>
  <si>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</si>
  <si>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</si>
  <si>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</si>
  <si>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</si>
  <si>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</si>
  <si>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</si>
  <si>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</si>
  <si>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</si>
  <si>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</si>
  <si>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</si>
  <si>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</si>
  <si>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</si>
  <si>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</si>
  <si>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</si>
  <si>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</si>
  <si>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</si>
  <si>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</si>
  <si>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</si>
  <si>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</si>
  <si>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</si>
  <si>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</si>
  <si>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</si>
  <si>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</si>
  <si>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</si>
  <si>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</si>
  <si>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</si>
  <si>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</si>
  <si>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</si>
  <si>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</si>
  <si>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</si>
  <si>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</si>
  <si>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</si>
  <si>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</si>
  <si>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</si>
  <si>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</si>
  <si>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</si>
  <si>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</si>
  <si>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</si>
  <si>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</si>
  <si>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</si>
  <si>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</si>
  <si>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</si>
  <si>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</si>
  <si>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</si>
  <si>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</si>
  <si>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</si>
  <si>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</si>
  <si>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</si>
  <si>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</si>
  <si>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</si>
  <si>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</si>
  <si>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</si>
  <si>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</si>
  <si>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</si>
  <si>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</si>
  <si>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</si>
  <si>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</si>
  <si>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</si>
  <si>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</si>
  <si>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</si>
  <si>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</si>
  <si>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</si>
  <si>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</si>
  <si>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</si>
  <si>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</si>
  <si>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</si>
  <si>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</si>
  <si>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</si>
  <si>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</si>
  <si>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</si>
  <si>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</si>
  <si>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</si>
  <si>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</si>
  <si>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</si>
  <si>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</si>
  <si>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</si>
  <si>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</si>
  <si>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</si>
  <si>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</si>
  <si>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</si>
  <si>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</si>
  <si>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</si>
  <si>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</si>
  <si>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</si>
  <si>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</si>
  <si>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</si>
  <si>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</si>
  <si>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</si>
  <si>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</si>
  <si>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</si>
  <si>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</si>
  <si>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</si>
  <si>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</si>
  <si>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</si>
  <si>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</si>
  <si>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</si>
  <si>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</si>
  <si>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</si>
  <si>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</si>
  <si>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</si>
  <si>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</si>
  <si>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</si>
  <si>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</si>
  <si>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</si>
  <si>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</si>
  <si>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</si>
  <si>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</si>
  <si>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</si>
  <si>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</si>
  <si>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</si>
  <si>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</si>
  <si>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</si>
  <si>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</si>
  <si>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</si>
  <si>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</si>
  <si>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</si>
  <si>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</si>
  <si>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</si>
  <si>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</si>
  <si>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</si>
  <si>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</si>
  <si>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</si>
  <si>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Pendiente de decidir: cómo se cierra el lado del faldón de C. del Peso que da a la cubierta plana (piñón de 0,9–1,3 m, no medido), si hacen falta los puntos de anclaje junto al lucernario (07.11, se mantienen) y la comprobación del control solar (DB-HE) con el ventanal en lugar del lucernario.</t>
  </si>
  <si>
    <t xml:space="preserve">MEDICIONES DEL MODELO BIM FRENTE A LA PROPUESTA DE OCTUBRE</t>
  </si>
  <si>
    <t xml:space="preserve">Las partidas de esta hoja toman en la hoja Presupuesto la medición del modelo BIM (Vectorworks, capas BIM-0…BIM-3 del 14 de octubre de 2026, y en cubierta, segunda planta y lo que cambia con ella, la opción 2 de cubiertas del 16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</si>
  <si>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</si>
  <si>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</si>
  <si>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</si>
  <si>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</si>
  <si>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</si>
  <si>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</si>
  <si>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</si>
  <si>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</si>
  <si>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</si>
  <si>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</si>
  <si>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</si>
  <si>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</si>
  <si>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</si>
  <si>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t>
  </si>
  <si>
    <t xml:space="preserve">Faldones medidos en pendiente (sin aleros, 6.0 m² en planta aparte) · Opción 2 de cubiertas (16-oct): faldones en pendiente 62,44 + faldón sobre la escalera 14,79 + faldón de C. del Peso sobre la cubierta plana 17,90 − tira que pasa a plana 11,84</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</si>
  <si>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</si>
  <si>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</si>
  <si>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t>
  </si>
  <si>
    <t xml:space="preserve">Muros M6/M7/M8/M14 a patio o sin casa pegada · Opción 2 de cubiertas (16-oct): −1,50 m² de muro de quiebro (M7e) que cambia con los faldones nuevos</t>
  </si>
  <si>
    <t xml:space="preserve">Medianeras M2–M5/M10–M12 e interiores de carga M13 · Opción 2 de cubiertas (16-oct): +8,09 m² de medianera M2 que sube hasta el faldón sobre la escalera y +2,54 m² de M13 (muro de la escalera hasta el alféizar del ventanal y dintel encima)</t>
  </si>
  <si>
    <t xml:space="preserve">Capa de junta de los muros de medianera · Opción 2 de cubiertas (16-oct): +8,09 m² de la medianera M2 que sube hasta el faldón sobre la escalera</t>
  </si>
  <si>
    <t xml:space="preserve">Muros M4/M5/M6 (trasdosado de 7 cm con cámara)</t>
  </si>
  <si>
    <t xml:space="preserve">Tabiques T1/T2/T3 · Opción 2 de cubiertas (16-oct): −2,36 m²: el tabique T2 bajo la tira, que pasa a cubierta plana, es más bajo</t>
  </si>
  <si>
    <t xml:space="preserve">Frentes de forjado revestidos en los bordes exteriores de los forjados · Opción 2 de cubiertas (16-oct): +1,87 m de frente de forjado junto a la escalera</t>
  </si>
  <si>
    <t xml:space="preserve">Faldones en pendiente · Opción 2 de cubiertas (16-oct): igual que 05.02.07</t>
  </si>
  <si>
    <t xml:space="preserve">Faldones en pendiente (los aleros se miden aparte) · Opción 2 de cubiertas (16-oct): igual que 05.02.07</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</si>
  <si>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t>
  </si>
  <si>
    <t xml:space="preserve">Patio y porche 29.6 + terraza 11.1 + cubierta plana 49.3 m² · Partida nueva · Opción 2 de cubiertas (16-oct): patio y porche 29,6 + terraza 11,1 + cubierta plana descubierta 29,32 m²</t>
  </si>
  <si>
    <t xml:space="preserve">Cubierta plana 49.3 + patio y porche 29.6 m² (bajo el XPS) · Partida nueva · Opción 2 de cubiertas (16-oct): cubierta plana descubierta 29,32 + patio y porche 29,6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</si>
  <si>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</si>
  <si>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</si>
  <si>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t>
  </si>
  <si>
    <t xml:space="preserve">En planta: patio y porche 29.6 + terraza 11.1 + cubierta plana 49.3 m² (los remontes van en el precio) · Partida nueva · Opción 2 de cubiertas (16-oct): patio y porche 29,6 + terraza 11,1 + cubierta plana descubierta 29,32 m²</t>
  </si>
  <si>
    <t xml:space="preserve">Zonas con trama de la capa «falsos techos», cerradas hasta los muros · Opción 2 de cubiertas (16-oct): +8,52 m² de falso techo plano a +10,50 bajo el faldón de la escalera (cabeza del ventanal)</t>
  </si>
  <si>
    <t xml:space="preserve">Longitud de los bordes libres del falso techo en el BIM × altura hasta la cara inferior del forjado (0,86 m en baja, 0,42 m en primera y 0,41 m en segunda) · Partida nueva</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</si>
  <si>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</si>
  <si>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</si>
  <si>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t>
  </si>
  <si>
    <t xml:space="preserve">Caras revocadas de muros exteriores y frentes de forjado · Opción 2 de cubiertas (16-oct): −1,50 m² de muro de quiebro y +0,68 m² de frente de forjado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</si>
  <si>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t>
  </si>
  <si>
    <t xml:space="preserve">Caras de baños y aseos con baldosa hasta 2,28 m (por encima, yeso y pintura)</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</si>
  <si>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</si>
  <si>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</si>
  <si>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</si>
  <si>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</si>
  <si>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</si>
  <si>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</si>
  <si>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</si>
  <si>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</si>
  <si>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</si>
  <si>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</si>
  <si>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</si>
  <si>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</si>
  <si>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t>
  </si>
  <si>
    <t xml:space="preserve">Mini-balcones de V1, V2 y V3</t>
  </si>
  <si>
    <t xml:space="preserve">Yeso de paredes y techos más falsos techos · Opción 2 de cubiertas (16-oct): yeso 939,20 + falsos techos 96,96</t>
  </si>
  <si>
    <t xml:space="preserve">Igual que el revoco · Opción 2 de cubiertas (16-oct):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</si>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</sst>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0.00248757432874443</v>
      </c>
    </row>
    <row r="8" customFormat="false" ht="15" hidden="false" customHeight="true" outlineLevel="0" collapsed="false">
      <c r="A8" s="3" t="s">
        <v>11</v>
      </c>
      <c r="B8" s="3" t="s">
        <v>12</v>
      </c>
      <c r="C8" s="8" t="n">
        <f aca="false">Presupuesto!K61</f>
        <v>9292.58</v>
      </c>
      <c r="D8" s="9" t="n">
        <f aca="false">IF($C$50=0,0,C8/$C$50)</f>
        <v>0.024250926831519</v>
      </c>
    </row>
    <row r="9" customFormat="false" ht="15" hidden="false" customHeight="true" outlineLevel="0" collapsed="false">
      <c r="A9" s="3" t="s">
        <v>13</v>
      </c>
      <c r="B9" s="3" t="s">
        <v>14</v>
      </c>
      <c r="C9" s="8" t="n">
        <f aca="false">Presupuesto!K88</f>
        <v>9643.5</v>
      </c>
      <c r="D9" s="9" t="n">
        <f aca="false">IF($C$50=0,0,C9/$C$50)</f>
        <v>0.0251667258070152</v>
      </c>
    </row>
    <row r="10" customFormat="false" ht="15" hidden="false" customHeight="true" outlineLevel="0" collapsed="false">
      <c r="A10" s="3" t="s">
        <v>15</v>
      </c>
      <c r="B10" s="3" t="s">
        <v>16</v>
      </c>
      <c r="C10" s="8" t="n">
        <f aca="false">Presupuesto!K112</f>
        <v>1450</v>
      </c>
      <c r="D10" s="9" t="n">
        <f aca="false">IF($C$50=0,0,C10/$C$50)</f>
        <v>0.00378407760876985</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0.00399520304225226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0.0131162132249963</v>
      </c>
    </row>
    <row r="17" customFormat="false" ht="15" hidden="false" customHeight="true" outlineLevel="0" collapsed="false">
      <c r="A17" s="3" t="s">
        <v>26</v>
      </c>
      <c r="B17" s="3" t="s">
        <v>27</v>
      </c>
      <c r="C17" s="8" t="n">
        <f aca="false">Presupuesto!K212</f>
        <v>6481.94</v>
      </c>
      <c r="D17" s="9" t="n">
        <f aca="false">IF($C$50=0,0,C17/$C$50)</f>
        <v>0.0169159751830274</v>
      </c>
    </row>
    <row r="18" customFormat="false" ht="15" hidden="false" customHeight="true" outlineLevel="0" collapsed="false">
      <c r="A18" s="3" t="s">
        <v>28</v>
      </c>
      <c r="B18" s="3" t="s">
        <v>29</v>
      </c>
      <c r="C18" s="8" t="n">
        <f aca="false">Presupuesto!K286</f>
        <v>73285.49</v>
      </c>
      <c r="D18" s="9" t="n">
        <f aca="false">IF($C$50=0,0,C18/$C$50)</f>
        <v>0.191253780521881</v>
      </c>
    </row>
    <row r="19" customFormat="false" ht="15" hidden="false" customHeight="true" outlineLevel="0" collapsed="false">
      <c r="A19" s="11" t="s">
        <v>30</v>
      </c>
      <c r="B19" s="11" t="s">
        <v>31</v>
      </c>
      <c r="C19" s="12" t="n">
        <f aca="false">SUMIFS(Presupuesto!$K$5:$K$1395,Presupuesto!$M$5:$M$1395,"P",Presupuesto!$O$5:$O$1395,"05.01")</f>
        <v>21706.49</v>
      </c>
    </row>
    <row r="20" customFormat="false" ht="15" hidden="false" customHeight="true" outlineLevel="0" collapsed="false">
      <c r="A20" s="11" t="s">
        <v>32</v>
      </c>
      <c r="B20" s="11" t="s">
        <v>33</v>
      </c>
      <c r="C20" s="12" t="n">
        <f aca="false">SUMIFS(Presupuesto!$K$5:$K$1395,Presupuesto!$M$5:$M$1395,"P",Presupuesto!$O$5:$O$1395,"05.02")</f>
        <v>51579</v>
      </c>
    </row>
    <row r="21" customFormat="false" ht="15" hidden="false" customHeight="true" outlineLevel="0" collapsed="false">
      <c r="A21" s="3" t="s">
        <v>34</v>
      </c>
      <c r="B21" s="3" t="s">
        <v>35</v>
      </c>
      <c r="C21" s="8" t="n">
        <f aca="false">Presupuesto!K365</f>
        <v>56445.34</v>
      </c>
      <c r="D21" s="9" t="n">
        <f aca="false">IF($C$50=0,0,C21/$C$50)</f>
        <v>0.147305894629932</v>
      </c>
    </row>
    <row r="22" customFormat="false" ht="15" hidden="false" customHeight="true" outlineLevel="0" collapsed="false">
      <c r="A22" s="3" t="s">
        <v>36</v>
      </c>
      <c r="B22" s="3" t="s">
        <v>37</v>
      </c>
      <c r="C22" s="8" t="n">
        <f aca="false">Presupuesto!K422</f>
        <v>14838.55</v>
      </c>
      <c r="D22" s="9" t="n">
        <f aca="false">IF($C$50=0,0,C22/$C$50)</f>
        <v>0.0387242929666289</v>
      </c>
    </row>
    <row r="23" customFormat="false" ht="15" hidden="false" customHeight="true" outlineLevel="0" collapsed="false">
      <c r="A23" s="3" t="s">
        <v>38</v>
      </c>
      <c r="B23" s="3" t="s">
        <v>39</v>
      </c>
      <c r="C23" s="8" t="n">
        <f aca="false">Presupuesto!K458</f>
        <v>7517.79</v>
      </c>
      <c r="D23" s="9" t="n">
        <f aca="false">IF($C$50=0,0,C23/$C$50)</f>
        <v>0.0196192419354717</v>
      </c>
    </row>
    <row r="24" customFormat="false" ht="15" hidden="false" customHeight="true" outlineLevel="0" collapsed="false">
      <c r="A24" s="3" t="s">
        <v>40</v>
      </c>
      <c r="B24" s="3" t="s">
        <v>41</v>
      </c>
      <c r="C24" s="8" t="n">
        <f aca="false">Presupuesto!K473</f>
        <v>3904.12</v>
      </c>
      <c r="D24" s="9" t="n">
        <f aca="false">IF($C$50=0,0,C24/$C$50)</f>
        <v>0.0101886159130694</v>
      </c>
    </row>
    <row r="25" customFormat="false" ht="15" hidden="false" customHeight="true" outlineLevel="0" collapsed="false">
      <c r="A25" s="3" t="s">
        <v>42</v>
      </c>
      <c r="B25" s="3" t="s">
        <v>43</v>
      </c>
      <c r="C25" s="8" t="n">
        <f aca="false">Presupuesto!K514</f>
        <v>21765.41</v>
      </c>
      <c r="D25" s="9" t="n">
        <f aca="false">IF($C$50=0,0,C25/$C$50)</f>
        <v>0.0568013797425486</v>
      </c>
    </row>
    <row r="26" customFormat="false" ht="15" hidden="false" customHeight="true" outlineLevel="0" collapsed="false">
      <c r="A26" s="3" t="s">
        <v>44</v>
      </c>
      <c r="B26" s="3" t="s">
        <v>45</v>
      </c>
      <c r="C26" s="8" t="n">
        <f aca="false">Presupuesto!K545</f>
        <v>26727.09</v>
      </c>
      <c r="D26" s="9" t="n">
        <f aca="false">IF($C$50=0,0,C26/$C$50)</f>
        <v>0.069749919183846</v>
      </c>
    </row>
    <row r="27" customFormat="false" ht="15" hidden="false" customHeight="true" outlineLevel="0" collapsed="false">
      <c r="A27" s="3" t="s">
        <v>46</v>
      </c>
      <c r="B27" s="3" t="s">
        <v>47</v>
      </c>
      <c r="C27" s="8" t="n">
        <f aca="false">Presupuesto!K564</f>
        <v>10570.72</v>
      </c>
      <c r="D27" s="9" t="n">
        <f aca="false">IF($C$50=0,0,C27/$C$50)</f>
        <v>0.0275864999038453</v>
      </c>
    </row>
    <row r="28" customFormat="false" ht="15" hidden="false" customHeight="true" outlineLevel="0" collapsed="false">
      <c r="A28" s="3" t="s">
        <v>48</v>
      </c>
      <c r="B28" s="3" t="s">
        <v>49</v>
      </c>
      <c r="C28" s="8" t="n">
        <f aca="false">Presupuesto!K632</f>
        <v>50806.39</v>
      </c>
      <c r="D28" s="9" t="n">
        <f aca="false">IF($C$50=0,0,C28/$C$50)</f>
        <v>0.132589877780296</v>
      </c>
    </row>
    <row r="29" customFormat="false" ht="15" hidden="false" customHeight="true" outlineLevel="0" collapsed="false">
      <c r="A29" s="3" t="s">
        <v>50</v>
      </c>
      <c r="B29" s="3" t="s">
        <v>51</v>
      </c>
      <c r="C29" s="8" t="n">
        <f aca="false">Presupuesto!K660</f>
        <v>21934.5</v>
      </c>
      <c r="D29" s="9" t="n">
        <f aca="false">IF($C$50=0,0,C29/$C$50)</f>
        <v>0.0572426553859051</v>
      </c>
    </row>
    <row r="30" customFormat="false" ht="15" hidden="false" customHeight="true" outlineLevel="0" collapsed="false">
      <c r="A30" s="3" t="s">
        <v>52</v>
      </c>
      <c r="B30" s="3" t="s">
        <v>53</v>
      </c>
      <c r="C30" s="8" t="n">
        <f aca="false">Presupuesto!K672</f>
        <v>8520.61</v>
      </c>
      <c r="D30" s="9" t="n">
        <f aca="false">IF($C$50=0,0,C30/$C$50)</f>
        <v>0.0222363100096969</v>
      </c>
    </row>
    <row r="31" customFormat="false" ht="15" hidden="false" customHeight="true" outlineLevel="0" collapsed="false">
      <c r="A31" s="3" t="s">
        <v>54</v>
      </c>
      <c r="B31" s="3" t="s">
        <v>55</v>
      </c>
      <c r="C31" s="8" t="n">
        <f aca="false">Presupuesto!K1069</f>
        <v>44120.33</v>
      </c>
      <c r="D31" s="9" t="n">
        <f aca="false">IF($C$50=0,0,C31/$C$50)</f>
        <v>0.115141208858301</v>
      </c>
    </row>
    <row r="32" customFormat="false" ht="15" hidden="false" customHeight="true" outlineLevel="0" collapsed="false">
      <c r="A32" s="11" t="s">
        <v>56</v>
      </c>
      <c r="B32" s="11" t="s">
        <v>57</v>
      </c>
      <c r="C32" s="12" t="n">
        <f aca="false">SUMIFS(Presupuesto!$K$5:$K$1395,Presupuesto!$M$5:$M$1395,"P",Presupuesto!$O$5:$O$1395,"16.01")</f>
        <v>8549.61</v>
      </c>
    </row>
    <row r="33" customFormat="false" ht="15" hidden="false" customHeight="true" outlineLevel="0" collapsed="false">
      <c r="A33" s="11" t="s">
        <v>58</v>
      </c>
      <c r="B33" s="11" t="s">
        <v>59</v>
      </c>
      <c r="C33" s="12" t="n">
        <f aca="false">SUMIFS(Presupuesto!$K$5:$K$1395,Presupuesto!$M$5:$M$1395,"P",Presupuesto!$O$5:$O$1395,"16.02")</f>
        <v>149.49</v>
      </c>
    </row>
    <row r="34" customFormat="false" ht="15" hidden="false" customHeight="true" outlineLevel="0" collapsed="false">
      <c r="A34" s="11" t="s">
        <v>60</v>
      </c>
      <c r="B34" s="11" t="s">
        <v>61</v>
      </c>
      <c r="C34" s="12" t="n">
        <f aca="false">SUMIFS(Presupuesto!$K$5:$K$1395,Presupuesto!$M$5:$M$1395,"P",Presupuesto!$O$5:$O$1395,"16.03")</f>
        <v>18015.07</v>
      </c>
    </row>
    <row r="35" customFormat="false" ht="15" hidden="false" customHeight="true" outlineLevel="0" collapsed="false">
      <c r="A35" s="11" t="s">
        <v>62</v>
      </c>
      <c r="B35" s="11" t="s">
        <v>63</v>
      </c>
      <c r="C35" s="12" t="n">
        <f aca="false">SUMIFS(Presupuesto!$K$5:$K$1395,Presupuesto!$M$5:$M$1395,"P",Presupuesto!$O$5:$O$1395,"16.04")</f>
        <v>2249.5</v>
      </c>
    </row>
    <row r="36" customFormat="false" ht="15" hidden="false" customHeight="true" outlineLevel="0" collapsed="false">
      <c r="A36" s="11" t="s">
        <v>64</v>
      </c>
      <c r="B36" s="11" t="s">
        <v>65</v>
      </c>
      <c r="C36" s="12" t="n">
        <f aca="false">SUMIFS(Presupuesto!$K$5:$K$1395,Presupuesto!$M$5:$M$1395,"P",Presupuesto!$O$5:$O$1395,"16.05")</f>
        <v>12478.35</v>
      </c>
    </row>
    <row r="37" customFormat="false" ht="15" hidden="false" customHeight="true" outlineLevel="0" collapsed="false">
      <c r="A37" s="11" t="s">
        <v>66</v>
      </c>
      <c r="B37" s="11" t="s">
        <v>67</v>
      </c>
      <c r="C37" s="12" t="n">
        <f aca="false">SUMIFS(Presupuesto!$K$5:$K$1395,Presupuesto!$M$5:$M$1395,"P",Presupuesto!$O$5:$O$1395,"16.06")</f>
        <v>2678.31</v>
      </c>
    </row>
    <row r="38" customFormat="false" ht="15" hidden="false" customHeight="true" outlineLevel="0" collapsed="false">
      <c r="A38" s="3" t="s">
        <v>68</v>
      </c>
      <c r="B38" s="3" t="s">
        <v>69</v>
      </c>
      <c r="C38" s="8" t="n">
        <f aca="false">Presupuesto!K1086</f>
        <v>1524.5</v>
      </c>
      <c r="D38" s="9" t="n">
        <f aca="false">IF($C$50=0,0,C38/$C$50)</f>
        <v>0.00397850090659975</v>
      </c>
    </row>
    <row r="39" customFormat="false" ht="15" hidden="false" customHeight="true" outlineLevel="0" collapsed="false">
      <c r="A39" s="11" t="s">
        <v>70</v>
      </c>
      <c r="B39" s="11" t="s">
        <v>71</v>
      </c>
      <c r="C39" s="12" t="n">
        <f aca="false">SUMIFS(Presupuesto!$K$5:$K$1395,Presupuesto!$M$5:$M$1395,"P",Presupuesto!$O$5:$O$1395,"18.01")</f>
        <v>500</v>
      </c>
    </row>
    <row r="40" customFormat="false" ht="15" hidden="false" customHeight="true" outlineLevel="0" collapsed="false">
      <c r="A40" s="11" t="s">
        <v>72</v>
      </c>
      <c r="B40" s="11" t="s">
        <v>73</v>
      </c>
      <c r="C40" s="12" t="n">
        <f aca="false">SUMIFS(Presupuesto!$K$5:$K$1395,Presupuesto!$M$5:$M$1395,"P",Presupuesto!$O$5:$O$1395,"18.02")</f>
        <v>1024.5</v>
      </c>
    </row>
    <row r="41" customFormat="false" ht="15" hidden="false" customHeight="true" outlineLevel="0" collapsed="false">
      <c r="A41" s="3" t="s">
        <v>74</v>
      </c>
      <c r="B41" s="3" t="s">
        <v>14</v>
      </c>
      <c r="C41" s="8" t="n">
        <f aca="false">Presupuesto!K1121</f>
        <v>2750.04</v>
      </c>
      <c r="D41" s="9" t="n">
        <f aca="false">IF($C$50=0,0,C41/$C$50)</f>
        <v>0.00717680330153203</v>
      </c>
    </row>
    <row r="42" customFormat="false" ht="15" hidden="false" customHeight="true" outlineLevel="0" collapsed="false">
      <c r="A42" s="3" t="s">
        <v>75</v>
      </c>
      <c r="B42" s="3" t="s">
        <v>16</v>
      </c>
      <c r="C42" s="8" t="n">
        <f aca="false">Presupuesto!K1393</f>
        <v>4095.6</v>
      </c>
      <c r="D42" s="9" t="n">
        <f aca="false">IF($C$50=0,0,C42/$C$50)</f>
        <v>0.0106883229341226</v>
      </c>
    </row>
    <row r="43" customFormat="false" ht="15" hidden="false" customHeight="true" outlineLevel="0" collapsed="false">
      <c r="A43" s="11" t="s">
        <v>76</v>
      </c>
      <c r="B43" s="11" t="s">
        <v>77</v>
      </c>
      <c r="C43" s="12" t="n">
        <f aca="false">SUMIFS(Presupuesto!$K$5:$K$1395,Presupuesto!$M$5:$M$1395,"P",Presupuesto!$O$5:$O$1395,"20.01")</f>
        <v>3346.11</v>
      </c>
    </row>
    <row r="44" customFormat="false" ht="15" hidden="false" customHeight="true" outlineLevel="0" collapsed="false">
      <c r="A44" s="11" t="s">
        <v>78</v>
      </c>
      <c r="B44" s="11" t="s">
        <v>79</v>
      </c>
      <c r="C44" s="12" t="n">
        <f aca="false">SUMIFS(Presupuesto!$K$5:$K$1395,Presupuesto!$M$5:$M$1395,"P",Presupuesto!$O$5:$O$1395,"20.02")</f>
        <v>113.7</v>
      </c>
    </row>
    <row r="45" customFormat="false" ht="15" hidden="false" customHeight="true" outlineLevel="0" collapsed="false">
      <c r="A45" s="11" t="s">
        <v>80</v>
      </c>
      <c r="B45" s="11" t="s">
        <v>81</v>
      </c>
      <c r="C45" s="12" t="n">
        <f aca="false">SUMIFS(Presupuesto!$K$5:$K$1395,Presupuesto!$M$5:$M$1395,"P",Presupuesto!$O$5:$O$1395,"20.03")</f>
        <v>333.5</v>
      </c>
    </row>
    <row r="46" customFormat="false" ht="15" hidden="false" customHeight="true" outlineLevel="0" collapsed="false">
      <c r="A46" s="11" t="s">
        <v>82</v>
      </c>
      <c r="B46" s="11" t="s">
        <v>83</v>
      </c>
      <c r="C46" s="12" t="n">
        <f aca="false">SUMIFS(Presupuesto!$K$5:$K$1395,Presupuesto!$M$5:$M$1395,"P",Presupuesto!$O$5:$O$1395,"20.04")</f>
        <v>122.3</v>
      </c>
    </row>
    <row r="47" customFormat="false" ht="15" hidden="false" customHeight="true" outlineLevel="0" collapsed="false">
      <c r="A47" s="11" t="s">
        <v>84</v>
      </c>
      <c r="B47" s="11" t="s">
        <v>85</v>
      </c>
      <c r="C47" s="12" t="n">
        <f aca="false">SUMIFS(Presupuesto!$K$5:$K$1395,Presupuesto!$M$5:$M$1395,"P",Presupuesto!$O$5:$O$1395,"20.05")</f>
        <v>179.99</v>
      </c>
    </row>
    <row r="48" customFormat="false" ht="15" hidden="false" customHeight="true" outlineLevel="0" collapsed="false">
      <c r="B48" s="3" t="s">
        <v>86</v>
      </c>
      <c r="C48" s="10" t="n">
        <f aca="false">C14+C15+C16+C17+C18+C21+C22+C23+C24+C25+C26+C27+C28+C29+C30+C31+C38+C41+C42</f>
        <v>361845.25</v>
      </c>
    </row>
    <row r="50" customFormat="false" ht="15" hidden="false" customHeight="true" outlineLevel="0" collapsed="false">
      <c r="B50" s="13" t="s">
        <v>87</v>
      </c>
      <c r="C50" s="14" t="n">
        <f aca="false">C11+C48</f>
        <v>383184.53</v>
      </c>
    </row>
    <row r="52" customFormat="false" ht="15" hidden="false" customHeight="true" outlineLevel="0" collapsed="false">
      <c r="B52" s="11" t="s">
        <v>88</v>
      </c>
      <c r="C52" s="15" t="n">
        <f aca="false">ROUND(C50*D52,2)</f>
        <v>19159.23</v>
      </c>
      <c r="D52" s="16" t="n">
        <v>0.05</v>
      </c>
    </row>
    <row r="53" customFormat="false" ht="15" hidden="false" customHeight="true" outlineLevel="0" collapsed="false">
      <c r="B53" s="11" t="s">
        <v>89</v>
      </c>
      <c r="C53" s="15" t="n">
        <f aca="false">ROUND(C50*D53,2)</f>
        <v>19159.23</v>
      </c>
      <c r="D53" s="16" t="n">
        <v>0.05</v>
      </c>
    </row>
    <row r="54" customFormat="false" ht="15" hidden="false" customHeight="true" outlineLevel="0" collapsed="false">
      <c r="B54" s="3" t="s">
        <v>90</v>
      </c>
      <c r="C54" s="17" t="n">
        <f aca="false">C50+C52+C53</f>
        <v>421502.99</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39802.98</v>
      </c>
      <c r="D56" s="16" t="n">
        <v>0.1</v>
      </c>
    </row>
    <row r="57" customFormat="false" ht="15" hidden="false" customHeight="true" outlineLevel="0" collapsed="false">
      <c r="B57" s="13" t="s">
        <v>93</v>
      </c>
      <c r="C57" s="14" t="n">
        <f aca="false">C54+C55+C56</f>
        <v>466235.34</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1091.13426163221</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261.19</v>
      </c>
      <c r="H239" s="29" t="n">
        <f aca="false">IF(COUNT(D239:G239)=0,0,D239*IF(E239="",1,E239)*IF(F239="",1,F239)*IF(G239="",1,G239))</f>
        <v>261.19</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261.19</v>
      </c>
      <c r="J242" s="32" t="n">
        <v>74</v>
      </c>
      <c r="K242" s="31" t="n">
        <f aca="false">ROUND(I242*J242,2)</f>
        <v>19328.06</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83.29</v>
      </c>
      <c r="H267" s="29" t="n">
        <f aca="false">IF(COUNT(D267:G267)=0,0,D267*IF(E267="",1,E267)*IF(F267="",1,F267)*IF(G267="",1,G267))</f>
        <v>83.29</v>
      </c>
      <c r="M267" s="23"/>
      <c r="N267" s="23"/>
      <c r="O267" s="23"/>
    </row>
    <row r="268" customFormat="false" ht="18.75" hidden="false" customHeight="true" outlineLevel="0" collapsed="false">
      <c r="H268" s="30"/>
      <c r="I268" s="31" t="n">
        <f aca="false">ROUND(SUM(H267:H267),2)</f>
        <v>83.29</v>
      </c>
      <c r="J268" s="32" t="n">
        <v>108</v>
      </c>
      <c r="K268" s="31" t="n">
        <f aca="false">ROUND(I268*J268,2)</f>
        <v>8995.32</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73285.49</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304</v>
      </c>
      <c r="D291" s="28" t="n">
        <v>1</v>
      </c>
      <c r="E291" s="35" t="n">
        <f aca="false">'Mediciones BIM'!E14</f>
        <v>81.8</v>
      </c>
      <c r="G291" s="28"/>
      <c r="H291" s="29" t="n">
        <f aca="false">IF(COUNT(D291:G291)=0,0,D291*IF(E291="",1,E291)*IF(F291="",1,F291)*IF(G291="",1,G291))</f>
        <v>81.8</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81.8</v>
      </c>
      <c r="J299" s="32" t="n">
        <v>82</v>
      </c>
      <c r="K299" s="31" t="n">
        <f aca="false">ROUND(I299*J299,2)</f>
        <v>6707.6</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93.83</v>
      </c>
      <c r="G302" s="28"/>
      <c r="H302" s="29" t="n">
        <f aca="false">IF(COUNT(D302:G302)=0,0,D302*IF(E302="",1,E302)*IF(F302="",1,F302)*IF(G302="",1,G302))</f>
        <v>93.83</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93.83</v>
      </c>
      <c r="J306" s="32" t="n">
        <v>58</v>
      </c>
      <c r="K306" s="31" t="n">
        <f aca="false">ROUND(I306*J306,2)</f>
        <v>5442.14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366.79</v>
      </c>
      <c r="G309" s="28"/>
      <c r="H309" s="29" t="n">
        <f aca="false">IF(COUNT(D309:G309)=0,0,D309*IF(E309="",1,E309)*IF(F309="",1,F309)*IF(G309="",1,G309))</f>
        <v>366.79</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366.79</v>
      </c>
      <c r="J314" s="32" t="n">
        <v>54</v>
      </c>
      <c r="K314" s="31" t="n">
        <f aca="false">ROUND(I314*J314,2)</f>
        <v>19806.66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360.25</v>
      </c>
      <c r="G317" s="28"/>
      <c r="H317" s="29" t="n">
        <f aca="false">IF(COUNT(D317:G317)=0,0,D317*IF(E317="",1,E317)*IF(F317="",1,F317)*IF(G317="",1,G317))</f>
        <v>360.25</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360.25</v>
      </c>
      <c r="J320" s="32" t="n">
        <v>4.8</v>
      </c>
      <c r="K320" s="31" t="n">
        <f aca="false">ROUND(I320*J320,2)</f>
        <v>1729.2</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304</v>
      </c>
      <c r="D323" s="28" t="n">
        <v>1</v>
      </c>
      <c r="E323" s="35" t="n">
        <f aca="false">'Mediciones BIM'!E18</f>
        <v>97.96</v>
      </c>
      <c r="G323" s="28"/>
      <c r="H323" s="29" t="n">
        <f aca="false">IF(COUNT(D323:G323)=0,0,D323*IF(E323="",1,E323)*IF(F323="",1,F323)*IF(G323="",1,G323))</f>
        <v>97.96</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97.96</v>
      </c>
      <c r="J326" s="32" t="n">
        <v>34</v>
      </c>
      <c r="K326" s="31" t="n">
        <f aca="false">ROUND(I326*J326,2)</f>
        <v>3330.64</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110.38</v>
      </c>
      <c r="G329" s="28"/>
      <c r="H329" s="29" t="n">
        <f aca="false">IF(COUNT(D329:G329)=0,0,D329*IF(E329="",1,E329)*IF(F329="",1,F329)*IF(G329="",1,G329))</f>
        <v>110.38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110.38</v>
      </c>
      <c r="J332" s="32" t="n">
        <v>33</v>
      </c>
      <c r="K332" s="31" t="n">
        <f aca="false">ROUND(I332*J332,2)</f>
        <v>3642.54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50.34</v>
      </c>
      <c r="H342" s="29" t="n">
        <f aca="false">IF(COUNT(D342:G342)=0,0,D342*IF(E342="",1,E342)*IF(F342="",1,F342)*IF(G342="",1,G342))</f>
        <v>50.34</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50.34</v>
      </c>
      <c r="J344" s="32" t="n">
        <v>29</v>
      </c>
      <c r="K344" s="31" t="n">
        <f aca="false">ROUND(I344*J344,2)</f>
        <v>1459.86</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56445.34</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83.29</v>
      </c>
      <c r="H370" s="29" t="n">
        <f aca="false">IF(COUNT(D370:G370)=0,0,D370*IF(E370="",1,E370)*IF(F370="",1,F370)*IF(G370="",1,G370))</f>
        <v>83.29</v>
      </c>
      <c r="M370" s="23"/>
      <c r="N370" s="23"/>
      <c r="O370" s="23"/>
    </row>
    <row r="371" customFormat="false" ht="18.75" hidden="false" customHeight="true" outlineLevel="0" collapsed="false">
      <c r="H371" s="30"/>
      <c r="I371" s="31" t="n">
        <f aca="false">ROUND(SUM(H370:H370),2)</f>
        <v>83.29</v>
      </c>
      <c r="J371" s="32" t="n">
        <v>17.5</v>
      </c>
      <c r="K371" s="31" t="n">
        <f aca="false">ROUND(I371*J371,2)</f>
        <v>1457.58</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v>90.86</v>
      </c>
      <c r="H374" s="29" t="n">
        <f aca="false">IF(COUNT(D374:G374)=0,0,D374*IF(E374="",1,E374)*IF(F374="",1,F374)*IF(G374="",1,G374))</f>
        <v>90.86</v>
      </c>
      <c r="M374" s="23"/>
      <c r="N374" s="23"/>
      <c r="O374" s="23"/>
    </row>
    <row r="375" customFormat="false" ht="18.75" hidden="false" customHeight="true" outlineLevel="0" collapsed="false">
      <c r="H375" s="30"/>
      <c r="I375" s="31" t="n">
        <f aca="false">ROUND(SUM(H374:H374),2)</f>
        <v>90.86</v>
      </c>
      <c r="J375" s="32" t="n">
        <v>19.5</v>
      </c>
      <c r="K375" s="31" t="n">
        <f aca="false">ROUND(I375*J375,2)</f>
        <v>1771.77</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v>90.86</v>
      </c>
      <c r="H378" s="29" t="n">
        <f aca="false">IF(COUNT(D378:G378)=0,0,D378*IF(E378="",1,E378)*IF(F378="",1,F378)*IF(G378="",1,G378))</f>
        <v>90.86</v>
      </c>
      <c r="M378" s="23"/>
      <c r="N378" s="23"/>
      <c r="O378" s="23"/>
    </row>
    <row r="379" customFormat="false" ht="15" hidden="false" customHeight="true" outlineLevel="0" collapsed="false">
      <c r="H379" s="30"/>
      <c r="I379" s="31" t="n">
        <f aca="false">ROUND(SUM(H378:H378),2)</f>
        <v>90.86</v>
      </c>
      <c r="J379" s="32" t="n">
        <v>3.9</v>
      </c>
      <c r="K379" s="31" t="n">
        <f aca="false">ROUND(I379*J379,2)</f>
        <v>354.35</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v>90.86</v>
      </c>
      <c r="H382" s="29" t="n">
        <f aca="false">IF(COUNT(D382:G382)=0,0,D382*IF(E382="",1,E382)*IF(F382="",1,F382)*IF(G382="",1,G382))</f>
        <v>90.86</v>
      </c>
      <c r="M382" s="23"/>
      <c r="N382" s="23"/>
      <c r="O382" s="23"/>
    </row>
    <row r="383" customFormat="false" ht="18.75" hidden="false" customHeight="true" outlineLevel="0" collapsed="false">
      <c r="H383" s="30"/>
      <c r="I383" s="31" t="n">
        <f aca="false">ROUND(SUM(H382:H382),2)</f>
        <v>90.86</v>
      </c>
      <c r="J383" s="32" t="n">
        <v>9.5</v>
      </c>
      <c r="K383" s="31" t="n">
        <f aca="false">ROUND(I383*J383,2)</f>
        <v>863.17</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83.29</v>
      </c>
      <c r="H386" s="29" t="n">
        <f aca="false">IF(COUNT(D386:G386)=0,0,D386*IF(E386="",1,E386)*IF(F386="",1,F386)*IF(G386="",1,G386))</f>
        <v>83.29</v>
      </c>
      <c r="M386" s="23"/>
      <c r="N386" s="23"/>
      <c r="O386" s="23"/>
    </row>
    <row r="387" customFormat="false" ht="15" hidden="false" customHeight="true" outlineLevel="0" collapsed="false">
      <c r="H387" s="30"/>
      <c r="I387" s="31" t="n">
        <f aca="false">ROUND(SUM(H386:H386),2)</f>
        <v>83.29</v>
      </c>
      <c r="J387" s="32" t="n">
        <v>36.12</v>
      </c>
      <c r="K387" s="31" t="n">
        <f aca="false">ROUND(I387*J387,2)</f>
        <v>3008.43</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24</v>
      </c>
      <c r="H390" s="29" t="n">
        <f aca="false">IF(COUNT(D390:G390)=0,0,D390*IF(E390="",1,E390)*IF(F390="",1,F390)*IF(G390="",1,G390))</f>
        <v>24</v>
      </c>
      <c r="M390" s="23"/>
      <c r="N390" s="23"/>
      <c r="O390" s="23"/>
    </row>
    <row r="391" customFormat="false" ht="15" hidden="false" customHeight="true" outlineLevel="0" collapsed="false">
      <c r="H391" s="30"/>
      <c r="I391" s="31" t="n">
        <f aca="false">ROUND(SUM(H390:H390),2)</f>
        <v>24</v>
      </c>
      <c r="J391" s="32" t="n">
        <v>48.79</v>
      </c>
      <c r="K391" s="31" t="n">
        <f aca="false">ROUND(I391*J391,2)</f>
        <v>1170.96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56.54</v>
      </c>
      <c r="H400" s="29" t="n">
        <f aca="false">IF(COUNT(D400:G400)=0,0,D400*IF(E400="",1,E400)*IF(F400="",1,F400)*IF(G400="",1,G400))</f>
        <v>56.54</v>
      </c>
      <c r="M400" s="23"/>
      <c r="N400" s="23"/>
      <c r="O400" s="23"/>
    </row>
    <row r="401" customFormat="false" ht="18.75" hidden="false" customHeight="true" outlineLevel="0" collapsed="false">
      <c r="H401" s="30"/>
      <c r="I401" s="31" t="n">
        <f aca="false">ROUND(SUM(H400:H400),2)</f>
        <v>56.54</v>
      </c>
      <c r="J401" s="32" t="n">
        <v>40</v>
      </c>
      <c r="K401" s="31" t="n">
        <f aca="false">ROUND(I401*J401,2)</f>
        <v>2261.6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29.32</v>
      </c>
      <c r="H404" s="29" t="n">
        <f aca="false">IF(COUNT(D404:G404)=0,0,D404*IF(E404="",1,E404)*IF(F404="",1,F404)*IF(G404="",1,G404))</f>
        <v>29.32</v>
      </c>
      <c r="M404" s="23"/>
      <c r="N404" s="23"/>
      <c r="O404" s="23"/>
    </row>
    <row r="405" customFormat="false" ht="18.75" hidden="false" customHeight="true" outlineLevel="0" collapsed="false">
      <c r="H405" s="30"/>
      <c r="I405" s="31" t="n">
        <f aca="false">ROUND(SUM(H404:H404),2)</f>
        <v>29.32</v>
      </c>
      <c r="J405" s="32" t="n">
        <v>24.5</v>
      </c>
      <c r="K405" s="31" t="n">
        <f aca="false">ROUND(I405*J405,2)</f>
        <v>718.34</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2</v>
      </c>
      <c r="H412" s="29" t="n">
        <f aca="false">IF(COUNT(D412:G412)=0,0,D412*IF(E412="",1,E412)*IF(F412="",1,F412)*IF(G412="",1,G412))</f>
        <v>2</v>
      </c>
      <c r="M412" s="23"/>
      <c r="N412" s="23"/>
      <c r="O412" s="23"/>
    </row>
    <row r="413" customFormat="false" ht="18.75" hidden="false" customHeight="true" outlineLevel="0" collapsed="false">
      <c r="H413" s="30"/>
      <c r="I413" s="31" t="n">
        <f aca="false">ROUND(SUM(H412:H412),2)</f>
        <v>2</v>
      </c>
      <c r="J413" s="32" t="n">
        <v>185</v>
      </c>
      <c r="K413" s="31" t="n">
        <f aca="false">ROUND(I413*J413,2)</f>
        <v>370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70.02</v>
      </c>
      <c r="H416" s="29" t="n">
        <f aca="false">IF(COUNT(D416:G416)=0,0,D416*IF(E416="",1,E416)*IF(F416="",1,F416)*IF(G416="",1,G416))</f>
        <v>70.02</v>
      </c>
      <c r="M416" s="23"/>
      <c r="N416" s="23"/>
      <c r="O416" s="23"/>
    </row>
    <row r="417" customFormat="false" ht="18.75" hidden="false" customHeight="true" outlineLevel="0" collapsed="false">
      <c r="H417" s="30"/>
      <c r="I417" s="31" t="n">
        <f aca="false">ROUND(SUM(H416:H416),2)</f>
        <v>70.02</v>
      </c>
      <c r="J417" s="32" t="n">
        <v>13</v>
      </c>
      <c r="K417" s="31" t="n">
        <f aca="false">ROUND(I417*J417,2)</f>
        <v>910.26</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58.97</v>
      </c>
      <c r="H420" s="29" t="n">
        <f aca="false">IF(COUNT(D420:G420)=0,0,D420*IF(E420="",1,E420)*IF(F420="",1,F420)*IF(G420="",1,G420))</f>
        <v>58.97</v>
      </c>
      <c r="M420" s="23"/>
      <c r="N420" s="23"/>
      <c r="O420" s="23"/>
    </row>
    <row r="421" customFormat="false" ht="18.75" hidden="false" customHeight="true" outlineLevel="0" collapsed="false">
      <c r="H421" s="30"/>
      <c r="I421" s="31" t="n">
        <f aca="false">ROUND(SUM(H420:H420),2)</f>
        <v>58.97</v>
      </c>
      <c r="J421" s="32" t="n">
        <v>3.8</v>
      </c>
      <c r="K421" s="31" t="n">
        <f aca="false">ROUND(I421*J421,2)</f>
        <v>224.09</v>
      </c>
      <c r="L421" s="33" t="s">
        <v>238</v>
      </c>
      <c r="M421" s="23" t="s">
        <v>123</v>
      </c>
      <c r="N421" s="23" t="s">
        <v>36</v>
      </c>
      <c r="O421" s="23"/>
    </row>
    <row r="422" customFormat="false" ht="15" hidden="false" customHeight="true" outlineLevel="0" collapsed="false">
      <c r="C422" s="34" t="s">
        <v>453</v>
      </c>
      <c r="K422" s="14" t="n">
        <f aca="false">SUMIFS($K$5:$K$421,$M$5:$M$421,"P",$N$5:$N$421,"07")</f>
        <v>14838.55</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220.42</v>
      </c>
      <c r="H436" s="29" t="n">
        <f aca="false">IF(COUNT(D436:G436)=0,0,D436*IF(E436="",1,E436)*IF(F436="",1,F436)*IF(G436="",1,G436))</f>
        <v>220.42</v>
      </c>
      <c r="M436" s="23"/>
      <c r="N436" s="23"/>
      <c r="O436" s="23"/>
    </row>
    <row r="437" customFormat="false" ht="18.75" hidden="false" customHeight="true" outlineLevel="0" collapsed="false">
      <c r="H437" s="30"/>
      <c r="I437" s="31" t="n">
        <f aca="false">ROUND(SUM(H436:H436),2)</f>
        <v>220.42</v>
      </c>
      <c r="J437" s="32" t="n">
        <v>4.6</v>
      </c>
      <c r="K437" s="31" t="n">
        <f aca="false">ROUND(I437*J437,2)</f>
        <v>1013.93</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138.14</v>
      </c>
      <c r="H448" s="29" t="n">
        <f aca="false">IF(COUNT(D448:G448)=0,0,D448*IF(E448="",1,E448)*IF(F448="",1,F448)*IF(G448="",1,G448))</f>
        <v>138.14</v>
      </c>
      <c r="M448" s="23"/>
      <c r="N448" s="23"/>
      <c r="O448" s="23"/>
    </row>
    <row r="449" customFormat="false" ht="18.75" hidden="false" customHeight="true" outlineLevel="0" collapsed="false">
      <c r="H449" s="30"/>
      <c r="I449" s="31" t="n">
        <f aca="false">ROUND(SUM(H448:H448),2)</f>
        <v>138.14</v>
      </c>
      <c r="J449" s="32" t="n">
        <v>6.8</v>
      </c>
      <c r="K449" s="31" t="n">
        <f aca="false">ROUND(I449*J449,2)</f>
        <v>939.35</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70.02</v>
      </c>
      <c r="H456" s="29" t="n">
        <f aca="false">IF(COUNT(D456:G456)=0,0,D456*IF(E456="",1,E456)*IF(F456="",1,F456)*IF(G456="",1,G456))</f>
        <v>70.02</v>
      </c>
      <c r="M456" s="23"/>
      <c r="N456" s="23"/>
      <c r="O456" s="23"/>
    </row>
    <row r="457" customFormat="false" ht="18.75" hidden="false" customHeight="true" outlineLevel="0" collapsed="false">
      <c r="H457" s="30"/>
      <c r="I457" s="31" t="n">
        <f aca="false">ROUND(SUM(H456:H456),2)</f>
        <v>70.02</v>
      </c>
      <c r="J457" s="32" t="n">
        <v>22</v>
      </c>
      <c r="K457" s="31" t="n">
        <f aca="false">ROUND(I457*J457,2)</f>
        <v>1540.44</v>
      </c>
      <c r="L457" s="33" t="s">
        <v>238</v>
      </c>
      <c r="M457" s="23" t="s">
        <v>123</v>
      </c>
      <c r="N457" s="23" t="s">
        <v>38</v>
      </c>
      <c r="O457" s="23"/>
    </row>
    <row r="458" customFormat="false" ht="15" hidden="false" customHeight="true" outlineLevel="0" collapsed="false">
      <c r="C458" s="34" t="s">
        <v>482</v>
      </c>
      <c r="K458" s="14" t="n">
        <f aca="false">SUMIFS($K$5:$K$457,$M$5:$M$457,"P",$N$5:$N$457,"08")</f>
        <v>7517.79</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96.96</v>
      </c>
      <c r="H463" s="29" t="n">
        <f aca="false">IF(COUNT(D463:G463)=0,0,D463*IF(E463="",1,E463)*IF(F463="",1,F463)*IF(G463="",1,G463))</f>
        <v>96.96</v>
      </c>
      <c r="M463" s="23"/>
      <c r="N463" s="23"/>
      <c r="O463" s="23"/>
    </row>
    <row r="464" customFormat="false" ht="18.75" hidden="false" customHeight="true" outlineLevel="0" collapsed="false">
      <c r="H464" s="30"/>
      <c r="I464" s="31" t="n">
        <f aca="false">ROUND(SUM(H463:H463),2)</f>
        <v>96.96</v>
      </c>
      <c r="J464" s="32" t="n">
        <v>27</v>
      </c>
      <c r="K464" s="31" t="n">
        <f aca="false">ROUND(I464*J464,2)</f>
        <v>2617.92</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304</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3904.12</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70.02</v>
      </c>
      <c r="H491" s="29" t="n">
        <f aca="false">IF(COUNT(D491:G491)=0,0,D491*IF(E491="",1,E491)*IF(F491="",1,F491)*IF(G491="",1,G491))</f>
        <v>70.02</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70.02</v>
      </c>
      <c r="J493" s="32" t="n">
        <v>56</v>
      </c>
      <c r="K493" s="31" t="n">
        <f aca="false">ROUND(I493*J493,2)</f>
        <v>3921.12</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70.02</v>
      </c>
      <c r="H512" s="29" t="n">
        <f aca="false">IF(COUNT(D512:G512)=0,0,D512*IF(E512="",1,E512)*IF(F512="",1,F512)*IF(G512="",1,G512))</f>
        <v>70.02</v>
      </c>
      <c r="M512" s="23"/>
      <c r="N512" s="23"/>
      <c r="O512" s="23"/>
    </row>
    <row r="513" customFormat="false" ht="15" hidden="false" customHeight="true" outlineLevel="0" collapsed="false">
      <c r="H513" s="30"/>
      <c r="I513" s="31" t="n">
        <f aca="false">ROUND(SUM(H512:H512),2)</f>
        <v>70.02</v>
      </c>
      <c r="J513" s="32" t="n">
        <v>15</v>
      </c>
      <c r="K513" s="31" t="n">
        <f aca="false">ROUND(I513*J513,2)</f>
        <v>1050.3</v>
      </c>
      <c r="L513" s="33" t="s">
        <v>523</v>
      </c>
      <c r="M513" s="23" t="s">
        <v>123</v>
      </c>
      <c r="N513" s="23" t="s">
        <v>42</v>
      </c>
      <c r="O513" s="23"/>
    </row>
    <row r="514" customFormat="false" ht="15" hidden="false" customHeight="true" outlineLevel="0" collapsed="false">
      <c r="C514" s="34" t="s">
        <v>524</v>
      </c>
      <c r="K514" s="14" t="n">
        <f aca="false">SUMIFS($K$5:$K$513,$M$5:$M$513,"P",$N$5:$N$513,"10")</f>
        <v>21765.41</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254.34</v>
      </c>
      <c r="H519" s="29" t="n">
        <f aca="false">IF(COUNT(D519:G519)=0,0,D519*IF(E519="",1,E519)*IF(F519="",1,F519)*IF(G519="",1,G519))</f>
        <v>254.34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254.34</v>
      </c>
      <c r="J522" s="32" t="n">
        <v>29.56</v>
      </c>
      <c r="K522" s="31" t="n">
        <f aca="false">ROUND(I522*J522,2)</f>
        <v>7518.29</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939.2</v>
      </c>
      <c r="H525" s="29" t="n">
        <f aca="false">IF(COUNT(D525:G525)=0,0,D525*IF(E525="",1,E525)*IF(F525="",1,F525)*IF(G525="",1,G525))</f>
        <v>939.2</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939.2</v>
      </c>
      <c r="J532" s="32" t="n">
        <v>14</v>
      </c>
      <c r="K532" s="31" t="n">
        <f aca="false">ROUND(I532*J532,2)</f>
        <v>13148.8</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304</v>
      </c>
      <c r="D535" s="28" t="n">
        <v>1</v>
      </c>
      <c r="E535" s="35" t="n">
        <f aca="false">'Mediciones BIM'!E40</f>
        <v>87.52</v>
      </c>
      <c r="G535" s="28"/>
      <c r="H535" s="29" t="n">
        <f aca="false">IF(COUNT(D535:G535)=0,0,D535*IF(E535="",1,E535)*IF(F535="",1,F535)*IF(G535="",1,G535))</f>
        <v>87.52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87.52</v>
      </c>
      <c r="J540" s="32" t="n">
        <v>64</v>
      </c>
      <c r="K540" s="31" t="n">
        <f aca="false">ROUND(I540*J540,2)</f>
        <v>5601.28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26727.09</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1125.93</v>
      </c>
      <c r="K626" s="31" t="n">
        <f aca="false">ROUND(I626*J626,2)</f>
        <v>1125.93</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50806.39</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1</v>
      </c>
      <c r="H644" s="29" t="n">
        <f aca="false">IF(COUNT(D644:G644)=0,0,D644*IF(E644="",1,E644)*IF(F644="",1,F644)*IF(G644="",1,G644))</f>
        <v>1</v>
      </c>
      <c r="M644" s="23"/>
      <c r="N644" s="23"/>
      <c r="O644" s="23"/>
    </row>
    <row r="645" customFormat="false" ht="18.75" hidden="false" customHeight="true" outlineLevel="0" collapsed="false">
      <c r="H645" s="30"/>
      <c r="I645" s="31" t="n">
        <f aca="false">ROUND(SUM(H642:H644),2)</f>
        <v>3</v>
      </c>
      <c r="J645" s="32" t="n">
        <v>780</v>
      </c>
      <c r="K645" s="31" t="n">
        <f aca="false">ROUND(I645*J645,2)</f>
        <v>2340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27.08</v>
      </c>
      <c r="H648" s="29" t="n">
        <f aca="false">IF(COUNT(D648:G648)=0,0,D648*IF(E648="",1,E648)*IF(F648="",1,F648)*IF(G648="",1,G648))</f>
        <v>27.08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27.08</v>
      </c>
      <c r="J651" s="32" t="n">
        <v>215</v>
      </c>
      <c r="K651" s="31" t="n">
        <f aca="false">ROUND(I651*J651,2)</f>
        <v>5822.2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5" hidden="false" customHeight="true" outlineLevel="0" collapsed="false">
      <c r="C660" s="34" t="s">
        <v>624</v>
      </c>
      <c r="K660" s="14" t="n">
        <f aca="false">SUMIFS($K$5:$K$659,$M$5:$M$659,"P",$N$5:$N$659,"14")</f>
        <v>21934.5</v>
      </c>
      <c r="M660" s="23"/>
      <c r="N660" s="23"/>
      <c r="O660" s="23"/>
    </row>
    <row r="661" customFormat="false" ht="15" hidden="false" customHeight="true" outlineLevel="0" collapsed="false">
      <c r="M661" s="23"/>
      <c r="N661" s="23"/>
      <c r="O661" s="23"/>
    </row>
    <row r="662" customFormat="false" ht="15" hidden="false" customHeight="true" outlineLevel="0" collapsed="false">
      <c r="A662" s="24" t="s">
        <v>52</v>
      </c>
      <c r="B662" s="25"/>
      <c r="C662" s="24" t="s">
        <v>53</v>
      </c>
      <c r="D662" s="25"/>
      <c r="E662" s="25"/>
      <c r="F662" s="25"/>
      <c r="G662" s="25"/>
      <c r="H662" s="25"/>
      <c r="I662" s="25"/>
      <c r="J662" s="25"/>
      <c r="K662" s="25"/>
      <c r="L662" s="25"/>
      <c r="M662" s="23" t="s">
        <v>115</v>
      </c>
      <c r="N662" s="23" t="s">
        <v>52</v>
      </c>
      <c r="O662" s="23"/>
    </row>
    <row r="663" customFormat="false" ht="15" hidden="false" customHeight="true" outlineLevel="0" collapsed="false">
      <c r="A663" s="3" t="s">
        <v>625</v>
      </c>
      <c r="B663" s="3" t="s">
        <v>117</v>
      </c>
      <c r="C663" s="3" t="s">
        <v>626</v>
      </c>
      <c r="M663" s="23"/>
      <c r="N663" s="23"/>
      <c r="O663" s="23"/>
    </row>
    <row r="664" customFormat="false" ht="96" hidden="false" customHeight="true" outlineLevel="0" collapsed="false">
      <c r="C664" s="26" t="s">
        <v>627</v>
      </c>
      <c r="M664" s="23"/>
      <c r="N664" s="23"/>
      <c r="O664" s="23"/>
    </row>
    <row r="665" customFormat="false" ht="15" hidden="false" customHeight="true" outlineLevel="0" collapsed="false">
      <c r="C665" s="27" t="s">
        <v>316</v>
      </c>
      <c r="D665" s="28" t="n">
        <v>1</v>
      </c>
      <c r="E665" s="35" t="n">
        <f aca="false">'Mediciones BIM'!E57</f>
        <v>1036.16</v>
      </c>
      <c r="H665" s="29" t="n">
        <f aca="false">IF(COUNT(D665:G665)=0,0,D665*IF(E665="",1,E665)*IF(F665="",1,F665)*IF(G665="",1,G665))</f>
        <v>1036.16</v>
      </c>
      <c r="M665" s="23"/>
      <c r="N665" s="23"/>
      <c r="O665" s="23"/>
    </row>
    <row r="666" customFormat="false" ht="15" hidden="false" customHeight="true" outlineLevel="0" collapsed="false">
      <c r="C666" s="27"/>
      <c r="D666" s="28"/>
      <c r="E666" s="28"/>
      <c r="H666" s="29" t="n">
        <f aca="false">IF(COUNT(D666:G666)=0,0,D666*IF(E666="",1,E666)*IF(F666="",1,F666)*IF(G666="",1,G666))</f>
        <v>0</v>
      </c>
      <c r="M666" s="23"/>
      <c r="N666" s="23"/>
      <c r="O666" s="23"/>
    </row>
    <row r="667" customFormat="false" ht="15" hidden="false" customHeight="true" outlineLevel="0" collapsed="false">
      <c r="H667" s="30"/>
      <c r="I667" s="31" t="n">
        <f aca="false">ROUND(SUM(H665:H666),2)</f>
        <v>1036.16</v>
      </c>
      <c r="J667" s="32" t="n">
        <v>6.37</v>
      </c>
      <c r="K667" s="31" t="n">
        <f aca="false">ROUND(I667*J667,2)</f>
        <v>6600.34</v>
      </c>
      <c r="L667" s="33" t="s">
        <v>212</v>
      </c>
      <c r="M667" s="23" t="s">
        <v>123</v>
      </c>
      <c r="N667" s="23" t="s">
        <v>52</v>
      </c>
      <c r="O667" s="23"/>
    </row>
    <row r="668" customFormat="false" ht="15" hidden="false" customHeight="true" outlineLevel="0" collapsed="false">
      <c r="A668" s="3" t="s">
        <v>628</v>
      </c>
      <c r="B668" s="3" t="s">
        <v>418</v>
      </c>
      <c r="C668" s="3" t="s">
        <v>629</v>
      </c>
      <c r="M668" s="23"/>
      <c r="N668" s="23"/>
      <c r="O668" s="23"/>
    </row>
    <row r="669" customFormat="false" ht="36" hidden="false" customHeight="true" outlineLevel="0" collapsed="false">
      <c r="C669" s="26" t="s">
        <v>630</v>
      </c>
      <c r="M669" s="23"/>
      <c r="N669" s="23"/>
      <c r="O669" s="23"/>
    </row>
    <row r="670" customFormat="false" ht="15" hidden="false" customHeight="true" outlineLevel="0" collapsed="false">
      <c r="C670" s="27" t="s">
        <v>316</v>
      </c>
      <c r="D670" s="28" t="n">
        <v>1</v>
      </c>
      <c r="E670" s="35" t="n">
        <f aca="false">'Mediciones BIM'!E58</f>
        <v>254.34</v>
      </c>
      <c r="H670" s="29" t="n">
        <f aca="false">IF(COUNT(D670:G670)=0,0,D670*IF(E670="",1,E670)*IF(F670="",1,F670)*IF(G670="",1,G670))</f>
        <v>254.34</v>
      </c>
      <c r="M670" s="23"/>
      <c r="N670" s="23"/>
      <c r="O670" s="23"/>
    </row>
    <row r="671" customFormat="false" ht="15" hidden="false" customHeight="true" outlineLevel="0" collapsed="false">
      <c r="H671" s="30"/>
      <c r="I671" s="31" t="n">
        <f aca="false">ROUND(SUM(H670:H670),2)</f>
        <v>254.34</v>
      </c>
      <c r="J671" s="32" t="n">
        <v>7.55</v>
      </c>
      <c r="K671" s="31" t="n">
        <f aca="false">ROUND(I671*J671,2)</f>
        <v>1920.27</v>
      </c>
      <c r="L671" s="33" t="s">
        <v>212</v>
      </c>
      <c r="M671" s="23" t="s">
        <v>123</v>
      </c>
      <c r="N671" s="23" t="s">
        <v>52</v>
      </c>
      <c r="O671" s="23"/>
    </row>
    <row r="672" customFormat="false" ht="15" hidden="false" customHeight="true" outlineLevel="0" collapsed="false">
      <c r="C672" s="34" t="s">
        <v>631</v>
      </c>
      <c r="K672" s="14" t="n">
        <f aca="false">SUMIFS($K$5:$K$671,$M$5:$M$671,"P",$N$5:$N$671,"15")</f>
        <v>8520.61</v>
      </c>
      <c r="M672" s="23"/>
      <c r="N672" s="23"/>
      <c r="O672" s="23"/>
    </row>
    <row r="673" customFormat="false" ht="15" hidden="false" customHeight="true" outlineLevel="0" collapsed="false">
      <c r="M673" s="23"/>
      <c r="N673" s="23"/>
      <c r="O673" s="23"/>
    </row>
    <row r="674" customFormat="false" ht="15" hidden="false" customHeight="true" outlineLevel="0" collapsed="false">
      <c r="A674" s="24" t="s">
        <v>54</v>
      </c>
      <c r="B674" s="25"/>
      <c r="C674" s="24" t="s">
        <v>55</v>
      </c>
      <c r="D674" s="25"/>
      <c r="E674" s="25"/>
      <c r="F674" s="25"/>
      <c r="G674" s="25"/>
      <c r="H674" s="25"/>
      <c r="I674" s="25"/>
      <c r="J674" s="25"/>
      <c r="K674" s="25"/>
      <c r="L674" s="25"/>
      <c r="M674" s="23" t="s">
        <v>115</v>
      </c>
      <c r="N674" s="23" t="s">
        <v>54</v>
      </c>
      <c r="O674" s="23"/>
    </row>
    <row r="675" customFormat="false" ht="15" hidden="false" customHeight="true" outlineLevel="0" collapsed="false">
      <c r="A675" s="3" t="s">
        <v>632</v>
      </c>
      <c r="C675" s="3" t="s">
        <v>633</v>
      </c>
      <c r="M675" s="23" t="s">
        <v>291</v>
      </c>
      <c r="N675" s="23" t="s">
        <v>54</v>
      </c>
      <c r="O675" s="23" t="s">
        <v>632</v>
      </c>
    </row>
    <row r="676" customFormat="false" ht="15" hidden="false" customHeight="true" outlineLevel="0" collapsed="false">
      <c r="A676" s="3" t="s">
        <v>634</v>
      </c>
      <c r="B676" s="3" t="s">
        <v>635</v>
      </c>
      <c r="C676" s="3" t="s">
        <v>636</v>
      </c>
      <c r="M676" s="23"/>
      <c r="N676" s="23"/>
      <c r="O676" s="23"/>
    </row>
    <row r="677" customFormat="false" ht="288" hidden="false" customHeight="true" outlineLevel="0" collapsed="false">
      <c r="C677" s="26" t="s">
        <v>637</v>
      </c>
      <c r="M677" s="23"/>
      <c r="N677" s="23"/>
      <c r="O677" s="23"/>
    </row>
    <row r="678" customFormat="false" ht="15" hidden="false" customHeight="true" outlineLevel="0" collapsed="false">
      <c r="C678" s="27" t="s">
        <v>194</v>
      </c>
      <c r="D678" s="28" t="n">
        <v>1</v>
      </c>
      <c r="H678" s="29" t="n">
        <f aca="false">IF(COUNT(D678:G678)=0,0,D678*IF(E678="",1,E678)*IF(F678="",1,F678)*IF(G678="",1,G678))</f>
        <v>1</v>
      </c>
      <c r="M678" s="23"/>
      <c r="N678" s="23"/>
      <c r="O678" s="23"/>
    </row>
    <row r="679" customFormat="false" ht="15" hidden="false" customHeight="true" outlineLevel="0" collapsed="false">
      <c r="H679" s="30"/>
      <c r="I679" s="31" t="n">
        <f aca="false">ROUND(SUM(H678:H678),2)</f>
        <v>1</v>
      </c>
      <c r="J679" s="32" t="n">
        <v>974.39</v>
      </c>
      <c r="K679" s="31" t="n">
        <f aca="false">ROUND(I679*J679,2)</f>
        <v>974.39</v>
      </c>
      <c r="L679" s="33" t="s">
        <v>212</v>
      </c>
      <c r="M679" s="23" t="s">
        <v>123</v>
      </c>
      <c r="N679" s="23" t="s">
        <v>54</v>
      </c>
      <c r="O679" s="23" t="s">
        <v>632</v>
      </c>
    </row>
    <row r="680" customFormat="false" ht="15" hidden="false" customHeight="true" outlineLevel="0" collapsed="false">
      <c r="A680" s="3" t="s">
        <v>638</v>
      </c>
      <c r="B680" s="3" t="s">
        <v>635</v>
      </c>
      <c r="C680" s="3" t="s">
        <v>639</v>
      </c>
      <c r="M680" s="23"/>
      <c r="N680" s="23"/>
      <c r="O680" s="23"/>
    </row>
    <row r="681" customFormat="false" ht="132" hidden="false" customHeight="true" outlineLevel="0" collapsed="false">
      <c r="C681" s="26" t="s">
        <v>640</v>
      </c>
      <c r="M681" s="23"/>
      <c r="N681" s="23"/>
      <c r="O681" s="23"/>
    </row>
    <row r="682" customFormat="false" ht="15" hidden="false" customHeight="true" outlineLevel="0" collapsed="false">
      <c r="C682" s="27" t="s">
        <v>132</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1303.21</v>
      </c>
      <c r="K683" s="31" t="n">
        <f aca="false">ROUND(I683*J683,2)</f>
        <v>1303.21</v>
      </c>
      <c r="L683" s="33" t="s">
        <v>212</v>
      </c>
      <c r="M683" s="23" t="s">
        <v>123</v>
      </c>
      <c r="N683" s="23" t="s">
        <v>54</v>
      </c>
      <c r="O683" s="23" t="s">
        <v>632</v>
      </c>
    </row>
    <row r="684" customFormat="false" ht="15" hidden="false" customHeight="true" outlineLevel="0" collapsed="false">
      <c r="A684" s="3" t="s">
        <v>641</v>
      </c>
      <c r="B684" s="3" t="s">
        <v>642</v>
      </c>
      <c r="C684" s="3" t="s">
        <v>643</v>
      </c>
      <c r="M684" s="23"/>
      <c r="N684" s="23"/>
      <c r="O684" s="23"/>
    </row>
    <row r="685" customFormat="false" ht="168" hidden="false" customHeight="true" outlineLevel="0" collapsed="false">
      <c r="C685" s="26" t="s">
        <v>644</v>
      </c>
      <c r="M685" s="23"/>
      <c r="N685" s="23"/>
      <c r="O685" s="23"/>
    </row>
    <row r="686" customFormat="false" ht="15" hidden="false" customHeight="true" outlineLevel="0" collapsed="false">
      <c r="C686" s="27" t="s">
        <v>645</v>
      </c>
      <c r="D686" s="28" t="n">
        <v>1</v>
      </c>
      <c r="E686" s="28" t="n">
        <v>10</v>
      </c>
      <c r="H686" s="29" t="n">
        <f aca="false">IF(COUNT(D686:G686)=0,0,D686*IF(E686="",1,E686)*IF(F686="",1,F686)*IF(G686="",1,G686))</f>
        <v>10</v>
      </c>
      <c r="M686" s="23"/>
      <c r="N686" s="23"/>
      <c r="O686" s="23"/>
    </row>
    <row r="687" customFormat="false" ht="15" hidden="false" customHeight="true" outlineLevel="0" collapsed="false">
      <c r="H687" s="30"/>
      <c r="I687" s="31" t="n">
        <f aca="false">ROUND(SUM(H686:H686),2)</f>
        <v>10</v>
      </c>
      <c r="J687" s="32" t="n">
        <v>59.77</v>
      </c>
      <c r="K687" s="31" t="n">
        <f aca="false">ROUND(I687*J687,2)</f>
        <v>597.7</v>
      </c>
      <c r="L687" s="33" t="s">
        <v>212</v>
      </c>
      <c r="M687" s="23" t="s">
        <v>123</v>
      </c>
      <c r="N687" s="23" t="s">
        <v>54</v>
      </c>
      <c r="O687" s="23" t="s">
        <v>632</v>
      </c>
    </row>
    <row r="688" customFormat="false" ht="15" hidden="false" customHeight="true" outlineLevel="0" collapsed="false">
      <c r="A688" s="3" t="s">
        <v>646</v>
      </c>
      <c r="B688" s="3" t="s">
        <v>635</v>
      </c>
      <c r="C688" s="3" t="s">
        <v>647</v>
      </c>
      <c r="M688" s="23"/>
      <c r="N688" s="23"/>
      <c r="O688" s="23"/>
    </row>
    <row r="689" customFormat="false" ht="108" hidden="false" customHeight="true" outlineLevel="0" collapsed="false">
      <c r="C689" s="26" t="s">
        <v>648</v>
      </c>
      <c r="M689" s="23"/>
      <c r="N689" s="23"/>
      <c r="O689" s="23"/>
    </row>
    <row r="690" customFormat="false" ht="15" hidden="false" customHeight="true" outlineLevel="0" collapsed="false">
      <c r="C690" s="27" t="s">
        <v>132</v>
      </c>
      <c r="D690" s="28" t="n">
        <v>1</v>
      </c>
      <c r="H690" s="29" t="n">
        <f aca="false">IF(COUNT(D690:G690)=0,0,D690*IF(E690="",1,E690)*IF(F690="",1,F690)*IF(G690="",1,G690))</f>
        <v>1</v>
      </c>
      <c r="M690" s="23"/>
      <c r="N690" s="23"/>
      <c r="O690" s="23"/>
    </row>
    <row r="691" customFormat="false" ht="15" hidden="false" customHeight="true" outlineLevel="0" collapsed="false">
      <c r="H691" s="30"/>
      <c r="I691" s="31" t="n">
        <f aca="false">ROUND(SUM(H690:H690),2)</f>
        <v>1</v>
      </c>
      <c r="J691" s="32" t="n">
        <v>116.6</v>
      </c>
      <c r="K691" s="31" t="n">
        <f aca="false">ROUND(I691*J691,2)</f>
        <v>116.6</v>
      </c>
      <c r="L691" s="33" t="s">
        <v>212</v>
      </c>
      <c r="M691" s="23" t="s">
        <v>123</v>
      </c>
      <c r="N691" s="23" t="s">
        <v>54</v>
      </c>
      <c r="O691" s="23" t="s">
        <v>632</v>
      </c>
    </row>
    <row r="692" customFormat="false" ht="15" hidden="false" customHeight="true" outlineLevel="0" collapsed="false">
      <c r="A692" s="3" t="s">
        <v>649</v>
      </c>
      <c r="B692" s="3" t="s">
        <v>642</v>
      </c>
      <c r="C692" s="3" t="s">
        <v>650</v>
      </c>
      <c r="M692" s="23"/>
      <c r="N692" s="23"/>
      <c r="O692" s="23"/>
    </row>
    <row r="693" customFormat="false" ht="96" hidden="false" customHeight="true" outlineLevel="0" collapsed="false">
      <c r="C693" s="26" t="s">
        <v>651</v>
      </c>
      <c r="M693" s="23"/>
      <c r="N693" s="23"/>
      <c r="O693" s="23"/>
    </row>
    <row r="694" customFormat="false" ht="15" hidden="false" customHeight="true" outlineLevel="0" collapsed="false">
      <c r="C694" s="27" t="s">
        <v>652</v>
      </c>
      <c r="D694" s="28" t="n">
        <v>1</v>
      </c>
      <c r="E694" s="28" t="n">
        <v>110</v>
      </c>
      <c r="H694" s="29" t="n">
        <f aca="false">IF(COUNT(D694:G694)=0,0,D694*IF(E694="",1,E694)*IF(F694="",1,F694)*IF(G694="",1,G694))</f>
        <v>110</v>
      </c>
      <c r="M694" s="23"/>
      <c r="N694" s="23"/>
      <c r="O694" s="23"/>
    </row>
    <row r="695" customFormat="false" ht="15" hidden="false" customHeight="true" outlineLevel="0" collapsed="false">
      <c r="H695" s="30"/>
      <c r="I695" s="31" t="n">
        <f aca="false">ROUND(SUM(H694:H694),2)</f>
        <v>110</v>
      </c>
      <c r="J695" s="32" t="n">
        <v>3.17</v>
      </c>
      <c r="K695" s="31" t="n">
        <f aca="false">ROUND(I695*J695,2)</f>
        <v>348.7</v>
      </c>
      <c r="L695" s="33" t="s">
        <v>212</v>
      </c>
      <c r="M695" s="23" t="s">
        <v>123</v>
      </c>
      <c r="N695" s="23" t="s">
        <v>54</v>
      </c>
      <c r="O695" s="23" t="s">
        <v>632</v>
      </c>
    </row>
    <row r="696" customFormat="false" ht="15" hidden="false" customHeight="true" outlineLevel="0" collapsed="false">
      <c r="A696" s="3" t="s">
        <v>653</v>
      </c>
      <c r="B696" s="3" t="s">
        <v>642</v>
      </c>
      <c r="C696" s="3" t="s">
        <v>654</v>
      </c>
      <c r="M696" s="23"/>
      <c r="N696" s="23"/>
      <c r="O696" s="23"/>
    </row>
    <row r="697" customFormat="false" ht="96" hidden="false" customHeight="true" outlineLevel="0" collapsed="false">
      <c r="C697" s="26" t="s">
        <v>655</v>
      </c>
      <c r="M697" s="23"/>
      <c r="N697" s="23"/>
      <c r="O697" s="23"/>
    </row>
    <row r="698" customFormat="false" ht="15" hidden="false" customHeight="true" outlineLevel="0" collapsed="false">
      <c r="C698" s="27" t="s">
        <v>656</v>
      </c>
      <c r="D698" s="28" t="n">
        <v>1</v>
      </c>
      <c r="E698" s="28" t="n">
        <v>160</v>
      </c>
      <c r="H698" s="29" t="n">
        <f aca="false">IF(COUNT(D698:G698)=0,0,D698*IF(E698="",1,E698)*IF(F698="",1,F698)*IF(G698="",1,G698))</f>
        <v>160</v>
      </c>
      <c r="M698" s="23"/>
      <c r="N698" s="23"/>
      <c r="O698" s="23"/>
    </row>
    <row r="699" customFormat="false" ht="15" hidden="false" customHeight="true" outlineLevel="0" collapsed="false">
      <c r="H699" s="30"/>
      <c r="I699" s="31" t="n">
        <f aca="false">ROUND(SUM(H698:H698),2)</f>
        <v>160</v>
      </c>
      <c r="J699" s="32" t="n">
        <v>3.74</v>
      </c>
      <c r="K699" s="31" t="n">
        <f aca="false">ROUND(I699*J699,2)</f>
        <v>598.4</v>
      </c>
      <c r="L699" s="33" t="s">
        <v>212</v>
      </c>
      <c r="M699" s="23" t="s">
        <v>123</v>
      </c>
      <c r="N699" s="23" t="s">
        <v>54</v>
      </c>
      <c r="O699" s="23" t="s">
        <v>632</v>
      </c>
    </row>
    <row r="700" customFormat="false" ht="15" hidden="false" customHeight="true" outlineLevel="0" collapsed="false">
      <c r="A700" s="3" t="s">
        <v>657</v>
      </c>
      <c r="B700" s="3" t="s">
        <v>642</v>
      </c>
      <c r="C700" s="3" t="s">
        <v>658</v>
      </c>
      <c r="M700" s="23"/>
      <c r="N700" s="23"/>
      <c r="O700" s="23"/>
    </row>
    <row r="701" customFormat="false" ht="96" hidden="false" customHeight="true" outlineLevel="0" collapsed="false">
      <c r="C701" s="26" t="s">
        <v>659</v>
      </c>
      <c r="M701" s="23"/>
      <c r="N701" s="23"/>
      <c r="O701" s="23"/>
    </row>
    <row r="702" customFormat="false" ht="15" hidden="false" customHeight="true" outlineLevel="0" collapsed="false">
      <c r="C702" s="27" t="s">
        <v>660</v>
      </c>
      <c r="D702" s="28" t="n">
        <v>1</v>
      </c>
      <c r="E702" s="28" t="n">
        <v>50</v>
      </c>
      <c r="H702" s="29" t="n">
        <f aca="false">IF(COUNT(D702:G702)=0,0,D702*IF(E702="",1,E702)*IF(F702="",1,F702)*IF(G702="",1,G702))</f>
        <v>50</v>
      </c>
      <c r="M702" s="23"/>
      <c r="N702" s="23"/>
      <c r="O702" s="23"/>
    </row>
    <row r="703" customFormat="false" ht="15" hidden="false" customHeight="true" outlineLevel="0" collapsed="false">
      <c r="H703" s="30"/>
      <c r="I703" s="31" t="n">
        <f aca="false">ROUND(SUM(H702:H702),2)</f>
        <v>50</v>
      </c>
      <c r="J703" s="32" t="n">
        <v>4.1</v>
      </c>
      <c r="K703" s="31" t="n">
        <f aca="false">ROUND(I703*J703,2)</f>
        <v>205</v>
      </c>
      <c r="L703" s="33" t="s">
        <v>212</v>
      </c>
      <c r="M703" s="23" t="s">
        <v>123</v>
      </c>
      <c r="N703" s="23" t="s">
        <v>54</v>
      </c>
      <c r="O703" s="23" t="s">
        <v>632</v>
      </c>
    </row>
    <row r="704" customFormat="false" ht="15" hidden="false" customHeight="true" outlineLevel="0" collapsed="false">
      <c r="A704" s="3" t="s">
        <v>661</v>
      </c>
      <c r="B704" s="3" t="s">
        <v>642</v>
      </c>
      <c r="C704" s="3" t="s">
        <v>662</v>
      </c>
      <c r="M704" s="23"/>
      <c r="N704" s="23"/>
      <c r="O704" s="23"/>
    </row>
    <row r="705" customFormat="false" ht="96" hidden="false" customHeight="true" outlineLevel="0" collapsed="false">
      <c r="C705" s="26" t="s">
        <v>663</v>
      </c>
      <c r="M705" s="23"/>
      <c r="N705" s="23"/>
      <c r="O705" s="23"/>
    </row>
    <row r="706" customFormat="false" ht="15" hidden="false" customHeight="true" outlineLevel="0" collapsed="false">
      <c r="C706" s="27" t="s">
        <v>664</v>
      </c>
      <c r="D706" s="28" t="n">
        <v>1</v>
      </c>
      <c r="E706" s="28" t="n">
        <v>25</v>
      </c>
      <c r="H706" s="29" t="n">
        <f aca="false">IF(COUNT(D706:G706)=0,0,D706*IF(E706="",1,E706)*IF(F706="",1,F706)*IF(G706="",1,G706))</f>
        <v>25</v>
      </c>
      <c r="M706" s="23"/>
      <c r="N706" s="23"/>
      <c r="O706" s="23"/>
    </row>
    <row r="707" customFormat="false" ht="15" hidden="false" customHeight="true" outlineLevel="0" collapsed="false">
      <c r="H707" s="30"/>
      <c r="I707" s="31" t="n">
        <f aca="false">ROUND(SUM(H706:H706),2)</f>
        <v>25</v>
      </c>
      <c r="J707" s="32" t="n">
        <v>4.83</v>
      </c>
      <c r="K707" s="31" t="n">
        <f aca="false">ROUND(I707*J707,2)</f>
        <v>120.75</v>
      </c>
      <c r="L707" s="33" t="s">
        <v>212</v>
      </c>
      <c r="M707" s="23" t="s">
        <v>123</v>
      </c>
      <c r="N707" s="23" t="s">
        <v>54</v>
      </c>
      <c r="O707" s="23" t="s">
        <v>632</v>
      </c>
    </row>
    <row r="708" customFormat="false" ht="15" hidden="false" customHeight="true" outlineLevel="0" collapsed="false">
      <c r="A708" s="3" t="s">
        <v>665</v>
      </c>
      <c r="B708" s="3" t="s">
        <v>635</v>
      </c>
      <c r="C708" s="3" t="s">
        <v>666</v>
      </c>
      <c r="M708" s="23"/>
      <c r="N708" s="23"/>
      <c r="O708" s="23"/>
    </row>
    <row r="709" customFormat="false" ht="96" hidden="false" customHeight="true" outlineLevel="0" collapsed="false">
      <c r="C709" s="26" t="s">
        <v>667</v>
      </c>
      <c r="M709" s="23"/>
      <c r="N709" s="23"/>
      <c r="O709" s="23"/>
    </row>
    <row r="710" customFormat="false" ht="15" hidden="false" customHeight="true" outlineLevel="0" collapsed="false">
      <c r="C710" s="27" t="s">
        <v>668</v>
      </c>
      <c r="D710" s="28" t="n">
        <v>16</v>
      </c>
      <c r="H710" s="29" t="n">
        <f aca="false">IF(COUNT(D710:G710)=0,0,D710*IF(E710="",1,E710)*IF(F710="",1,F710)*IF(G710="",1,G710))</f>
        <v>16</v>
      </c>
      <c r="M710" s="23"/>
      <c r="N710" s="23"/>
      <c r="O710" s="23"/>
    </row>
    <row r="711" customFormat="false" ht="15" hidden="false" customHeight="true" outlineLevel="0" collapsed="false">
      <c r="H711" s="30"/>
      <c r="I711" s="31" t="n">
        <f aca="false">ROUND(SUM(H710:H710),2)</f>
        <v>16</v>
      </c>
      <c r="J711" s="32" t="n">
        <v>14.16</v>
      </c>
      <c r="K711" s="31" t="n">
        <f aca="false">ROUND(I711*J711,2)</f>
        <v>226.56</v>
      </c>
      <c r="L711" s="33" t="s">
        <v>212</v>
      </c>
      <c r="M711" s="23" t="s">
        <v>123</v>
      </c>
      <c r="N711" s="23" t="s">
        <v>54</v>
      </c>
      <c r="O711" s="23" t="s">
        <v>632</v>
      </c>
    </row>
    <row r="712" customFormat="false" ht="15" hidden="false" customHeight="true" outlineLevel="0" collapsed="false">
      <c r="A712" s="3" t="s">
        <v>669</v>
      </c>
      <c r="B712" s="3" t="s">
        <v>635</v>
      </c>
      <c r="C712" s="3" t="s">
        <v>670</v>
      </c>
      <c r="M712" s="23"/>
      <c r="N712" s="23"/>
      <c r="O712" s="23"/>
    </row>
    <row r="713" customFormat="false" ht="204" hidden="false" customHeight="true" outlineLevel="0" collapsed="false">
      <c r="C713" s="26" t="s">
        <v>671</v>
      </c>
      <c r="M713" s="23"/>
      <c r="N713" s="23"/>
      <c r="O713" s="23"/>
    </row>
    <row r="714" customFormat="false" ht="15" hidden="false" customHeight="true" outlineLevel="0" collapsed="false">
      <c r="C714" s="27" t="s">
        <v>672</v>
      </c>
      <c r="D714" s="28" t="n">
        <v>1</v>
      </c>
      <c r="H714" s="29" t="n">
        <f aca="false">IF(COUNT(D714:G714)=0,0,D714*IF(E714="",1,E714)*IF(F714="",1,F714)*IF(G714="",1,G714))</f>
        <v>1</v>
      </c>
      <c r="M714" s="23"/>
      <c r="N714" s="23"/>
      <c r="O714" s="23"/>
    </row>
    <row r="715" customFormat="false" ht="15" hidden="false" customHeight="true" outlineLevel="0" collapsed="false">
      <c r="C715" s="27" t="s">
        <v>673</v>
      </c>
      <c r="D715" s="28" t="n">
        <v>1</v>
      </c>
      <c r="H715" s="29" t="n">
        <f aca="false">IF(COUNT(D715:G715)=0,0,D715*IF(E715="",1,E715)*IF(F715="",1,F715)*IF(G715="",1,G715))</f>
        <v>1</v>
      </c>
      <c r="M715" s="23"/>
      <c r="N715" s="23"/>
      <c r="O715" s="23"/>
    </row>
    <row r="716" customFormat="false" ht="15" hidden="false" customHeight="true" outlineLevel="0" collapsed="false">
      <c r="H716" s="30"/>
      <c r="I716" s="31" t="n">
        <f aca="false">ROUND(SUM(H714:H715),2)</f>
        <v>2</v>
      </c>
      <c r="J716" s="32" t="n">
        <v>183.66</v>
      </c>
      <c r="K716" s="31" t="n">
        <f aca="false">ROUND(I716*J716,2)</f>
        <v>367.32</v>
      </c>
      <c r="L716" s="33" t="s">
        <v>212</v>
      </c>
      <c r="M716" s="23" t="s">
        <v>123</v>
      </c>
      <c r="N716" s="23" t="s">
        <v>54</v>
      </c>
      <c r="O716" s="23" t="s">
        <v>632</v>
      </c>
    </row>
    <row r="717" customFormat="false" ht="15" hidden="false" customHeight="true" outlineLevel="0" collapsed="false">
      <c r="A717" s="3" t="s">
        <v>674</v>
      </c>
      <c r="B717" s="3" t="s">
        <v>635</v>
      </c>
      <c r="C717" s="3" t="s">
        <v>675</v>
      </c>
      <c r="M717" s="23"/>
      <c r="N717" s="23"/>
      <c r="O717" s="23"/>
    </row>
    <row r="718" customFormat="false" ht="192" hidden="false" customHeight="true" outlineLevel="0" collapsed="false">
      <c r="C718" s="26" t="s">
        <v>676</v>
      </c>
      <c r="M718" s="23"/>
      <c r="N718" s="23"/>
      <c r="O718" s="23"/>
    </row>
    <row r="719" customFormat="false" ht="15" hidden="false" customHeight="true" outlineLevel="0" collapsed="false">
      <c r="C719" s="27" t="s">
        <v>677</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ROUND(SUM(H719:H719),2)</f>
        <v>1</v>
      </c>
      <c r="J720" s="32" t="n">
        <v>183.66</v>
      </c>
      <c r="K720" s="31" t="n">
        <f aca="false">ROUND(I720*J720,2)</f>
        <v>183.66</v>
      </c>
      <c r="L720" s="33" t="s">
        <v>212</v>
      </c>
      <c r="M720" s="23" t="s">
        <v>123</v>
      </c>
      <c r="N720" s="23" t="s">
        <v>54</v>
      </c>
      <c r="O720" s="23" t="s">
        <v>632</v>
      </c>
    </row>
    <row r="721" customFormat="false" ht="15" hidden="false" customHeight="true" outlineLevel="0" collapsed="false">
      <c r="A721" s="3" t="s">
        <v>678</v>
      </c>
      <c r="B721" s="3" t="s">
        <v>635</v>
      </c>
      <c r="C721" s="3" t="s">
        <v>679</v>
      </c>
      <c r="M721" s="23"/>
      <c r="N721" s="23"/>
      <c r="O721" s="23"/>
    </row>
    <row r="722" customFormat="false" ht="204" hidden="false" customHeight="true" outlineLevel="0" collapsed="false">
      <c r="C722" s="26" t="s">
        <v>680</v>
      </c>
      <c r="M722" s="23"/>
      <c r="N722" s="23"/>
      <c r="O722" s="23"/>
    </row>
    <row r="723" customFormat="false" ht="15" hidden="false" customHeight="true" outlineLevel="0" collapsed="false">
      <c r="C723" s="27" t="s">
        <v>681</v>
      </c>
      <c r="D723" s="28" t="n">
        <v>1</v>
      </c>
      <c r="H723" s="29" t="n">
        <f aca="false">IF(COUNT(D723:G723)=0,0,D723*IF(E723="",1,E723)*IF(F723="",1,F723)*IF(G723="",1,G723))</f>
        <v>1</v>
      </c>
      <c r="M723" s="23"/>
      <c r="N723" s="23"/>
      <c r="O723" s="23"/>
    </row>
    <row r="724" customFormat="false" ht="15" hidden="false" customHeight="true" outlineLevel="0" collapsed="false">
      <c r="C724" s="27" t="s">
        <v>682</v>
      </c>
      <c r="D724" s="28" t="n">
        <v>1</v>
      </c>
      <c r="H724" s="29" t="n">
        <f aca="false">IF(COUNT(D724:G724)=0,0,D724*IF(E724="",1,E724)*IF(F724="",1,F724)*IF(G724="",1,G724))</f>
        <v>1</v>
      </c>
      <c r="M724" s="23"/>
      <c r="N724" s="23"/>
      <c r="O724" s="23"/>
    </row>
    <row r="725" customFormat="false" ht="15" hidden="false" customHeight="true" outlineLevel="0" collapsed="false">
      <c r="H725" s="30"/>
      <c r="I725" s="31" t="n">
        <f aca="false">ROUND(SUM(H723:H724),2)</f>
        <v>2</v>
      </c>
      <c r="J725" s="32" t="n">
        <v>268.14</v>
      </c>
      <c r="K725" s="31" t="n">
        <f aca="false">ROUND(I725*J725,2)</f>
        <v>536.28</v>
      </c>
      <c r="L725" s="33" t="s">
        <v>212</v>
      </c>
      <c r="M725" s="23" t="s">
        <v>123</v>
      </c>
      <c r="N725" s="23" t="s">
        <v>54</v>
      </c>
      <c r="O725" s="23" t="s">
        <v>632</v>
      </c>
    </row>
    <row r="726" customFormat="false" ht="15" hidden="false" customHeight="true" outlineLevel="0" collapsed="false">
      <c r="A726" s="3" t="s">
        <v>683</v>
      </c>
      <c r="B726" s="3" t="s">
        <v>635</v>
      </c>
      <c r="C726" s="3" t="s">
        <v>679</v>
      </c>
      <c r="M726" s="23"/>
      <c r="N726" s="23"/>
      <c r="O726" s="23"/>
    </row>
    <row r="727" customFormat="false" ht="204" hidden="false" customHeight="true" outlineLevel="0" collapsed="false">
      <c r="C727" s="26" t="s">
        <v>684</v>
      </c>
      <c r="M727" s="23"/>
      <c r="N727" s="23"/>
      <c r="O727" s="23"/>
    </row>
    <row r="728" customFormat="false" ht="15" hidden="false" customHeight="true" outlineLevel="0" collapsed="false">
      <c r="C728" s="27" t="s">
        <v>685</v>
      </c>
      <c r="D728" s="28" t="n">
        <v>2</v>
      </c>
      <c r="H728" s="29" t="n">
        <f aca="false">IF(COUNT(D728:G728)=0,0,D728*IF(E728="",1,E728)*IF(F728="",1,F728)*IF(G728="",1,G728))</f>
        <v>2</v>
      </c>
      <c r="M728" s="23"/>
      <c r="N728" s="23"/>
      <c r="O728" s="23"/>
    </row>
    <row r="729" customFormat="false" ht="15" hidden="false" customHeight="true" outlineLevel="0" collapsed="false">
      <c r="H729" s="30"/>
      <c r="I729" s="31" t="n">
        <f aca="false">ROUND(SUM(H728:H728),2)</f>
        <v>2</v>
      </c>
      <c r="J729" s="32" t="n">
        <v>227.73</v>
      </c>
      <c r="K729" s="31" t="n">
        <f aca="false">ROUND(I729*J729,2)</f>
        <v>455.46</v>
      </c>
      <c r="L729" s="33" t="s">
        <v>212</v>
      </c>
      <c r="M729" s="23" t="s">
        <v>123</v>
      </c>
      <c r="N729" s="23" t="s">
        <v>54</v>
      </c>
      <c r="O729" s="23" t="s">
        <v>632</v>
      </c>
    </row>
    <row r="730" customFormat="false" ht="15" hidden="false" customHeight="true" outlineLevel="0" collapsed="false">
      <c r="A730" s="3" t="s">
        <v>686</v>
      </c>
      <c r="B730" s="3" t="s">
        <v>635</v>
      </c>
      <c r="C730" s="3" t="s">
        <v>687</v>
      </c>
      <c r="M730" s="23"/>
      <c r="N730" s="23"/>
      <c r="O730" s="23"/>
    </row>
    <row r="731" customFormat="false" ht="132" hidden="false" customHeight="true" outlineLevel="0" collapsed="false">
      <c r="C731" s="26" t="s">
        <v>688</v>
      </c>
      <c r="M731" s="23"/>
      <c r="N731" s="23"/>
      <c r="O731" s="23"/>
    </row>
    <row r="732" customFormat="false" ht="15" hidden="false" customHeight="true" outlineLevel="0" collapsed="false">
      <c r="C732" s="27" t="s">
        <v>689</v>
      </c>
      <c r="D732" s="28" t="n">
        <v>3</v>
      </c>
      <c r="H732" s="29" t="n">
        <f aca="false">IF(COUNT(D732:G732)=0,0,D732*IF(E732="",1,E732)*IF(F732="",1,F732)*IF(G732="",1,G732))</f>
        <v>3</v>
      </c>
      <c r="M732" s="23"/>
      <c r="N732" s="23"/>
      <c r="O732" s="23"/>
    </row>
    <row r="733" customFormat="false" ht="15" hidden="false" customHeight="true" outlineLevel="0" collapsed="false">
      <c r="H733" s="30"/>
      <c r="I733" s="31" t="n">
        <f aca="false">ROUND(SUM(H732:H732),2)</f>
        <v>3</v>
      </c>
      <c r="J733" s="32" t="n">
        <v>70.82</v>
      </c>
      <c r="K733" s="31" t="n">
        <f aca="false">ROUND(I733*J733,2)</f>
        <v>212.46</v>
      </c>
      <c r="L733" s="33" t="s">
        <v>212</v>
      </c>
      <c r="M733" s="23" t="s">
        <v>123</v>
      </c>
      <c r="N733" s="23" t="s">
        <v>54</v>
      </c>
      <c r="O733" s="23" t="s">
        <v>632</v>
      </c>
    </row>
    <row r="734" customFormat="false" ht="15" hidden="false" customHeight="true" outlineLevel="0" collapsed="false">
      <c r="A734" s="3" t="s">
        <v>690</v>
      </c>
      <c r="B734" s="3" t="s">
        <v>635</v>
      </c>
      <c r="C734" s="3" t="s">
        <v>691</v>
      </c>
      <c r="M734" s="23"/>
      <c r="N734" s="23"/>
      <c r="O734" s="23"/>
    </row>
    <row r="735" customFormat="false" ht="120" hidden="false" customHeight="true" outlineLevel="0" collapsed="false">
      <c r="C735" s="26" t="s">
        <v>692</v>
      </c>
      <c r="M735" s="23"/>
      <c r="N735" s="23"/>
      <c r="O735" s="23"/>
    </row>
    <row r="736" customFormat="false" ht="15" hidden="false" customHeight="true" outlineLevel="0" collapsed="false">
      <c r="C736" s="27" t="s">
        <v>132</v>
      </c>
      <c r="D736" s="28" t="n">
        <v>1</v>
      </c>
      <c r="H736" s="29" t="n">
        <f aca="false">IF(COUNT(D736:G736)=0,0,D736*IF(E736="",1,E736)*IF(F736="",1,F736)*IF(G736="",1,G736))</f>
        <v>1</v>
      </c>
      <c r="M736" s="23"/>
      <c r="N736" s="23"/>
      <c r="O736" s="23"/>
    </row>
    <row r="737" customFormat="false" ht="15" hidden="false" customHeight="true" outlineLevel="0" collapsed="false">
      <c r="H737" s="30"/>
      <c r="I737" s="31" t="n">
        <f aca="false">ROUND(SUM(H736:H736),2)</f>
        <v>1</v>
      </c>
      <c r="J737" s="32" t="n">
        <v>40.97</v>
      </c>
      <c r="K737" s="31" t="n">
        <f aca="false">ROUND(I737*J737,2)</f>
        <v>40.97</v>
      </c>
      <c r="L737" s="33" t="s">
        <v>212</v>
      </c>
      <c r="M737" s="23" t="s">
        <v>123</v>
      </c>
      <c r="N737" s="23" t="s">
        <v>54</v>
      </c>
      <c r="O737" s="23" t="s">
        <v>632</v>
      </c>
    </row>
    <row r="738" customFormat="false" ht="15" hidden="false" customHeight="true" outlineLevel="0" collapsed="false">
      <c r="A738" s="3" t="s">
        <v>693</v>
      </c>
      <c r="B738" s="3" t="s">
        <v>635</v>
      </c>
      <c r="C738" s="3" t="s">
        <v>694</v>
      </c>
      <c r="M738" s="23"/>
      <c r="N738" s="23"/>
      <c r="O738" s="23"/>
    </row>
    <row r="739" customFormat="false" ht="144" hidden="false" customHeight="true" outlineLevel="0" collapsed="false">
      <c r="C739" s="26" t="s">
        <v>695</v>
      </c>
      <c r="M739" s="23"/>
      <c r="N739" s="23"/>
      <c r="O739" s="23"/>
    </row>
    <row r="740" customFormat="false" ht="15" hidden="false" customHeight="true" outlineLevel="0" collapsed="false">
      <c r="C740" s="27" t="s">
        <v>696</v>
      </c>
      <c r="D740" s="28" t="n">
        <v>4</v>
      </c>
      <c r="H740" s="29" t="n">
        <f aca="false">IF(COUNT(D740:G740)=0,0,D740*IF(E740="",1,E740)*IF(F740="",1,F740)*IF(G740="",1,G740))</f>
        <v>4</v>
      </c>
      <c r="M740" s="23"/>
      <c r="N740" s="23"/>
      <c r="O740" s="23"/>
    </row>
    <row r="741" customFormat="false" ht="15" hidden="false" customHeight="true" outlineLevel="0" collapsed="false">
      <c r="H741" s="30"/>
      <c r="I741" s="31" t="n">
        <f aca="false">ROUND(SUM(H740:H740),2)</f>
        <v>4</v>
      </c>
      <c r="J741" s="32" t="n">
        <v>121.22</v>
      </c>
      <c r="K741" s="31" t="n">
        <f aca="false">ROUND(I741*J741,2)</f>
        <v>484.88</v>
      </c>
      <c r="L741" s="33" t="s">
        <v>212</v>
      </c>
      <c r="M741" s="23" t="s">
        <v>123</v>
      </c>
      <c r="N741" s="23" t="s">
        <v>54</v>
      </c>
      <c r="O741" s="23" t="s">
        <v>632</v>
      </c>
    </row>
    <row r="742" customFormat="false" ht="15" hidden="false" customHeight="true" outlineLevel="0" collapsed="false">
      <c r="A742" s="3" t="s">
        <v>697</v>
      </c>
      <c r="B742" s="3" t="s">
        <v>635</v>
      </c>
      <c r="C742" s="3" t="s">
        <v>698</v>
      </c>
      <c r="M742" s="23"/>
      <c r="N742" s="23"/>
      <c r="O742" s="23"/>
    </row>
    <row r="743" customFormat="false" ht="144" hidden="false" customHeight="true" outlineLevel="0" collapsed="false">
      <c r="C743" s="26" t="s">
        <v>699</v>
      </c>
      <c r="M743" s="23"/>
      <c r="N743" s="23"/>
      <c r="O743" s="23"/>
    </row>
    <row r="744" customFormat="false" ht="15" hidden="false" customHeight="true" outlineLevel="0" collapsed="false">
      <c r="C744" s="27" t="s">
        <v>696</v>
      </c>
      <c r="D744" s="28" t="n">
        <v>5</v>
      </c>
      <c r="H744" s="29" t="n">
        <f aca="false">IF(COUNT(D744:G744)=0,0,D744*IF(E744="",1,E744)*IF(F744="",1,F744)*IF(G744="",1,G744))</f>
        <v>5</v>
      </c>
      <c r="M744" s="23"/>
      <c r="N744" s="23"/>
      <c r="O744" s="23"/>
    </row>
    <row r="745" customFormat="false" ht="15" hidden="false" customHeight="true" outlineLevel="0" collapsed="false">
      <c r="H745" s="30"/>
      <c r="I745" s="31" t="n">
        <f aca="false">ROUND(SUM(H744:H744),2)</f>
        <v>5</v>
      </c>
      <c r="J745" s="32" t="n">
        <v>144.47</v>
      </c>
      <c r="K745" s="31" t="n">
        <f aca="false">ROUND(I745*J745,2)</f>
        <v>722.35</v>
      </c>
      <c r="L745" s="33" t="s">
        <v>212</v>
      </c>
      <c r="M745" s="23" t="s">
        <v>123</v>
      </c>
      <c r="N745" s="23" t="s">
        <v>54</v>
      </c>
      <c r="O745" s="23" t="s">
        <v>632</v>
      </c>
    </row>
    <row r="746" customFormat="false" ht="15" hidden="false" customHeight="true" outlineLevel="0" collapsed="false">
      <c r="A746" s="3" t="s">
        <v>700</v>
      </c>
      <c r="B746" s="3" t="s">
        <v>635</v>
      </c>
      <c r="C746" s="3" t="s">
        <v>701</v>
      </c>
      <c r="M746" s="23"/>
      <c r="N746" s="23"/>
      <c r="O746" s="23"/>
    </row>
    <row r="747" customFormat="false" ht="132" hidden="false" customHeight="true" outlineLevel="0" collapsed="false">
      <c r="C747" s="26" t="s">
        <v>702</v>
      </c>
      <c r="M747" s="23"/>
      <c r="N747" s="23"/>
      <c r="O747" s="23"/>
    </row>
    <row r="748" customFormat="false" ht="15" hidden="false" customHeight="true" outlineLevel="0" collapsed="false">
      <c r="C748" s="27" t="s">
        <v>703</v>
      </c>
      <c r="D748" s="28" t="n">
        <v>2</v>
      </c>
      <c r="H748" s="29" t="n">
        <f aca="false">IF(COUNT(D748:G748)=0,0,D748*IF(E748="",1,E748)*IF(F748="",1,F748)*IF(G748="",1,G748))</f>
        <v>2</v>
      </c>
      <c r="M748" s="23"/>
      <c r="N748" s="23"/>
      <c r="O748" s="23"/>
    </row>
    <row r="749" customFormat="false" ht="15" hidden="false" customHeight="true" outlineLevel="0" collapsed="false">
      <c r="H749" s="30"/>
      <c r="I749" s="31" t="n">
        <f aca="false">ROUND(SUM(H748:H748),2)</f>
        <v>2</v>
      </c>
      <c r="J749" s="32" t="n">
        <v>212.46</v>
      </c>
      <c r="K749" s="31" t="n">
        <f aca="false">ROUND(I749*J749,2)</f>
        <v>424.92</v>
      </c>
      <c r="L749" s="33" t="s">
        <v>212</v>
      </c>
      <c r="M749" s="23" t="s">
        <v>123</v>
      </c>
      <c r="N749" s="23" t="s">
        <v>54</v>
      </c>
      <c r="O749" s="23" t="s">
        <v>632</v>
      </c>
    </row>
    <row r="750" customFormat="false" ht="15" hidden="false" customHeight="true" outlineLevel="0" collapsed="false">
      <c r="A750" s="3" t="s">
        <v>704</v>
      </c>
      <c r="B750" s="3" t="s">
        <v>129</v>
      </c>
      <c r="C750" s="3" t="s">
        <v>705</v>
      </c>
      <c r="M750" s="23"/>
      <c r="N750" s="23"/>
      <c r="O750" s="23"/>
    </row>
    <row r="751" customFormat="false" ht="24" hidden="false" customHeight="true" outlineLevel="0" collapsed="false">
      <c r="C751" s="26" t="s">
        <v>706</v>
      </c>
      <c r="M751" s="23"/>
      <c r="N751" s="23"/>
      <c r="O751" s="23"/>
    </row>
    <row r="752" customFormat="false" ht="15" hidden="false" customHeight="true" outlineLevel="0" collapsed="false">
      <c r="C752" s="27" t="s">
        <v>707</v>
      </c>
      <c r="D752" s="28" t="n">
        <v>3</v>
      </c>
      <c r="H752" s="29" t="n">
        <f aca="false">IF(COUNT(D752:G752)=0,0,D752*IF(E752="",1,E752)*IF(F752="",1,F752)*IF(G752="",1,G752))</f>
        <v>3</v>
      </c>
      <c r="M752" s="23"/>
      <c r="N752" s="23"/>
      <c r="O752" s="23"/>
    </row>
    <row r="753" customFormat="false" ht="18.75" hidden="false" customHeight="true" outlineLevel="0" collapsed="false">
      <c r="H753" s="30"/>
      <c r="I753" s="31" t="n">
        <f aca="false">ROUND(SUM(H752:H752),2)</f>
        <v>3</v>
      </c>
      <c r="J753" s="32" t="n">
        <v>210</v>
      </c>
      <c r="K753" s="31" t="n">
        <f aca="false">ROUND(I753*J753,2)</f>
        <v>630</v>
      </c>
      <c r="L753" s="33" t="s">
        <v>238</v>
      </c>
      <c r="M753" s="23" t="s">
        <v>123</v>
      </c>
      <c r="N753" s="23" t="s">
        <v>54</v>
      </c>
      <c r="O753" s="23" t="s">
        <v>632</v>
      </c>
    </row>
    <row r="754" customFormat="false" ht="15" hidden="false" customHeight="true" outlineLevel="0" collapsed="false">
      <c r="A754" s="3" t="s">
        <v>708</v>
      </c>
      <c r="C754" s="3" t="s">
        <v>709</v>
      </c>
      <c r="M754" s="23" t="s">
        <v>291</v>
      </c>
      <c r="N754" s="23" t="s">
        <v>54</v>
      </c>
      <c r="O754" s="23" t="s">
        <v>708</v>
      </c>
    </row>
    <row r="755" customFormat="false" ht="15" hidden="false" customHeight="true" outlineLevel="0" collapsed="false">
      <c r="A755" s="3" t="s">
        <v>710</v>
      </c>
      <c r="B755" s="3" t="s">
        <v>635</v>
      </c>
      <c r="C755" s="3" t="s">
        <v>711</v>
      </c>
      <c r="M755" s="23"/>
      <c r="N755" s="23"/>
      <c r="O755" s="23"/>
    </row>
    <row r="756" customFormat="false" ht="36" hidden="false" customHeight="true" outlineLevel="0" collapsed="false">
      <c r="C756" s="26" t="s">
        <v>712</v>
      </c>
      <c r="M756" s="23"/>
      <c r="N756" s="23"/>
      <c r="O756" s="23"/>
    </row>
    <row r="757" customFormat="false" ht="15" hidden="false" customHeight="true" outlineLevel="0" collapsed="false">
      <c r="C757" s="27" t="s">
        <v>713</v>
      </c>
      <c r="D757" s="28" t="n">
        <v>1</v>
      </c>
      <c r="H757" s="29" t="n">
        <f aca="false">IF(COUNT(D757:G757)=0,0,D757*IF(E757="",1,E757)*IF(F757="",1,F757)*IF(G757="",1,G757))</f>
        <v>1</v>
      </c>
      <c r="M757" s="23"/>
      <c r="N757" s="23"/>
      <c r="O757" s="23"/>
    </row>
    <row r="758" customFormat="false" ht="15" hidden="false" customHeight="true" outlineLevel="0" collapsed="false">
      <c r="H758" s="30"/>
      <c r="I758" s="31" t="n">
        <f aca="false">ROUND(SUM(H757:H757),2)</f>
        <v>1</v>
      </c>
      <c r="J758" s="32" t="n">
        <v>54.93</v>
      </c>
      <c r="K758" s="31" t="n">
        <f aca="false">ROUND(I758*J758,2)</f>
        <v>54.93</v>
      </c>
      <c r="L758" s="33" t="s">
        <v>212</v>
      </c>
      <c r="M758" s="23" t="s">
        <v>123</v>
      </c>
      <c r="N758" s="23" t="s">
        <v>54</v>
      </c>
      <c r="O758" s="23" t="s">
        <v>708</v>
      </c>
    </row>
    <row r="759" customFormat="false" ht="15" hidden="false" customHeight="true" outlineLevel="0" collapsed="false">
      <c r="A759" s="3" t="s">
        <v>714</v>
      </c>
      <c r="B759" s="3" t="s">
        <v>635</v>
      </c>
      <c r="C759" s="3" t="s">
        <v>715</v>
      </c>
      <c r="M759" s="23"/>
      <c r="N759" s="23"/>
      <c r="O759" s="23"/>
    </row>
    <row r="760" customFormat="false" ht="36" hidden="false" customHeight="true" outlineLevel="0" collapsed="false">
      <c r="C760" s="26" t="s">
        <v>716</v>
      </c>
      <c r="M760" s="23"/>
      <c r="N760" s="23"/>
      <c r="O760" s="23"/>
    </row>
    <row r="761" customFormat="false" ht="15" hidden="false" customHeight="true" outlineLevel="0" collapsed="false">
      <c r="C761" s="27" t="s">
        <v>717</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74.06</v>
      </c>
      <c r="K762" s="31" t="n">
        <f aca="false">ROUND(I762*J762,2)</f>
        <v>74.06</v>
      </c>
      <c r="L762" s="33" t="s">
        <v>212</v>
      </c>
      <c r="M762" s="23" t="s">
        <v>123</v>
      </c>
      <c r="N762" s="23" t="s">
        <v>54</v>
      </c>
      <c r="O762" s="23" t="s">
        <v>708</v>
      </c>
    </row>
    <row r="763" customFormat="false" ht="15" hidden="false" customHeight="true" outlineLevel="0" collapsed="false">
      <c r="A763" s="3" t="s">
        <v>718</v>
      </c>
      <c r="B763" s="3" t="s">
        <v>635</v>
      </c>
      <c r="C763" s="3" t="s">
        <v>719</v>
      </c>
      <c r="M763" s="23"/>
      <c r="N763" s="23"/>
      <c r="O763" s="23"/>
    </row>
    <row r="764" customFormat="false" ht="36" hidden="false" customHeight="true" outlineLevel="0" collapsed="false">
      <c r="C764" s="26" t="s">
        <v>720</v>
      </c>
      <c r="M764" s="23"/>
      <c r="N764" s="23"/>
      <c r="O764" s="23"/>
    </row>
    <row r="765" customFormat="false" ht="15" hidden="false" customHeight="true" outlineLevel="0" collapsed="false">
      <c r="C765" s="27" t="s">
        <v>721</v>
      </c>
      <c r="D765" s="28" t="n">
        <v>2</v>
      </c>
      <c r="H765" s="29" t="n">
        <f aca="false">IF(COUNT(D765:G765)=0,0,D765*IF(E765="",1,E765)*IF(F765="",1,F765)*IF(G765="",1,G765))</f>
        <v>2</v>
      </c>
      <c r="M765" s="23"/>
      <c r="N765" s="23"/>
      <c r="O765" s="23"/>
    </row>
    <row r="766" customFormat="false" ht="15" hidden="false" customHeight="true" outlineLevel="0" collapsed="false">
      <c r="H766" s="30"/>
      <c r="I766" s="31" t="n">
        <f aca="false">ROUND(SUM(H765:H765),2)</f>
        <v>2</v>
      </c>
      <c r="J766" s="32" t="n">
        <v>10.25</v>
      </c>
      <c r="K766" s="31" t="n">
        <f aca="false">ROUND(I766*J766,2)</f>
        <v>20.5</v>
      </c>
      <c r="L766" s="33" t="s">
        <v>212</v>
      </c>
      <c r="M766" s="23" t="s">
        <v>123</v>
      </c>
      <c r="N766" s="23" t="s">
        <v>54</v>
      </c>
      <c r="O766" s="23" t="s">
        <v>708</v>
      </c>
    </row>
    <row r="767" customFormat="false" ht="15" hidden="false" customHeight="true" outlineLevel="0" collapsed="false">
      <c r="A767" s="3" t="s">
        <v>722</v>
      </c>
      <c r="C767" s="3" t="s">
        <v>723</v>
      </c>
      <c r="M767" s="23" t="s">
        <v>291</v>
      </c>
      <c r="N767" s="23" t="s">
        <v>54</v>
      </c>
      <c r="O767" s="23" t="s">
        <v>722</v>
      </c>
    </row>
    <row r="768" customFormat="false" ht="15" hidden="false" customHeight="true" outlineLevel="0" collapsed="false">
      <c r="A768" s="3" t="s">
        <v>724</v>
      </c>
      <c r="B768" s="3" t="s">
        <v>129</v>
      </c>
      <c r="C768" s="3" t="s">
        <v>725</v>
      </c>
      <c r="M768" s="23"/>
      <c r="N768" s="23"/>
      <c r="O768" s="23"/>
    </row>
    <row r="769" customFormat="false" ht="48" hidden="false" customHeight="true" outlineLevel="0" collapsed="false">
      <c r="C769" s="26" t="s">
        <v>726</v>
      </c>
      <c r="M769" s="23"/>
      <c r="N769" s="23"/>
      <c r="O769" s="23"/>
    </row>
    <row r="770" customFormat="false" ht="15" hidden="false" customHeight="true" outlineLevel="0" collapsed="false">
      <c r="C770" s="27" t="s">
        <v>727</v>
      </c>
      <c r="D770" s="28" t="n">
        <v>1</v>
      </c>
      <c r="H770" s="29" t="n">
        <f aca="false">IF(COUNT(D770:G770)=0,0,D770*IF(E770="",1,E770)*IF(F770="",1,F770)*IF(G770="",1,G770))</f>
        <v>1</v>
      </c>
      <c r="M770" s="23"/>
      <c r="N770" s="23"/>
      <c r="O770" s="23"/>
    </row>
    <row r="771" customFormat="false" ht="18.75" hidden="false" customHeight="true" outlineLevel="0" collapsed="false">
      <c r="H771" s="30"/>
      <c r="I771" s="31" t="n">
        <f aca="false">ROUND(SUM(H770:H770),2)</f>
        <v>1</v>
      </c>
      <c r="J771" s="32" t="n">
        <v>9200</v>
      </c>
      <c r="K771" s="31" t="n">
        <f aca="false">ROUND(I771*J771,2)</f>
        <v>9200</v>
      </c>
      <c r="L771" s="33" t="s">
        <v>238</v>
      </c>
      <c r="M771" s="23" t="s">
        <v>123</v>
      </c>
      <c r="N771" s="23" t="s">
        <v>54</v>
      </c>
      <c r="O771" s="23" t="s">
        <v>722</v>
      </c>
    </row>
    <row r="772" customFormat="false" ht="15" hidden="false" customHeight="true" outlineLevel="0" collapsed="false">
      <c r="A772" s="3" t="s">
        <v>728</v>
      </c>
      <c r="B772" s="3" t="s">
        <v>635</v>
      </c>
      <c r="C772" s="3" t="s">
        <v>729</v>
      </c>
      <c r="M772" s="23"/>
      <c r="N772" s="23"/>
      <c r="O772" s="23"/>
    </row>
    <row r="773" customFormat="false" ht="36" hidden="false" customHeight="true" outlineLevel="0" collapsed="false">
      <c r="C773" s="26" t="s">
        <v>730</v>
      </c>
      <c r="M773" s="23"/>
      <c r="N773" s="23"/>
      <c r="O773" s="23"/>
    </row>
    <row r="774" customFormat="false" ht="15" hidden="false" customHeight="true" outlineLevel="0" collapsed="false">
      <c r="C774" s="27" t="s">
        <v>731</v>
      </c>
      <c r="D774" s="28" t="n">
        <v>1</v>
      </c>
      <c r="H774" s="29" t="n">
        <f aca="false">IF(COUNT(D774:G774)=0,0,D774*IF(E774="",1,E774)*IF(F774="",1,F774)*IF(G774="",1,G774))</f>
        <v>1</v>
      </c>
      <c r="M774" s="23"/>
      <c r="N774" s="23"/>
      <c r="O774" s="23"/>
    </row>
    <row r="775" customFormat="false" ht="15" hidden="false" customHeight="true" outlineLevel="0" collapsed="false">
      <c r="H775" s="30"/>
      <c r="I775" s="31" t="n">
        <f aca="false">ROUND(SUM(H774:H774),2)</f>
        <v>1</v>
      </c>
      <c r="J775" s="32" t="n">
        <v>128.56</v>
      </c>
      <c r="K775" s="31" t="n">
        <f aca="false">ROUND(I775*J775,2)</f>
        <v>128.56</v>
      </c>
      <c r="L775" s="33" t="s">
        <v>212</v>
      </c>
      <c r="M775" s="23" t="s">
        <v>123</v>
      </c>
      <c r="N775" s="23" t="s">
        <v>54</v>
      </c>
      <c r="O775" s="23" t="s">
        <v>722</v>
      </c>
    </row>
    <row r="776" customFormat="false" ht="15" hidden="false" customHeight="true" outlineLevel="0" collapsed="false">
      <c r="A776" s="3" t="s">
        <v>732</v>
      </c>
      <c r="B776" s="3" t="s">
        <v>635</v>
      </c>
      <c r="C776" s="3" t="s">
        <v>733</v>
      </c>
      <c r="M776" s="23"/>
      <c r="N776" s="23"/>
      <c r="O776" s="23"/>
    </row>
    <row r="777" customFormat="false" ht="24" hidden="false" customHeight="true" outlineLevel="0" collapsed="false">
      <c r="C777" s="26" t="s">
        <v>734</v>
      </c>
      <c r="M777" s="23"/>
      <c r="N777" s="23"/>
      <c r="O777" s="23"/>
    </row>
    <row r="778" customFormat="false" ht="15" hidden="false" customHeight="true" outlineLevel="0" collapsed="false">
      <c r="C778" s="27" t="s">
        <v>731</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33.06</v>
      </c>
      <c r="K779" s="31" t="n">
        <f aca="false">ROUND(I779*J779,2)</f>
        <v>33.06</v>
      </c>
      <c r="L779" s="33" t="s">
        <v>212</v>
      </c>
      <c r="M779" s="23" t="s">
        <v>123</v>
      </c>
      <c r="N779" s="23" t="s">
        <v>54</v>
      </c>
      <c r="O779" s="23" t="s">
        <v>722</v>
      </c>
    </row>
    <row r="780" customFormat="false" ht="15" hidden="false" customHeight="true" outlineLevel="0" collapsed="false">
      <c r="A780" s="3" t="s">
        <v>735</v>
      </c>
      <c r="B780" s="3" t="s">
        <v>635</v>
      </c>
      <c r="C780" s="3" t="s">
        <v>736</v>
      </c>
      <c r="M780" s="23"/>
      <c r="N780" s="23"/>
      <c r="O780" s="23"/>
    </row>
    <row r="781" customFormat="false" ht="24" hidden="false" customHeight="true" outlineLevel="0" collapsed="false">
      <c r="C781" s="26" t="s">
        <v>737</v>
      </c>
      <c r="M781" s="23"/>
      <c r="N781" s="23"/>
      <c r="O781" s="23"/>
    </row>
    <row r="782" customFormat="false" ht="15" hidden="false" customHeight="true" outlineLevel="0" collapsed="false">
      <c r="C782" s="27" t="s">
        <v>731</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80.8</v>
      </c>
      <c r="K783" s="31" t="n">
        <f aca="false">ROUND(I783*J783,2)</f>
        <v>80.8</v>
      </c>
      <c r="L783" s="33" t="s">
        <v>212</v>
      </c>
      <c r="M783" s="23" t="s">
        <v>123</v>
      </c>
      <c r="N783" s="23" t="s">
        <v>54</v>
      </c>
      <c r="O783" s="23" t="s">
        <v>722</v>
      </c>
    </row>
    <row r="784" customFormat="false" ht="15" hidden="false" customHeight="true" outlineLevel="0" collapsed="false">
      <c r="A784" s="3" t="s">
        <v>738</v>
      </c>
      <c r="B784" s="3" t="s">
        <v>635</v>
      </c>
      <c r="C784" s="3" t="s">
        <v>739</v>
      </c>
      <c r="M784" s="23"/>
      <c r="N784" s="23"/>
      <c r="O784" s="23"/>
    </row>
    <row r="785" customFormat="false" ht="36" hidden="false" customHeight="true" outlineLevel="0" collapsed="false">
      <c r="C785" s="26" t="s">
        <v>740</v>
      </c>
      <c r="M785" s="23"/>
      <c r="N785" s="23"/>
      <c r="O785" s="23"/>
    </row>
    <row r="786" customFormat="false" ht="15" hidden="false" customHeight="true" outlineLevel="0" collapsed="false">
      <c r="C786" s="27" t="s">
        <v>731</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239.51</v>
      </c>
      <c r="K787" s="31" t="n">
        <f aca="false">ROUND(I787*J787,2)</f>
        <v>239.51</v>
      </c>
      <c r="L787" s="33" t="s">
        <v>212</v>
      </c>
      <c r="M787" s="23" t="s">
        <v>123</v>
      </c>
      <c r="N787" s="23" t="s">
        <v>54</v>
      </c>
      <c r="O787" s="23" t="s">
        <v>722</v>
      </c>
    </row>
    <row r="788" customFormat="false" ht="15" hidden="false" customHeight="true" outlineLevel="0" collapsed="false">
      <c r="A788" s="3" t="s">
        <v>741</v>
      </c>
      <c r="B788" s="3" t="s">
        <v>635</v>
      </c>
      <c r="C788" s="3" t="s">
        <v>742</v>
      </c>
      <c r="M788" s="23"/>
      <c r="N788" s="23"/>
      <c r="O788" s="23"/>
    </row>
    <row r="789" customFormat="false" ht="12" hidden="false" customHeight="true" outlineLevel="0" collapsed="false">
      <c r="C789" s="26" t="s">
        <v>743</v>
      </c>
      <c r="M789" s="23"/>
      <c r="N789" s="23"/>
      <c r="O789" s="23"/>
    </row>
    <row r="790" customFormat="false" ht="15" hidden="false" customHeight="true" outlineLevel="0" collapsed="false">
      <c r="C790" s="27" t="s">
        <v>731</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33.06</v>
      </c>
      <c r="K791" s="31" t="n">
        <f aca="false">ROUND(I791*J791,2)</f>
        <v>33.06</v>
      </c>
      <c r="L791" s="33" t="s">
        <v>212</v>
      </c>
      <c r="M791" s="23" t="s">
        <v>123</v>
      </c>
      <c r="N791" s="23" t="s">
        <v>54</v>
      </c>
      <c r="O791" s="23" t="s">
        <v>722</v>
      </c>
    </row>
    <row r="792" customFormat="false" ht="15" hidden="false" customHeight="true" outlineLevel="0" collapsed="false">
      <c r="A792" s="3" t="s">
        <v>744</v>
      </c>
      <c r="B792" s="3" t="s">
        <v>635</v>
      </c>
      <c r="C792" s="3" t="s">
        <v>745</v>
      </c>
      <c r="M792" s="23"/>
      <c r="N792" s="23"/>
      <c r="O792" s="23"/>
    </row>
    <row r="793" customFormat="false" ht="240" hidden="false" customHeight="true" outlineLevel="0" collapsed="false">
      <c r="C793" s="26" t="s">
        <v>746</v>
      </c>
      <c r="M793" s="23"/>
      <c r="N793" s="23"/>
      <c r="O793" s="23"/>
    </row>
    <row r="794" customFormat="false" ht="15" hidden="false" customHeight="true" outlineLevel="0" collapsed="false">
      <c r="C794" s="27" t="s">
        <v>731</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257.12</v>
      </c>
      <c r="K795" s="31" t="n">
        <f aca="false">ROUND(I795*J795,2)</f>
        <v>257.12</v>
      </c>
      <c r="L795" s="33" t="s">
        <v>212</v>
      </c>
      <c r="M795" s="23" t="s">
        <v>123</v>
      </c>
      <c r="N795" s="23" t="s">
        <v>54</v>
      </c>
      <c r="O795" s="23" t="s">
        <v>722</v>
      </c>
    </row>
    <row r="796" customFormat="false" ht="15" hidden="false" customHeight="true" outlineLevel="0" collapsed="false">
      <c r="A796" s="3" t="s">
        <v>747</v>
      </c>
      <c r="B796" s="3" t="s">
        <v>635</v>
      </c>
      <c r="C796" s="3" t="s">
        <v>748</v>
      </c>
      <c r="M796" s="23"/>
      <c r="N796" s="23"/>
      <c r="O796" s="23"/>
    </row>
    <row r="797" customFormat="false" ht="72" hidden="false" customHeight="true" outlineLevel="0" collapsed="false">
      <c r="C797" s="26" t="s">
        <v>749</v>
      </c>
      <c r="M797" s="23"/>
      <c r="N797" s="23"/>
      <c r="O797" s="23"/>
    </row>
    <row r="798" customFormat="false" ht="15" hidden="false" customHeight="true" outlineLevel="0" collapsed="false">
      <c r="C798" s="27" t="s">
        <v>731</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165.3</v>
      </c>
      <c r="K799" s="31" t="n">
        <f aca="false">ROUND(I799*J799,2)</f>
        <v>165.3</v>
      </c>
      <c r="L799" s="33" t="s">
        <v>212</v>
      </c>
      <c r="M799" s="23" t="s">
        <v>123</v>
      </c>
      <c r="N799" s="23" t="s">
        <v>54</v>
      </c>
      <c r="O799" s="23" t="s">
        <v>722</v>
      </c>
    </row>
    <row r="800" customFormat="false" ht="15" hidden="false" customHeight="true" outlineLevel="0" collapsed="false">
      <c r="A800" s="3" t="s">
        <v>750</v>
      </c>
      <c r="B800" s="3" t="s">
        <v>635</v>
      </c>
      <c r="C800" s="3" t="s">
        <v>751</v>
      </c>
      <c r="M800" s="23"/>
      <c r="N800" s="23"/>
      <c r="O800" s="23"/>
    </row>
    <row r="801" customFormat="false" ht="48" hidden="false" customHeight="true" outlineLevel="0" collapsed="false">
      <c r="C801" s="26" t="s">
        <v>752</v>
      </c>
      <c r="M801" s="23"/>
      <c r="N801" s="23"/>
      <c r="O801" s="23"/>
    </row>
    <row r="802" customFormat="false" ht="15" hidden="false" customHeight="true" outlineLevel="0" collapsed="false">
      <c r="C802" s="27" t="s">
        <v>731</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190.27</v>
      </c>
      <c r="K803" s="31" t="n">
        <f aca="false">ROUND(I803*J803,2)</f>
        <v>190.27</v>
      </c>
      <c r="L803" s="33" t="s">
        <v>212</v>
      </c>
      <c r="M803" s="23" t="s">
        <v>123</v>
      </c>
      <c r="N803" s="23" t="s">
        <v>54</v>
      </c>
      <c r="O803" s="23" t="s">
        <v>722</v>
      </c>
    </row>
    <row r="804" customFormat="false" ht="15" hidden="false" customHeight="true" outlineLevel="0" collapsed="false">
      <c r="A804" s="3" t="s">
        <v>753</v>
      </c>
      <c r="B804" s="3" t="s">
        <v>635</v>
      </c>
      <c r="C804" s="3" t="s">
        <v>754</v>
      </c>
      <c r="M804" s="23"/>
      <c r="N804" s="23"/>
      <c r="O804" s="23"/>
    </row>
    <row r="805" customFormat="false" ht="48" hidden="false" customHeight="true" outlineLevel="0" collapsed="false">
      <c r="C805" s="26" t="s">
        <v>755</v>
      </c>
      <c r="M805" s="23"/>
      <c r="N805" s="23"/>
      <c r="O805" s="23"/>
    </row>
    <row r="806" customFormat="false" ht="15" hidden="false" customHeight="true" outlineLevel="0" collapsed="false">
      <c r="C806" s="27" t="s">
        <v>731</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238.88</v>
      </c>
      <c r="K807" s="31" t="n">
        <f aca="false">ROUND(I807*J807,2)</f>
        <v>238.88</v>
      </c>
      <c r="L807" s="33" t="s">
        <v>212</v>
      </c>
      <c r="M807" s="23" t="s">
        <v>123</v>
      </c>
      <c r="N807" s="23" t="s">
        <v>54</v>
      </c>
      <c r="O807" s="23" t="s">
        <v>722</v>
      </c>
    </row>
    <row r="808" customFormat="false" ht="15" hidden="false" customHeight="true" outlineLevel="0" collapsed="false">
      <c r="A808" s="3" t="s">
        <v>756</v>
      </c>
      <c r="B808" s="3" t="s">
        <v>635</v>
      </c>
      <c r="C808" s="3" t="s">
        <v>757</v>
      </c>
      <c r="M808" s="23"/>
      <c r="N808" s="23"/>
      <c r="O808" s="23"/>
    </row>
    <row r="809" customFormat="false" ht="24" hidden="false" customHeight="true" outlineLevel="0" collapsed="false">
      <c r="C809" s="26" t="s">
        <v>758</v>
      </c>
      <c r="M809" s="23"/>
      <c r="N809" s="23"/>
      <c r="O809" s="23"/>
    </row>
    <row r="810" customFormat="false" ht="15" hidden="false" customHeight="true" outlineLevel="0" collapsed="false">
      <c r="C810" s="27" t="s">
        <v>731</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130.14</v>
      </c>
      <c r="K811" s="31" t="n">
        <f aca="false">ROUND(I811*J811,2)</f>
        <v>130.14</v>
      </c>
      <c r="L811" s="33" t="s">
        <v>212</v>
      </c>
      <c r="M811" s="23" t="s">
        <v>123</v>
      </c>
      <c r="N811" s="23" t="s">
        <v>54</v>
      </c>
      <c r="O811" s="23" t="s">
        <v>722</v>
      </c>
    </row>
    <row r="812" customFormat="false" ht="15" hidden="false" customHeight="true" outlineLevel="0" collapsed="false">
      <c r="A812" s="3" t="s">
        <v>759</v>
      </c>
      <c r="B812" s="3" t="s">
        <v>635</v>
      </c>
      <c r="C812" s="3" t="s">
        <v>760</v>
      </c>
      <c r="M812" s="23"/>
      <c r="N812" s="23"/>
      <c r="O812" s="23"/>
    </row>
    <row r="813" customFormat="false" ht="24" hidden="false" customHeight="true" outlineLevel="0" collapsed="false">
      <c r="C813" s="26" t="s">
        <v>761</v>
      </c>
      <c r="M813" s="23"/>
      <c r="N813" s="23"/>
      <c r="O813" s="23"/>
    </row>
    <row r="814" customFormat="false" ht="15" hidden="false" customHeight="true" outlineLevel="0" collapsed="false">
      <c r="C814" s="27" t="s">
        <v>731</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140.49</v>
      </c>
      <c r="K815" s="31" t="n">
        <f aca="false">ROUND(I815*J815,2)</f>
        <v>140.49</v>
      </c>
      <c r="L815" s="33" t="s">
        <v>212</v>
      </c>
      <c r="M815" s="23" t="s">
        <v>123</v>
      </c>
      <c r="N815" s="23" t="s">
        <v>54</v>
      </c>
      <c r="O815" s="23" t="s">
        <v>722</v>
      </c>
    </row>
    <row r="816" customFormat="false" ht="15" hidden="false" customHeight="true" outlineLevel="0" collapsed="false">
      <c r="A816" s="3" t="s">
        <v>762</v>
      </c>
      <c r="B816" s="3" t="s">
        <v>642</v>
      </c>
      <c r="C816" s="3" t="s">
        <v>763</v>
      </c>
      <c r="M816" s="23"/>
      <c r="N816" s="23"/>
      <c r="O816" s="23"/>
    </row>
    <row r="817" customFormat="false" ht="96" hidden="false" customHeight="true" outlineLevel="0" collapsed="false">
      <c r="C817" s="26" t="s">
        <v>764</v>
      </c>
      <c r="M817" s="23"/>
      <c r="N817" s="23"/>
      <c r="O817" s="23"/>
    </row>
    <row r="818" customFormat="false" ht="15" hidden="false" customHeight="true" outlineLevel="0" collapsed="false">
      <c r="C818" s="27" t="s">
        <v>731</v>
      </c>
      <c r="D818" s="28" t="n">
        <v>23</v>
      </c>
      <c r="H818" s="29" t="n">
        <f aca="false">IF(COUNT(D818:G818)=0,0,D818*IF(E818="",1,E818)*IF(F818="",1,F818)*IF(G818="",1,G818))</f>
        <v>23</v>
      </c>
      <c r="M818" s="23"/>
      <c r="N818" s="23"/>
      <c r="O818" s="23"/>
    </row>
    <row r="819" customFormat="false" ht="15" hidden="false" customHeight="true" outlineLevel="0" collapsed="false">
      <c r="H819" s="30"/>
      <c r="I819" s="31" t="n">
        <f aca="false">ROUND(SUM(H818:H818),2)</f>
        <v>23</v>
      </c>
      <c r="J819" s="32" t="n">
        <v>5.51</v>
      </c>
      <c r="K819" s="31" t="n">
        <f aca="false">ROUND(I819*J819,2)</f>
        <v>126.73</v>
      </c>
      <c r="L819" s="33" t="s">
        <v>212</v>
      </c>
      <c r="M819" s="23" t="s">
        <v>123</v>
      </c>
      <c r="N819" s="23" t="s">
        <v>54</v>
      </c>
      <c r="O819" s="23" t="s">
        <v>722</v>
      </c>
    </row>
    <row r="820" customFormat="false" ht="15" hidden="false" customHeight="true" outlineLevel="0" collapsed="false">
      <c r="A820" s="3" t="s">
        <v>765</v>
      </c>
      <c r="B820" s="3" t="s">
        <v>635</v>
      </c>
      <c r="C820" s="3" t="s">
        <v>766</v>
      </c>
      <c r="M820" s="23"/>
      <c r="N820" s="23"/>
      <c r="O820" s="23"/>
    </row>
    <row r="821" customFormat="false" ht="36" hidden="false" customHeight="true" outlineLevel="0" collapsed="false">
      <c r="C821" s="26" t="s">
        <v>767</v>
      </c>
      <c r="M821" s="23"/>
      <c r="N821" s="23"/>
      <c r="O821" s="23"/>
    </row>
    <row r="822" customFormat="false" ht="15" hidden="false" customHeight="true" outlineLevel="0" collapsed="false">
      <c r="C822" s="27" t="s">
        <v>731</v>
      </c>
      <c r="D822" s="28" t="n">
        <v>1</v>
      </c>
      <c r="H822" s="29" t="n">
        <f aca="false">IF(COUNT(D822:G822)=0,0,D822*IF(E822="",1,E822)*IF(F822="",1,F822)*IF(G822="",1,G822))</f>
        <v>1</v>
      </c>
      <c r="M822" s="23"/>
      <c r="N822" s="23"/>
      <c r="O822" s="23"/>
    </row>
    <row r="823" customFormat="false" ht="15" hidden="false" customHeight="true" outlineLevel="0" collapsed="false">
      <c r="H823" s="30"/>
      <c r="I823" s="31" t="n">
        <f aca="false">ROUND(SUM(H822:H822),2)</f>
        <v>1</v>
      </c>
      <c r="J823" s="32" t="n">
        <v>142.75</v>
      </c>
      <c r="K823" s="31" t="n">
        <f aca="false">ROUND(I823*J823,2)</f>
        <v>142.75</v>
      </c>
      <c r="L823" s="33" t="s">
        <v>212</v>
      </c>
      <c r="M823" s="23" t="s">
        <v>123</v>
      </c>
      <c r="N823" s="23" t="s">
        <v>54</v>
      </c>
      <c r="O823" s="23" t="s">
        <v>722</v>
      </c>
    </row>
    <row r="824" customFormat="false" ht="15" hidden="false" customHeight="true" outlineLevel="0" collapsed="false">
      <c r="A824" s="3" t="s">
        <v>768</v>
      </c>
      <c r="B824" s="3" t="s">
        <v>635</v>
      </c>
      <c r="C824" s="3" t="s">
        <v>769</v>
      </c>
      <c r="M824" s="23"/>
      <c r="N824" s="23"/>
      <c r="O824" s="23"/>
    </row>
    <row r="825" customFormat="false" ht="24" hidden="false" customHeight="true" outlineLevel="0" collapsed="false">
      <c r="C825" s="26" t="s">
        <v>770</v>
      </c>
      <c r="M825" s="23"/>
      <c r="N825" s="23"/>
      <c r="O825" s="23"/>
    </row>
    <row r="826" customFormat="false" ht="15" hidden="false" customHeight="true" outlineLevel="0" collapsed="false">
      <c r="C826" s="27" t="s">
        <v>731</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135.9</v>
      </c>
      <c r="K827" s="31" t="n">
        <f aca="false">ROUND(I827*J827,2)</f>
        <v>135.9</v>
      </c>
      <c r="L827" s="33" t="s">
        <v>212</v>
      </c>
      <c r="M827" s="23" t="s">
        <v>123</v>
      </c>
      <c r="N827" s="23" t="s">
        <v>54</v>
      </c>
      <c r="O827" s="23" t="s">
        <v>722</v>
      </c>
    </row>
    <row r="828" customFormat="false" ht="15" hidden="false" customHeight="true" outlineLevel="0" collapsed="false">
      <c r="A828" s="3" t="s">
        <v>771</v>
      </c>
      <c r="B828" s="3" t="s">
        <v>635</v>
      </c>
      <c r="C828" s="3" t="s">
        <v>772</v>
      </c>
      <c r="M828" s="23"/>
      <c r="N828" s="23"/>
      <c r="O828" s="23"/>
    </row>
    <row r="829" customFormat="false" ht="24" hidden="false" customHeight="true" outlineLevel="0" collapsed="false">
      <c r="C829" s="26" t="s">
        <v>773</v>
      </c>
      <c r="M829" s="23"/>
      <c r="N829" s="23"/>
      <c r="O829" s="23"/>
    </row>
    <row r="830" customFormat="false" ht="15" hidden="false" customHeight="true" outlineLevel="0" collapsed="false">
      <c r="C830" s="27" t="s">
        <v>731</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722</v>
      </c>
    </row>
    <row r="832" customFormat="false" ht="15" hidden="false" customHeight="true" outlineLevel="0" collapsed="false">
      <c r="A832" s="3" t="s">
        <v>774</v>
      </c>
      <c r="B832" s="3" t="s">
        <v>117</v>
      </c>
      <c r="C832" s="3" t="s">
        <v>775</v>
      </c>
      <c r="M832" s="23"/>
      <c r="N832" s="23"/>
      <c r="O832" s="23"/>
    </row>
    <row r="833" customFormat="false" ht="36" hidden="false" customHeight="true" outlineLevel="0" collapsed="false">
      <c r="C833" s="26" t="s">
        <v>776</v>
      </c>
      <c r="M833" s="23"/>
      <c r="N833" s="23"/>
      <c r="O833" s="23"/>
    </row>
    <row r="834" customFormat="false" ht="15" hidden="false" customHeight="true" outlineLevel="0" collapsed="false">
      <c r="C834" s="27" t="s">
        <v>777</v>
      </c>
      <c r="D834" s="28" t="n">
        <v>1</v>
      </c>
      <c r="E834" s="28" t="n">
        <v>176</v>
      </c>
      <c r="H834" s="29" t="n">
        <f aca="false">IF(COUNT(D834:G834)=0,0,D834*IF(E834="",1,E834)*IF(F834="",1,F834)*IF(G834="",1,G834))</f>
        <v>176</v>
      </c>
      <c r="M834" s="23"/>
      <c r="N834" s="23"/>
      <c r="O834" s="23"/>
    </row>
    <row r="835" customFormat="false" ht="15" hidden="false" customHeight="true" outlineLevel="0" collapsed="false">
      <c r="C835" s="27" t="s">
        <v>778</v>
      </c>
      <c r="D835" s="28" t="n">
        <v>1</v>
      </c>
      <c r="E835" s="28" t="n">
        <v>12.3</v>
      </c>
      <c r="H835" s="29" t="n">
        <f aca="false">IF(COUNT(D835:G835)=0,0,D835*IF(E835="",1,E835)*IF(F835="",1,F835)*IF(G835="",1,G835))</f>
        <v>12.3</v>
      </c>
      <c r="M835" s="23"/>
      <c r="N835" s="23"/>
      <c r="O835" s="23"/>
    </row>
    <row r="836" customFormat="false" ht="15" hidden="false" customHeight="true" outlineLevel="0" collapsed="false">
      <c r="H836" s="30"/>
      <c r="I836" s="31" t="n">
        <f aca="false">ROUND(SUM(H834:H835),2)</f>
        <v>188.3</v>
      </c>
      <c r="J836" s="32" t="n">
        <v>24.21</v>
      </c>
      <c r="K836" s="31" t="n">
        <f aca="false">ROUND(I836*J836,2)</f>
        <v>4558.74</v>
      </c>
      <c r="L836" s="33" t="s">
        <v>212</v>
      </c>
      <c r="M836" s="23" t="s">
        <v>123</v>
      </c>
      <c r="N836" s="23" t="s">
        <v>54</v>
      </c>
      <c r="O836" s="23" t="s">
        <v>722</v>
      </c>
    </row>
    <row r="837" customFormat="false" ht="15" hidden="false" customHeight="true" outlineLevel="0" collapsed="false">
      <c r="A837" s="3" t="s">
        <v>779</v>
      </c>
      <c r="B837" s="3" t="s">
        <v>129</v>
      </c>
      <c r="C837" s="3" t="s">
        <v>780</v>
      </c>
      <c r="M837" s="23"/>
      <c r="N837" s="23"/>
      <c r="O837" s="23"/>
    </row>
    <row r="838" customFormat="false" ht="24" hidden="false" customHeight="true" outlineLevel="0" collapsed="false">
      <c r="C838" s="26" t="s">
        <v>781</v>
      </c>
      <c r="M838" s="23"/>
      <c r="N838" s="23"/>
      <c r="O838" s="23"/>
    </row>
    <row r="839" customFormat="false" ht="15" hidden="false" customHeight="true" outlineLevel="0" collapsed="false">
      <c r="C839" s="27" t="s">
        <v>782</v>
      </c>
      <c r="D839" s="28" t="n">
        <v>3</v>
      </c>
      <c r="H839" s="29" t="n">
        <f aca="false">IF(COUNT(D839:G839)=0,0,D839*IF(E839="",1,E839)*IF(F839="",1,F839)*IF(G839="",1,G839))</f>
        <v>3</v>
      </c>
      <c r="M839" s="23"/>
      <c r="N839" s="23"/>
      <c r="O839" s="23"/>
    </row>
    <row r="840" customFormat="false" ht="18.75" hidden="false" customHeight="true" outlineLevel="0" collapsed="false">
      <c r="H840" s="30"/>
      <c r="I840" s="31" t="n">
        <f aca="false">ROUND(SUM(H839:H839),2)</f>
        <v>3</v>
      </c>
      <c r="J840" s="32" t="n">
        <v>520</v>
      </c>
      <c r="K840" s="31" t="n">
        <f aca="false">ROUND(I840*J840,2)</f>
        <v>1560</v>
      </c>
      <c r="L840" s="33" t="s">
        <v>238</v>
      </c>
      <c r="M840" s="23" t="s">
        <v>123</v>
      </c>
      <c r="N840" s="23" t="s">
        <v>54</v>
      </c>
      <c r="O840" s="23" t="s">
        <v>722</v>
      </c>
    </row>
    <row r="841" customFormat="false" ht="15" hidden="false" customHeight="true" outlineLevel="0" collapsed="false">
      <c r="A841" s="3" t="s">
        <v>783</v>
      </c>
      <c r="B841" s="3" t="s">
        <v>635</v>
      </c>
      <c r="C841" s="3" t="s">
        <v>784</v>
      </c>
      <c r="M841" s="23"/>
      <c r="N841" s="23"/>
      <c r="O841" s="23"/>
    </row>
    <row r="842" customFormat="false" ht="12" hidden="false" customHeight="true" outlineLevel="0" collapsed="false">
      <c r="C842" s="26" t="s">
        <v>785</v>
      </c>
      <c r="M842" s="23"/>
      <c r="N842" s="23"/>
      <c r="O842" s="23"/>
    </row>
    <row r="843" customFormat="false" ht="15" hidden="false" customHeight="true" outlineLevel="0" collapsed="false">
      <c r="C843" s="27" t="s">
        <v>786</v>
      </c>
      <c r="D843" s="28" t="n">
        <v>6</v>
      </c>
      <c r="H843" s="29" t="n">
        <f aca="false">IF(COUNT(D843:G843)=0,0,D843*IF(E843="",1,E843)*IF(F843="",1,F843)*IF(G843="",1,G843))</f>
        <v>6</v>
      </c>
      <c r="M843" s="23"/>
      <c r="N843" s="23"/>
      <c r="O843" s="23"/>
    </row>
    <row r="844" customFormat="false" ht="15" hidden="false" customHeight="true" outlineLevel="0" collapsed="false">
      <c r="H844" s="30"/>
      <c r="I844" s="31" t="n">
        <f aca="false">ROUND(SUM(H843:H843),2)</f>
        <v>6</v>
      </c>
      <c r="J844" s="32" t="n">
        <v>80.8</v>
      </c>
      <c r="K844" s="31" t="n">
        <f aca="false">ROUND(I844*J844,2)</f>
        <v>484.8</v>
      </c>
      <c r="L844" s="33" t="s">
        <v>212</v>
      </c>
      <c r="M844" s="23" t="s">
        <v>123</v>
      </c>
      <c r="N844" s="23" t="s">
        <v>54</v>
      </c>
      <c r="O844" s="23" t="s">
        <v>722</v>
      </c>
    </row>
    <row r="845" customFormat="false" ht="15" hidden="false" customHeight="true" outlineLevel="0" collapsed="false">
      <c r="A845" s="3" t="s">
        <v>787</v>
      </c>
      <c r="B845" s="3" t="s">
        <v>635</v>
      </c>
      <c r="C845" s="3" t="s">
        <v>788</v>
      </c>
      <c r="M845" s="23"/>
      <c r="N845" s="23"/>
      <c r="O845" s="23"/>
    </row>
    <row r="846" customFormat="false" ht="48" hidden="false" customHeight="true" outlineLevel="0" collapsed="false">
      <c r="C846" s="26" t="s">
        <v>789</v>
      </c>
      <c r="M846" s="23"/>
      <c r="N846" s="23"/>
      <c r="O846" s="23"/>
    </row>
    <row r="847" customFormat="false" ht="15" hidden="false" customHeight="true" outlineLevel="0" collapsed="false">
      <c r="C847" s="27" t="s">
        <v>132</v>
      </c>
      <c r="D847" s="28" t="n">
        <v>1</v>
      </c>
      <c r="H847" s="29" t="n">
        <f aca="false">IF(COUNT(D847:G847)=0,0,D847*IF(E847="",1,E847)*IF(F847="",1,F847)*IF(G847="",1,G847))</f>
        <v>1</v>
      </c>
      <c r="M847" s="23"/>
      <c r="N847" s="23"/>
      <c r="O847" s="23"/>
    </row>
    <row r="848" customFormat="false" ht="15" hidden="false" customHeight="true" outlineLevel="0" collapsed="false">
      <c r="H848" s="30"/>
      <c r="I848" s="31" t="n">
        <f aca="false">ROUND(SUM(H847:H847),2)</f>
        <v>1</v>
      </c>
      <c r="J848" s="32" t="n">
        <v>33.06</v>
      </c>
      <c r="K848" s="31" t="n">
        <f aca="false">ROUND(I848*J848,2)</f>
        <v>33.06</v>
      </c>
      <c r="L848" s="33" t="s">
        <v>212</v>
      </c>
      <c r="M848" s="23" t="s">
        <v>123</v>
      </c>
      <c r="N848" s="23" t="s">
        <v>54</v>
      </c>
      <c r="O848" s="23" t="s">
        <v>722</v>
      </c>
    </row>
    <row r="849" customFormat="false" ht="15" hidden="false" customHeight="true" outlineLevel="0" collapsed="false">
      <c r="A849" s="3" t="s">
        <v>790</v>
      </c>
      <c r="C849" s="3" t="s">
        <v>791</v>
      </c>
      <c r="M849" s="23" t="s">
        <v>291</v>
      </c>
      <c r="N849" s="23" t="s">
        <v>54</v>
      </c>
      <c r="O849" s="23" t="s">
        <v>790</v>
      </c>
    </row>
    <row r="850" customFormat="false" ht="15" hidden="false" customHeight="true" outlineLevel="0" collapsed="false">
      <c r="A850" s="3" t="s">
        <v>792</v>
      </c>
      <c r="B850" s="3" t="s">
        <v>129</v>
      </c>
      <c r="C850" s="3" t="s">
        <v>793</v>
      </c>
      <c r="M850" s="23"/>
      <c r="N850" s="23"/>
      <c r="O850" s="23"/>
    </row>
    <row r="851" customFormat="false" ht="24" hidden="false" customHeight="true" outlineLevel="0" collapsed="false">
      <c r="C851" s="26" t="s">
        <v>794</v>
      </c>
      <c r="M851" s="23"/>
      <c r="N851" s="23"/>
      <c r="O851" s="23"/>
    </row>
    <row r="852" customFormat="false" ht="15" hidden="false" customHeight="true" outlineLevel="0" collapsed="false">
      <c r="C852" s="27" t="s">
        <v>795</v>
      </c>
      <c r="D852" s="28" t="n">
        <v>6</v>
      </c>
      <c r="H852" s="29" t="n">
        <f aca="false">IF(COUNT(D852:G852)=0,0,D852*IF(E852="",1,E852)*IF(F852="",1,F852)*IF(G852="",1,G852))</f>
        <v>6</v>
      </c>
      <c r="M852" s="23"/>
      <c r="N852" s="23"/>
      <c r="O852" s="23"/>
    </row>
    <row r="853" customFormat="false" ht="18.75" hidden="false" customHeight="true" outlineLevel="0" collapsed="false">
      <c r="H853" s="30"/>
      <c r="I853" s="31" t="n">
        <f aca="false">ROUND(SUM(H852:H852),2)</f>
        <v>6</v>
      </c>
      <c r="J853" s="32" t="n">
        <v>48</v>
      </c>
      <c r="K853" s="31" t="n">
        <f aca="false">ROUND(I853*J853,2)</f>
        <v>288</v>
      </c>
      <c r="L853" s="33" t="s">
        <v>238</v>
      </c>
      <c r="M853" s="23" t="s">
        <v>123</v>
      </c>
      <c r="N853" s="23" t="s">
        <v>54</v>
      </c>
      <c r="O853" s="23" t="s">
        <v>790</v>
      </c>
    </row>
    <row r="854" customFormat="false" ht="15" hidden="false" customHeight="true" outlineLevel="0" collapsed="false">
      <c r="A854" s="3" t="s">
        <v>796</v>
      </c>
      <c r="B854" s="3" t="s">
        <v>129</v>
      </c>
      <c r="C854" s="3" t="s">
        <v>797</v>
      </c>
      <c r="M854" s="23"/>
      <c r="N854" s="23"/>
      <c r="O854" s="23"/>
    </row>
    <row r="855" customFormat="false" ht="24" hidden="false" customHeight="true" outlineLevel="0" collapsed="false">
      <c r="C855" s="26" t="s">
        <v>798</v>
      </c>
      <c r="M855" s="23"/>
      <c r="N855" s="23"/>
      <c r="O855" s="23"/>
    </row>
    <row r="856" customFormat="false" ht="15" hidden="false" customHeight="true" outlineLevel="0" collapsed="false">
      <c r="C856" s="27" t="s">
        <v>799</v>
      </c>
      <c r="D856" s="28" t="n">
        <v>2</v>
      </c>
      <c r="H856" s="29" t="n">
        <f aca="false">IF(COUNT(D856:G856)=0,0,D856*IF(E856="",1,E856)*IF(F856="",1,F856)*IF(G856="",1,G856))</f>
        <v>2</v>
      </c>
      <c r="M856" s="23"/>
      <c r="N856" s="23"/>
      <c r="O856" s="23"/>
    </row>
    <row r="857" customFormat="false" ht="18.75" hidden="false" customHeight="true" outlineLevel="0" collapsed="false">
      <c r="H857" s="30"/>
      <c r="I857" s="31" t="n">
        <f aca="false">ROUND(SUM(H856:H856),2)</f>
        <v>2</v>
      </c>
      <c r="J857" s="32" t="n">
        <v>480</v>
      </c>
      <c r="K857" s="31" t="n">
        <f aca="false">ROUND(I857*J857,2)</f>
        <v>960</v>
      </c>
      <c r="L857" s="33" t="s">
        <v>238</v>
      </c>
      <c r="M857" s="23" t="s">
        <v>123</v>
      </c>
      <c r="N857" s="23" t="s">
        <v>54</v>
      </c>
      <c r="O857" s="23" t="s">
        <v>790</v>
      </c>
    </row>
    <row r="858" customFormat="false" ht="15" hidden="false" customHeight="true" outlineLevel="0" collapsed="false">
      <c r="A858" s="3" t="s">
        <v>800</v>
      </c>
      <c r="B858" s="3" t="s">
        <v>129</v>
      </c>
      <c r="C858" s="3" t="s">
        <v>801</v>
      </c>
      <c r="M858" s="23"/>
      <c r="N858" s="23"/>
      <c r="O858" s="23"/>
    </row>
    <row r="859" customFormat="false" ht="24" hidden="false" customHeight="true" outlineLevel="0" collapsed="false">
      <c r="C859" s="26" t="s">
        <v>802</v>
      </c>
      <c r="M859" s="23"/>
      <c r="N859" s="23"/>
      <c r="O859" s="23"/>
    </row>
    <row r="860" customFormat="false" ht="15" hidden="false" customHeight="true" outlineLevel="0" collapsed="false">
      <c r="C860" s="27" t="s">
        <v>803</v>
      </c>
      <c r="D860" s="28" t="n">
        <v>9</v>
      </c>
      <c r="H860" s="29" t="n">
        <f aca="false">IF(COUNT(D860:G860)=0,0,D860*IF(E860="",1,E860)*IF(F860="",1,F860)*IF(G860="",1,G860))</f>
        <v>9</v>
      </c>
      <c r="M860" s="23"/>
      <c r="N860" s="23"/>
      <c r="O860" s="23"/>
    </row>
    <row r="861" customFormat="false" ht="18.75" hidden="false" customHeight="true" outlineLevel="0" collapsed="false">
      <c r="H861" s="30"/>
      <c r="I861" s="31" t="n">
        <f aca="false">ROUND(SUM(H860:H860),2)</f>
        <v>9</v>
      </c>
      <c r="J861" s="32" t="n">
        <v>42</v>
      </c>
      <c r="K861" s="31" t="n">
        <f aca="false">ROUND(I861*J861,2)</f>
        <v>378</v>
      </c>
      <c r="L861" s="33" t="s">
        <v>238</v>
      </c>
      <c r="M861" s="23" t="s">
        <v>123</v>
      </c>
      <c r="N861" s="23" t="s">
        <v>54</v>
      </c>
      <c r="O861" s="23" t="s">
        <v>790</v>
      </c>
    </row>
    <row r="862" customFormat="false" ht="15" hidden="false" customHeight="true" outlineLevel="0" collapsed="false">
      <c r="A862" s="3" t="s">
        <v>804</v>
      </c>
      <c r="B862" s="3" t="s">
        <v>642</v>
      </c>
      <c r="C862" s="3" t="s">
        <v>805</v>
      </c>
      <c r="M862" s="23"/>
      <c r="N862" s="23"/>
      <c r="O862" s="23"/>
    </row>
    <row r="863" customFormat="false" ht="156" hidden="false" customHeight="true" outlineLevel="0" collapsed="false">
      <c r="C863" s="26" t="s">
        <v>806</v>
      </c>
      <c r="M863" s="23"/>
      <c r="N863" s="23"/>
      <c r="O863" s="23"/>
    </row>
    <row r="864" customFormat="false" ht="15" hidden="false" customHeight="true" outlineLevel="0" collapsed="false">
      <c r="C864" s="27" t="s">
        <v>807</v>
      </c>
      <c r="D864" s="28" t="n">
        <v>1</v>
      </c>
      <c r="E864" s="28" t="n">
        <v>20</v>
      </c>
      <c r="H864" s="29" t="n">
        <f aca="false">IF(COUNT(D864:G864)=0,0,D864*IF(E864="",1,E864)*IF(F864="",1,F864)*IF(G864="",1,G864))</f>
        <v>20</v>
      </c>
      <c r="M864" s="23"/>
      <c r="N864" s="23"/>
      <c r="O864" s="23"/>
    </row>
    <row r="865" customFormat="false" ht="15" hidden="false" customHeight="true" outlineLevel="0" collapsed="false">
      <c r="H865" s="30"/>
      <c r="I865" s="31" t="n">
        <f aca="false">ROUND(SUM(H864:H864),2)</f>
        <v>20</v>
      </c>
      <c r="J865" s="32" t="n">
        <v>13.22</v>
      </c>
      <c r="K865" s="31" t="n">
        <f aca="false">ROUND(I865*J865,2)</f>
        <v>264.4</v>
      </c>
      <c r="L865" s="33" t="s">
        <v>212</v>
      </c>
      <c r="M865" s="23" t="s">
        <v>123</v>
      </c>
      <c r="N865" s="23" t="s">
        <v>54</v>
      </c>
      <c r="O865" s="23" t="s">
        <v>790</v>
      </c>
    </row>
    <row r="866" customFormat="false" ht="15" hidden="false" customHeight="true" outlineLevel="0" collapsed="false">
      <c r="A866" s="3" t="s">
        <v>808</v>
      </c>
      <c r="B866" s="3" t="s">
        <v>642</v>
      </c>
      <c r="C866" s="3" t="s">
        <v>809</v>
      </c>
      <c r="M866" s="23"/>
      <c r="N866" s="23"/>
      <c r="O866" s="23"/>
    </row>
    <row r="867" customFormat="false" ht="156" hidden="false" customHeight="true" outlineLevel="0" collapsed="false">
      <c r="C867" s="26" t="s">
        <v>810</v>
      </c>
      <c r="M867" s="23"/>
      <c r="N867" s="23"/>
      <c r="O867" s="23"/>
    </row>
    <row r="868" customFormat="false" ht="15" hidden="false" customHeight="true" outlineLevel="0" collapsed="false">
      <c r="C868" s="27" t="s">
        <v>811</v>
      </c>
      <c r="D868" s="28" t="n">
        <v>1</v>
      </c>
      <c r="E868" s="28" t="n">
        <v>12</v>
      </c>
      <c r="H868" s="29" t="n">
        <f aca="false">IF(COUNT(D868:G868)=0,0,D868*IF(E868="",1,E868)*IF(F868="",1,F868)*IF(G868="",1,G868))</f>
        <v>12</v>
      </c>
      <c r="M868" s="23"/>
      <c r="N868" s="23"/>
      <c r="O868" s="23"/>
    </row>
    <row r="869" customFormat="false" ht="15" hidden="false" customHeight="true" outlineLevel="0" collapsed="false">
      <c r="H869" s="30"/>
      <c r="I869" s="31" t="n">
        <f aca="false">ROUND(SUM(H868:H868),2)</f>
        <v>12</v>
      </c>
      <c r="J869" s="32" t="n">
        <v>16.15</v>
      </c>
      <c r="K869" s="31" t="n">
        <f aca="false">ROUND(I869*J869,2)</f>
        <v>193.8</v>
      </c>
      <c r="L869" s="33" t="s">
        <v>212</v>
      </c>
      <c r="M869" s="23" t="s">
        <v>123</v>
      </c>
      <c r="N869" s="23" t="s">
        <v>54</v>
      </c>
      <c r="O869" s="23" t="s">
        <v>790</v>
      </c>
    </row>
    <row r="870" customFormat="false" ht="15" hidden="false" customHeight="true" outlineLevel="0" collapsed="false">
      <c r="A870" s="3" t="s">
        <v>812</v>
      </c>
      <c r="B870" s="3" t="s">
        <v>635</v>
      </c>
      <c r="C870" s="3" t="s">
        <v>813</v>
      </c>
      <c r="M870" s="23"/>
      <c r="N870" s="23"/>
      <c r="O870" s="23"/>
    </row>
    <row r="871" customFormat="false" ht="96" hidden="false" customHeight="true" outlineLevel="0" collapsed="false">
      <c r="C871" s="26" t="s">
        <v>814</v>
      </c>
      <c r="M871" s="23"/>
      <c r="N871" s="23"/>
      <c r="O871" s="23"/>
    </row>
    <row r="872" customFormat="false" ht="15" hidden="false" customHeight="true" outlineLevel="0" collapsed="false">
      <c r="C872" s="27" t="s">
        <v>815</v>
      </c>
      <c r="D872" s="28" t="n">
        <v>3</v>
      </c>
      <c r="H872" s="29" t="n">
        <f aca="false">IF(COUNT(D872:G872)=0,0,D872*IF(E872="",1,E872)*IF(F872="",1,F872)*IF(G872="",1,G872))</f>
        <v>3</v>
      </c>
      <c r="M872" s="23"/>
      <c r="N872" s="23"/>
      <c r="O872" s="23"/>
    </row>
    <row r="873" customFormat="false" ht="15" hidden="false" customHeight="true" outlineLevel="0" collapsed="false">
      <c r="H873" s="30"/>
      <c r="I873" s="31" t="n">
        <f aca="false">ROUND(SUM(H872:H872),2)</f>
        <v>3</v>
      </c>
      <c r="J873" s="32" t="n">
        <v>55.1</v>
      </c>
      <c r="K873" s="31" t="n">
        <f aca="false">ROUND(I873*J873,2)</f>
        <v>165.3</v>
      </c>
      <c r="L873" s="33" t="s">
        <v>212</v>
      </c>
      <c r="M873" s="23" t="s">
        <v>123</v>
      </c>
      <c r="N873" s="23" t="s">
        <v>54</v>
      </c>
      <c r="O873" s="23" t="s">
        <v>790</v>
      </c>
    </row>
    <row r="874" customFormat="false" ht="15" hidden="false" customHeight="true" outlineLevel="0" collapsed="false">
      <c r="A874" s="3" t="s">
        <v>816</v>
      </c>
      <c r="C874" s="3" t="s">
        <v>817</v>
      </c>
      <c r="M874" s="23" t="s">
        <v>291</v>
      </c>
      <c r="N874" s="23" t="s">
        <v>54</v>
      </c>
      <c r="O874" s="23" t="s">
        <v>816</v>
      </c>
    </row>
    <row r="875" customFormat="false" ht="15" hidden="false" customHeight="true" outlineLevel="0" collapsed="false">
      <c r="A875" s="3" t="s">
        <v>818</v>
      </c>
      <c r="B875" s="3" t="s">
        <v>642</v>
      </c>
      <c r="C875" s="3" t="s">
        <v>819</v>
      </c>
      <c r="M875" s="23"/>
      <c r="N875" s="23"/>
      <c r="O875" s="23"/>
    </row>
    <row r="876" customFormat="false" ht="36" hidden="false" customHeight="true" outlineLevel="0" collapsed="false">
      <c r="C876" s="26" t="s">
        <v>820</v>
      </c>
      <c r="M876" s="23"/>
      <c r="N876" s="23"/>
      <c r="O876" s="23"/>
    </row>
    <row r="877" customFormat="false" ht="15" hidden="false" customHeight="true" outlineLevel="0" collapsed="false">
      <c r="C877" s="27" t="s">
        <v>731</v>
      </c>
      <c r="D877" s="28" t="n">
        <v>10</v>
      </c>
      <c r="H877" s="29" t="n">
        <f aca="false">IF(COUNT(D877:G877)=0,0,D877*IF(E877="",1,E877)*IF(F877="",1,F877)*IF(G877="",1,G877))</f>
        <v>10</v>
      </c>
      <c r="M877" s="23"/>
      <c r="N877" s="23"/>
      <c r="O877" s="23"/>
    </row>
    <row r="878" customFormat="false" ht="15" hidden="false" customHeight="true" outlineLevel="0" collapsed="false">
      <c r="H878" s="30"/>
      <c r="I878" s="31" t="n">
        <f aca="false">ROUND(SUM(H877:H877),2)</f>
        <v>10</v>
      </c>
      <c r="J878" s="32" t="n">
        <v>15.9</v>
      </c>
      <c r="K878" s="31" t="n">
        <f aca="false">ROUND(I878*J878,2)</f>
        <v>159</v>
      </c>
      <c r="L878" s="33" t="s">
        <v>212</v>
      </c>
      <c r="M878" s="23" t="s">
        <v>123</v>
      </c>
      <c r="N878" s="23" t="s">
        <v>54</v>
      </c>
      <c r="O878" s="23" t="s">
        <v>816</v>
      </c>
    </row>
    <row r="879" customFormat="false" ht="15" hidden="false" customHeight="true" outlineLevel="0" collapsed="false">
      <c r="A879" s="3" t="s">
        <v>821</v>
      </c>
      <c r="B879" s="3" t="s">
        <v>642</v>
      </c>
      <c r="C879" s="3" t="s">
        <v>822</v>
      </c>
      <c r="M879" s="23"/>
      <c r="N879" s="23"/>
      <c r="O879" s="23"/>
    </row>
    <row r="880" customFormat="false" ht="60" hidden="false" customHeight="true" outlineLevel="0" collapsed="false">
      <c r="C880" s="26" t="s">
        <v>823</v>
      </c>
      <c r="M880" s="23"/>
      <c r="N880" s="23"/>
      <c r="O880" s="23"/>
    </row>
    <row r="881" customFormat="false" ht="15" hidden="false" customHeight="true" outlineLevel="0" collapsed="false">
      <c r="C881" s="27" t="s">
        <v>731</v>
      </c>
      <c r="D881" s="28" t="n">
        <v>15</v>
      </c>
      <c r="H881" s="29" t="n">
        <f aca="false">IF(COUNT(D881:G881)=0,0,D881*IF(E881="",1,E881)*IF(F881="",1,F881)*IF(G881="",1,G881))</f>
        <v>15</v>
      </c>
      <c r="M881" s="23"/>
      <c r="N881" s="23"/>
      <c r="O881" s="23"/>
    </row>
    <row r="882" customFormat="false" ht="15" hidden="false" customHeight="true" outlineLevel="0" collapsed="false">
      <c r="H882" s="30"/>
      <c r="I882" s="31" t="n">
        <f aca="false">ROUND(SUM(H881:H881),2)</f>
        <v>15</v>
      </c>
      <c r="J882" s="32" t="n">
        <v>8.14</v>
      </c>
      <c r="K882" s="31" t="n">
        <f aca="false">ROUND(I882*J882,2)</f>
        <v>122.1</v>
      </c>
      <c r="L882" s="33" t="s">
        <v>212</v>
      </c>
      <c r="M882" s="23" t="s">
        <v>123</v>
      </c>
      <c r="N882" s="23" t="s">
        <v>54</v>
      </c>
      <c r="O882" s="23" t="s">
        <v>816</v>
      </c>
    </row>
    <row r="883" customFormat="false" ht="15" hidden="false" customHeight="true" outlineLevel="0" collapsed="false">
      <c r="A883" s="3" t="s">
        <v>824</v>
      </c>
      <c r="B883" s="3" t="s">
        <v>635</v>
      </c>
      <c r="C883" s="3" t="s">
        <v>825</v>
      </c>
      <c r="M883" s="23"/>
      <c r="N883" s="23"/>
      <c r="O883" s="23"/>
    </row>
    <row r="884" customFormat="false" ht="48" hidden="false" customHeight="true" outlineLevel="0" collapsed="false">
      <c r="C884" s="26" t="s">
        <v>826</v>
      </c>
      <c r="M884" s="23"/>
      <c r="N884" s="23"/>
      <c r="O884" s="23"/>
    </row>
    <row r="885" customFormat="false" ht="15" hidden="false" customHeight="true" outlineLevel="0" collapsed="false">
      <c r="C885" s="27" t="s">
        <v>731</v>
      </c>
      <c r="D885" s="28" t="n">
        <v>4</v>
      </c>
      <c r="H885" s="29" t="n">
        <f aca="false">IF(COUNT(D885:G885)=0,0,D885*IF(E885="",1,E885)*IF(F885="",1,F885)*IF(G885="",1,G885))</f>
        <v>4</v>
      </c>
      <c r="M885" s="23"/>
      <c r="N885" s="23"/>
      <c r="O885" s="23"/>
    </row>
    <row r="886" customFormat="false" ht="15" hidden="false" customHeight="true" outlineLevel="0" collapsed="false">
      <c r="H886" s="30"/>
      <c r="I886" s="31" t="n">
        <f aca="false">ROUND(SUM(H885:H885),2)</f>
        <v>4</v>
      </c>
      <c r="J886" s="32" t="n">
        <v>19.93</v>
      </c>
      <c r="K886" s="31" t="n">
        <f aca="false">ROUND(I886*J886,2)</f>
        <v>79.72</v>
      </c>
      <c r="L886" s="33" t="s">
        <v>212</v>
      </c>
      <c r="M886" s="23" t="s">
        <v>123</v>
      </c>
      <c r="N886" s="23" t="s">
        <v>54</v>
      </c>
      <c r="O886" s="23" t="s">
        <v>816</v>
      </c>
    </row>
    <row r="887" customFormat="false" ht="15" hidden="false" customHeight="true" outlineLevel="0" collapsed="false">
      <c r="A887" s="3" t="s">
        <v>827</v>
      </c>
      <c r="B887" s="3" t="s">
        <v>635</v>
      </c>
      <c r="C887" s="3" t="s">
        <v>828</v>
      </c>
      <c r="M887" s="23"/>
      <c r="N887" s="23"/>
      <c r="O887" s="23"/>
    </row>
    <row r="888" customFormat="false" ht="48" hidden="false" customHeight="true" outlineLevel="0" collapsed="false">
      <c r="C888" s="26" t="s">
        <v>829</v>
      </c>
      <c r="M888" s="23"/>
      <c r="N888" s="23"/>
      <c r="O888" s="23"/>
    </row>
    <row r="889" customFormat="false" ht="15" hidden="false" customHeight="true" outlineLevel="0" collapsed="false">
      <c r="C889" s="27" t="s">
        <v>731</v>
      </c>
      <c r="D889" s="28" t="n">
        <v>1</v>
      </c>
      <c r="H889" s="29" t="n">
        <f aca="false">IF(COUNT(D889:G889)=0,0,D889*IF(E889="",1,E889)*IF(F889="",1,F889)*IF(G889="",1,G889))</f>
        <v>1</v>
      </c>
      <c r="M889" s="23"/>
      <c r="N889" s="23"/>
      <c r="O889" s="23"/>
    </row>
    <row r="890" customFormat="false" ht="15" hidden="false" customHeight="true" outlineLevel="0" collapsed="false">
      <c r="H890" s="30"/>
      <c r="I890" s="31" t="n">
        <f aca="false">ROUND(SUM(H889:H889),2)</f>
        <v>1</v>
      </c>
      <c r="J890" s="32" t="n">
        <v>26.43</v>
      </c>
      <c r="K890" s="31" t="n">
        <f aca="false">ROUND(I890*J890,2)</f>
        <v>26.43</v>
      </c>
      <c r="L890" s="33" t="s">
        <v>212</v>
      </c>
      <c r="M890" s="23" t="s">
        <v>123</v>
      </c>
      <c r="N890" s="23" t="s">
        <v>54</v>
      </c>
      <c r="O890" s="23" t="s">
        <v>816</v>
      </c>
    </row>
    <row r="891" customFormat="false" ht="15" hidden="false" customHeight="true" outlineLevel="0" collapsed="false">
      <c r="A891" s="3" t="s">
        <v>830</v>
      </c>
      <c r="B891" s="3" t="s">
        <v>635</v>
      </c>
      <c r="C891" s="3" t="s">
        <v>831</v>
      </c>
      <c r="M891" s="23"/>
      <c r="N891" s="23"/>
      <c r="O891" s="23"/>
    </row>
    <row r="892" customFormat="false" ht="36" hidden="false" customHeight="true" outlineLevel="0" collapsed="false">
      <c r="C892" s="26" t="s">
        <v>832</v>
      </c>
      <c r="M892" s="23"/>
      <c r="N892" s="23"/>
      <c r="O892" s="23"/>
    </row>
    <row r="893" customFormat="false" ht="15" hidden="false" customHeight="true" outlineLevel="0" collapsed="false">
      <c r="C893" s="27" t="s">
        <v>731</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222.21</v>
      </c>
      <c r="K894" s="31" t="n">
        <f aca="false">ROUND(I894*J894,2)</f>
        <v>222.21</v>
      </c>
      <c r="L894" s="33" t="s">
        <v>212</v>
      </c>
      <c r="M894" s="23" t="s">
        <v>123</v>
      </c>
      <c r="N894" s="23" t="s">
        <v>54</v>
      </c>
      <c r="O894" s="23" t="s">
        <v>816</v>
      </c>
    </row>
    <row r="895" customFormat="false" ht="15" hidden="false" customHeight="true" outlineLevel="0" collapsed="false">
      <c r="A895" s="3" t="s">
        <v>833</v>
      </c>
      <c r="B895" s="3" t="s">
        <v>635</v>
      </c>
      <c r="C895" s="3" t="s">
        <v>834</v>
      </c>
      <c r="M895" s="23"/>
      <c r="N895" s="23"/>
      <c r="O895" s="23"/>
    </row>
    <row r="896" customFormat="false" ht="216" hidden="false" customHeight="true" outlineLevel="0" collapsed="false">
      <c r="C896" s="26" t="s">
        <v>835</v>
      </c>
      <c r="M896" s="23"/>
      <c r="N896" s="23"/>
      <c r="O896" s="23"/>
    </row>
    <row r="897" customFormat="false" ht="15" hidden="false" customHeight="true" outlineLevel="0" collapsed="false">
      <c r="C897" s="27" t="s">
        <v>731</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117.05</v>
      </c>
      <c r="K898" s="31" t="n">
        <f aca="false">ROUND(I898*J898,2)</f>
        <v>117.05</v>
      </c>
      <c r="L898" s="33" t="s">
        <v>212</v>
      </c>
      <c r="M898" s="23" t="s">
        <v>123</v>
      </c>
      <c r="N898" s="23" t="s">
        <v>54</v>
      </c>
      <c r="O898" s="23" t="s">
        <v>816</v>
      </c>
    </row>
    <row r="899" customFormat="false" ht="15" hidden="false" customHeight="true" outlineLevel="0" collapsed="false">
      <c r="A899" s="3" t="s">
        <v>836</v>
      </c>
      <c r="B899" s="3" t="s">
        <v>642</v>
      </c>
      <c r="C899" s="3" t="s">
        <v>837</v>
      </c>
      <c r="M899" s="23"/>
      <c r="N899" s="23"/>
      <c r="O899" s="23"/>
    </row>
    <row r="900" customFormat="false" ht="48" hidden="false" customHeight="true" outlineLevel="0" collapsed="false">
      <c r="C900" s="26" t="s">
        <v>838</v>
      </c>
      <c r="M900" s="23"/>
      <c r="N900" s="23"/>
      <c r="O900" s="23"/>
    </row>
    <row r="901" customFormat="false" ht="15" hidden="false" customHeight="true" outlineLevel="0" collapsed="false">
      <c r="C901" s="27" t="s">
        <v>731</v>
      </c>
      <c r="D901" s="28" t="n">
        <v>6</v>
      </c>
      <c r="H901" s="29" t="n">
        <f aca="false">IF(COUNT(D901:G901)=0,0,D901*IF(E901="",1,E901)*IF(F901="",1,F901)*IF(G901="",1,G901))</f>
        <v>6</v>
      </c>
      <c r="M901" s="23"/>
      <c r="N901" s="23"/>
      <c r="O901" s="23"/>
    </row>
    <row r="902" customFormat="false" ht="15" hidden="false" customHeight="true" outlineLevel="0" collapsed="false">
      <c r="H902" s="30"/>
      <c r="I902" s="31" t="n">
        <f aca="false">ROUND(SUM(H901:H901),2)</f>
        <v>6</v>
      </c>
      <c r="J902" s="32" t="n">
        <v>16.96</v>
      </c>
      <c r="K902" s="31" t="n">
        <f aca="false">ROUND(I902*J902,2)</f>
        <v>101.76</v>
      </c>
      <c r="L902" s="33" t="s">
        <v>212</v>
      </c>
      <c r="M902" s="23" t="s">
        <v>123</v>
      </c>
      <c r="N902" s="23" t="s">
        <v>54</v>
      </c>
      <c r="O902" s="23" t="s">
        <v>816</v>
      </c>
    </row>
    <row r="903" customFormat="false" ht="15" hidden="false" customHeight="true" outlineLevel="0" collapsed="false">
      <c r="A903" s="3" t="s">
        <v>839</v>
      </c>
      <c r="B903" s="3" t="s">
        <v>129</v>
      </c>
      <c r="C903" s="3" t="s">
        <v>840</v>
      </c>
      <c r="M903" s="23"/>
      <c r="N903" s="23"/>
      <c r="O903" s="23"/>
    </row>
    <row r="904" customFormat="false" ht="36" hidden="false" customHeight="true" outlineLevel="0" collapsed="false">
      <c r="C904" s="26" t="s">
        <v>841</v>
      </c>
      <c r="M904" s="23"/>
      <c r="N904" s="23"/>
      <c r="O904" s="23"/>
    </row>
    <row r="905" customFormat="false" ht="15" hidden="false" customHeight="true" outlineLevel="0" collapsed="false">
      <c r="C905" s="27" t="s">
        <v>842</v>
      </c>
      <c r="D905" s="28" t="n">
        <v>1</v>
      </c>
      <c r="H905" s="29" t="n">
        <f aca="false">IF(COUNT(D905:G905)=0,0,D905*IF(E905="",1,E905)*IF(F905="",1,F905)*IF(G905="",1,G905))</f>
        <v>1</v>
      </c>
      <c r="M905" s="23"/>
      <c r="N905" s="23"/>
      <c r="O905" s="23"/>
    </row>
    <row r="906" customFormat="false" ht="15" hidden="false" customHeight="true" outlineLevel="0" collapsed="false">
      <c r="C906" s="27" t="s">
        <v>843</v>
      </c>
      <c r="D906" s="28" t="n">
        <v>0.5</v>
      </c>
      <c r="H906" s="29" t="n">
        <f aca="false">IF(COUNT(D906:G906)=0,0,D906*IF(E906="",1,E906)*IF(F906="",1,F906)*IF(G906="",1,G906))</f>
        <v>0.5</v>
      </c>
      <c r="M906" s="23"/>
      <c r="N906" s="23"/>
      <c r="O906" s="23"/>
    </row>
    <row r="907" customFormat="false" ht="18.75" hidden="false" customHeight="true" outlineLevel="0" collapsed="false">
      <c r="H907" s="30"/>
      <c r="I907" s="31" t="n">
        <f aca="false">ROUND(SUM(H905:H906),2)</f>
        <v>1.5</v>
      </c>
      <c r="J907" s="32" t="n">
        <v>1250</v>
      </c>
      <c r="K907" s="31" t="n">
        <f aca="false">ROUND(I907*J907,2)</f>
        <v>1875</v>
      </c>
      <c r="L907" s="33" t="s">
        <v>238</v>
      </c>
      <c r="M907" s="23" t="s">
        <v>123</v>
      </c>
      <c r="N907" s="23" t="s">
        <v>54</v>
      </c>
      <c r="O907" s="23" t="s">
        <v>816</v>
      </c>
    </row>
    <row r="908" customFormat="false" ht="15" hidden="false" customHeight="true" outlineLevel="0" collapsed="false">
      <c r="A908" s="3" t="s">
        <v>844</v>
      </c>
      <c r="B908" s="3" t="s">
        <v>642</v>
      </c>
      <c r="C908" s="3" t="s">
        <v>845</v>
      </c>
      <c r="M908" s="23"/>
      <c r="N908" s="23"/>
      <c r="O908" s="23"/>
    </row>
    <row r="909" customFormat="false" ht="48" hidden="false" customHeight="true" outlineLevel="0" collapsed="false">
      <c r="C909" s="26" t="s">
        <v>846</v>
      </c>
      <c r="M909" s="23"/>
      <c r="N909" s="23"/>
      <c r="O909" s="23"/>
    </row>
    <row r="910" customFormat="false" ht="15" hidden="false" customHeight="true" outlineLevel="0" collapsed="false">
      <c r="C910" s="27" t="s">
        <v>731</v>
      </c>
      <c r="D910" s="28" t="n">
        <v>160</v>
      </c>
      <c r="H910" s="29" t="n">
        <f aca="false">IF(COUNT(D910:G910)=0,0,D910*IF(E910="",1,E910)*IF(F910="",1,F910)*IF(G910="",1,G910))</f>
        <v>160</v>
      </c>
      <c r="M910" s="23"/>
      <c r="N910" s="23"/>
      <c r="O910" s="23"/>
    </row>
    <row r="911" customFormat="false" ht="15" hidden="false" customHeight="true" outlineLevel="0" collapsed="false">
      <c r="H911" s="30"/>
      <c r="I911" s="31" t="n">
        <f aca="false">ROUND(SUM(H910:H910),2)</f>
        <v>160</v>
      </c>
      <c r="J911" s="32" t="n">
        <v>0.51</v>
      </c>
      <c r="K911" s="31" t="n">
        <f aca="false">ROUND(I911*J911,2)</f>
        <v>81.6</v>
      </c>
      <c r="L911" s="33" t="s">
        <v>212</v>
      </c>
      <c r="M911" s="23" t="s">
        <v>123</v>
      </c>
      <c r="N911" s="23" t="s">
        <v>54</v>
      </c>
      <c r="O911" s="23" t="s">
        <v>816</v>
      </c>
    </row>
    <row r="912" customFormat="false" ht="15" hidden="false" customHeight="true" outlineLevel="0" collapsed="false">
      <c r="A912" s="3" t="s">
        <v>847</v>
      </c>
      <c r="B912" s="3" t="s">
        <v>129</v>
      </c>
      <c r="C912" s="3" t="s">
        <v>848</v>
      </c>
      <c r="M912" s="23"/>
      <c r="N912" s="23"/>
      <c r="O912" s="23"/>
    </row>
    <row r="913" customFormat="false" ht="48" hidden="false" customHeight="true" outlineLevel="0" collapsed="false">
      <c r="C913" s="26" t="s">
        <v>849</v>
      </c>
      <c r="M913" s="23"/>
      <c r="N913" s="23"/>
      <c r="O913" s="23"/>
    </row>
    <row r="914" customFormat="false" ht="15" hidden="false" customHeight="true" outlineLevel="0" collapsed="false">
      <c r="C914" s="27" t="s">
        <v>731</v>
      </c>
      <c r="D914" s="28" t="n">
        <v>480</v>
      </c>
      <c r="H914" s="29" t="n">
        <f aca="false">IF(COUNT(D914:G914)=0,0,D914*IF(E914="",1,E914)*IF(F914="",1,F914)*IF(G914="",1,G914))</f>
        <v>480</v>
      </c>
      <c r="M914" s="23"/>
      <c r="N914" s="23"/>
      <c r="O914" s="23"/>
    </row>
    <row r="915" customFormat="false" ht="15" hidden="false" customHeight="true" outlineLevel="0" collapsed="false">
      <c r="H915" s="30"/>
      <c r="I915" s="31" t="n">
        <f aca="false">ROUND(SUM(H914:H914),2)</f>
        <v>480</v>
      </c>
      <c r="J915" s="32" t="n">
        <v>0.57</v>
      </c>
      <c r="K915" s="31" t="n">
        <f aca="false">ROUND(I915*J915,2)</f>
        <v>273.6</v>
      </c>
      <c r="L915" s="33" t="s">
        <v>212</v>
      </c>
      <c r="M915" s="23" t="s">
        <v>123</v>
      </c>
      <c r="N915" s="23" t="s">
        <v>54</v>
      </c>
      <c r="O915" s="23" t="s">
        <v>816</v>
      </c>
    </row>
    <row r="916" customFormat="false" ht="15" hidden="false" customHeight="true" outlineLevel="0" collapsed="false">
      <c r="A916" s="3" t="s">
        <v>850</v>
      </c>
      <c r="B916" s="3" t="s">
        <v>642</v>
      </c>
      <c r="C916" s="3" t="s">
        <v>851</v>
      </c>
      <c r="M916" s="23"/>
      <c r="N916" s="23"/>
      <c r="O916" s="23"/>
    </row>
    <row r="917" customFormat="false" ht="48" hidden="false" customHeight="true" outlineLevel="0" collapsed="false">
      <c r="C917" s="26" t="s">
        <v>852</v>
      </c>
      <c r="M917" s="23"/>
      <c r="N917" s="23"/>
      <c r="O917" s="23"/>
    </row>
    <row r="918" customFormat="false" ht="15" hidden="false" customHeight="true" outlineLevel="0" collapsed="false">
      <c r="C918" s="27" t="s">
        <v>731</v>
      </c>
      <c r="D918" s="28" t="n">
        <v>70</v>
      </c>
      <c r="H918" s="29" t="n">
        <f aca="false">IF(COUNT(D918:G918)=0,0,D918*IF(E918="",1,E918)*IF(F918="",1,F918)*IF(G918="",1,G918))</f>
        <v>70</v>
      </c>
      <c r="M918" s="23"/>
      <c r="N918" s="23"/>
      <c r="O918" s="23"/>
    </row>
    <row r="919" customFormat="false" ht="15" hidden="false" customHeight="true" outlineLevel="0" collapsed="false">
      <c r="H919" s="30"/>
      <c r="I919" s="31" t="n">
        <f aca="false">ROUND(SUM(H918:H918),2)</f>
        <v>70</v>
      </c>
      <c r="J919" s="32" t="n">
        <v>0.64</v>
      </c>
      <c r="K919" s="31" t="n">
        <f aca="false">ROUND(I919*J919,2)</f>
        <v>44.8</v>
      </c>
      <c r="L919" s="33" t="s">
        <v>212</v>
      </c>
      <c r="M919" s="23" t="s">
        <v>123</v>
      </c>
      <c r="N919" s="23" t="s">
        <v>54</v>
      </c>
      <c r="O919" s="23" t="s">
        <v>816</v>
      </c>
    </row>
    <row r="920" customFormat="false" ht="15" hidden="false" customHeight="true" outlineLevel="0" collapsed="false">
      <c r="A920" s="3" t="s">
        <v>853</v>
      </c>
      <c r="B920" s="3" t="s">
        <v>642</v>
      </c>
      <c r="C920" s="3" t="s">
        <v>854</v>
      </c>
      <c r="M920" s="23"/>
      <c r="N920" s="23"/>
      <c r="O920" s="23"/>
    </row>
    <row r="921" customFormat="false" ht="48" hidden="false" customHeight="true" outlineLevel="0" collapsed="false">
      <c r="C921" s="26" t="s">
        <v>855</v>
      </c>
      <c r="M921" s="23"/>
      <c r="N921" s="23"/>
      <c r="O921" s="23"/>
    </row>
    <row r="922" customFormat="false" ht="15" hidden="false" customHeight="true" outlineLevel="0" collapsed="false">
      <c r="C922" s="27" t="s">
        <v>731</v>
      </c>
      <c r="D922" s="28" t="n">
        <v>30</v>
      </c>
      <c r="H922" s="29" t="n">
        <f aca="false">IF(COUNT(D922:G922)=0,0,D922*IF(E922="",1,E922)*IF(F922="",1,F922)*IF(G922="",1,G922))</f>
        <v>30</v>
      </c>
      <c r="M922" s="23"/>
      <c r="N922" s="23"/>
      <c r="O922" s="23"/>
    </row>
    <row r="923" customFormat="false" ht="15" hidden="false" customHeight="true" outlineLevel="0" collapsed="false">
      <c r="H923" s="30"/>
      <c r="I923" s="31" t="n">
        <f aca="false">ROUND(SUM(H922:H922),2)</f>
        <v>30</v>
      </c>
      <c r="J923" s="32" t="n">
        <v>0.7</v>
      </c>
      <c r="K923" s="31" t="n">
        <f aca="false">ROUND(I923*J923,2)</f>
        <v>21</v>
      </c>
      <c r="L923" s="33" t="s">
        <v>212</v>
      </c>
      <c r="M923" s="23" t="s">
        <v>123</v>
      </c>
      <c r="N923" s="23" t="s">
        <v>54</v>
      </c>
      <c r="O923" s="23" t="s">
        <v>816</v>
      </c>
    </row>
    <row r="924" customFormat="false" ht="15" hidden="false" customHeight="true" outlineLevel="0" collapsed="false">
      <c r="A924" s="3" t="s">
        <v>856</v>
      </c>
      <c r="B924" s="3" t="s">
        <v>642</v>
      </c>
      <c r="C924" s="3" t="s">
        <v>857</v>
      </c>
      <c r="M924" s="23"/>
      <c r="N924" s="23"/>
      <c r="O924" s="23"/>
    </row>
    <row r="925" customFormat="false" ht="36" hidden="false" customHeight="true" outlineLevel="0" collapsed="false">
      <c r="C925" s="26" t="s">
        <v>858</v>
      </c>
      <c r="M925" s="23"/>
      <c r="N925" s="23"/>
      <c r="O925" s="23"/>
    </row>
    <row r="926" customFormat="false" ht="15" hidden="false" customHeight="true" outlineLevel="0" collapsed="false">
      <c r="C926" s="27" t="s">
        <v>731</v>
      </c>
      <c r="D926" s="28" t="n">
        <v>15</v>
      </c>
      <c r="H926" s="29" t="n">
        <f aca="false">IF(COUNT(D926:G926)=0,0,D926*IF(E926="",1,E926)*IF(F926="",1,F926)*IF(G926="",1,G926))</f>
        <v>15</v>
      </c>
      <c r="M926" s="23"/>
      <c r="N926" s="23"/>
      <c r="O926" s="23"/>
    </row>
    <row r="927" customFormat="false" ht="15" hidden="false" customHeight="true" outlineLevel="0" collapsed="false">
      <c r="H927" s="30"/>
      <c r="I927" s="31" t="n">
        <f aca="false">ROUND(SUM(H926:H926),2)</f>
        <v>15</v>
      </c>
      <c r="J927" s="32" t="n">
        <v>24.42</v>
      </c>
      <c r="K927" s="31" t="n">
        <f aca="false">ROUND(I927*J927,2)</f>
        <v>366.3</v>
      </c>
      <c r="L927" s="33" t="s">
        <v>212</v>
      </c>
      <c r="M927" s="23" t="s">
        <v>123</v>
      </c>
      <c r="N927" s="23" t="s">
        <v>54</v>
      </c>
      <c r="O927" s="23" t="s">
        <v>816</v>
      </c>
    </row>
    <row r="928" customFormat="false" ht="15" hidden="false" customHeight="true" outlineLevel="0" collapsed="false">
      <c r="A928" s="3" t="s">
        <v>859</v>
      </c>
      <c r="B928" s="3" t="s">
        <v>642</v>
      </c>
      <c r="C928" s="3" t="s">
        <v>860</v>
      </c>
      <c r="M928" s="23"/>
      <c r="N928" s="23"/>
      <c r="O928" s="23"/>
    </row>
    <row r="929" customFormat="false" ht="36" hidden="false" customHeight="true" outlineLevel="0" collapsed="false">
      <c r="C929" s="26" t="s">
        <v>861</v>
      </c>
      <c r="M929" s="23"/>
      <c r="N929" s="23"/>
      <c r="O929" s="23"/>
    </row>
    <row r="930" customFormat="false" ht="15" hidden="false" customHeight="true" outlineLevel="0" collapsed="false">
      <c r="C930" s="27" t="s">
        <v>731</v>
      </c>
      <c r="D930" s="28" t="n">
        <v>600</v>
      </c>
      <c r="H930" s="29" t="n">
        <f aca="false">IF(COUNT(D930:G930)=0,0,D930*IF(E930="",1,E930)*IF(F930="",1,F930)*IF(G930="",1,G930))</f>
        <v>600</v>
      </c>
      <c r="M930" s="23"/>
      <c r="N930" s="23"/>
      <c r="O930" s="23"/>
    </row>
    <row r="931" customFormat="false" ht="15" hidden="false" customHeight="true" outlineLevel="0" collapsed="false">
      <c r="H931" s="30"/>
      <c r="I931" s="31" t="n">
        <f aca="false">ROUND(SUM(H930:H930),2)</f>
        <v>600</v>
      </c>
      <c r="J931" s="32" t="n">
        <v>0.95</v>
      </c>
      <c r="K931" s="31" t="n">
        <f aca="false">ROUND(I931*J931,2)</f>
        <v>570</v>
      </c>
      <c r="L931" s="33" t="s">
        <v>212</v>
      </c>
      <c r="M931" s="23" t="s">
        <v>123</v>
      </c>
      <c r="N931" s="23" t="s">
        <v>54</v>
      </c>
      <c r="O931" s="23" t="s">
        <v>816</v>
      </c>
    </row>
    <row r="932" customFormat="false" ht="15" hidden="false" customHeight="true" outlineLevel="0" collapsed="false">
      <c r="A932" s="3" t="s">
        <v>862</v>
      </c>
      <c r="B932" s="3" t="s">
        <v>642</v>
      </c>
      <c r="C932" s="3" t="s">
        <v>863</v>
      </c>
      <c r="M932" s="23"/>
      <c r="N932" s="23"/>
      <c r="O932" s="23"/>
    </row>
    <row r="933" customFormat="false" ht="36" hidden="false" customHeight="true" outlineLevel="0" collapsed="false">
      <c r="C933" s="26" t="s">
        <v>864</v>
      </c>
      <c r="M933" s="23"/>
      <c r="N933" s="23"/>
      <c r="O933" s="23"/>
    </row>
    <row r="934" customFormat="false" ht="15" hidden="false" customHeight="true" outlineLevel="0" collapsed="false">
      <c r="C934" s="27" t="s">
        <v>731</v>
      </c>
      <c r="D934" s="28" t="n">
        <v>1100</v>
      </c>
      <c r="H934" s="29" t="n">
        <f aca="false">IF(COUNT(D934:G934)=0,0,D934*IF(E934="",1,E934)*IF(F934="",1,F934)*IF(G934="",1,G934))</f>
        <v>1100</v>
      </c>
      <c r="M934" s="23"/>
      <c r="N934" s="23"/>
      <c r="O934" s="23"/>
    </row>
    <row r="935" customFormat="false" ht="15" hidden="false" customHeight="true" outlineLevel="0" collapsed="false">
      <c r="H935" s="30"/>
      <c r="I935" s="31" t="n">
        <f aca="false">ROUND(SUM(H934:H934),2)</f>
        <v>1100</v>
      </c>
      <c r="J935" s="32" t="n">
        <v>1.06</v>
      </c>
      <c r="K935" s="31" t="n">
        <f aca="false">ROUND(I935*J935,2)</f>
        <v>1166</v>
      </c>
      <c r="L935" s="33" t="s">
        <v>212</v>
      </c>
      <c r="M935" s="23" t="s">
        <v>123</v>
      </c>
      <c r="N935" s="23" t="s">
        <v>54</v>
      </c>
      <c r="O935" s="23" t="s">
        <v>816</v>
      </c>
    </row>
    <row r="936" customFormat="false" ht="15" hidden="false" customHeight="true" outlineLevel="0" collapsed="false">
      <c r="A936" s="3" t="s">
        <v>865</v>
      </c>
      <c r="B936" s="3" t="s">
        <v>642</v>
      </c>
      <c r="C936" s="3" t="s">
        <v>866</v>
      </c>
      <c r="M936" s="23"/>
      <c r="N936" s="23"/>
      <c r="O936" s="23"/>
    </row>
    <row r="937" customFormat="false" ht="36" hidden="false" customHeight="true" outlineLevel="0" collapsed="false">
      <c r="C937" s="26" t="s">
        <v>867</v>
      </c>
      <c r="M937" s="23"/>
      <c r="N937" s="23"/>
      <c r="O937" s="23"/>
    </row>
    <row r="938" customFormat="false" ht="15" hidden="false" customHeight="true" outlineLevel="0" collapsed="false">
      <c r="C938" s="27" t="s">
        <v>731</v>
      </c>
      <c r="D938" s="28" t="n">
        <v>200</v>
      </c>
      <c r="H938" s="29" t="n">
        <f aca="false">IF(COUNT(D938:G938)=0,0,D938*IF(E938="",1,E938)*IF(F938="",1,F938)*IF(G938="",1,G938))</f>
        <v>200</v>
      </c>
      <c r="M938" s="23"/>
      <c r="N938" s="23"/>
      <c r="O938" s="23"/>
    </row>
    <row r="939" customFormat="false" ht="15" hidden="false" customHeight="true" outlineLevel="0" collapsed="false">
      <c r="H939" s="30"/>
      <c r="I939" s="31" t="n">
        <f aca="false">ROUND(SUM(H938:H938),2)</f>
        <v>200</v>
      </c>
      <c r="J939" s="32" t="n">
        <v>2.12</v>
      </c>
      <c r="K939" s="31" t="n">
        <f aca="false">ROUND(I939*J939,2)</f>
        <v>424</v>
      </c>
      <c r="L939" s="33" t="s">
        <v>212</v>
      </c>
      <c r="M939" s="23" t="s">
        <v>123</v>
      </c>
      <c r="N939" s="23" t="s">
        <v>54</v>
      </c>
      <c r="O939" s="23" t="s">
        <v>816</v>
      </c>
    </row>
    <row r="940" customFormat="false" ht="15" hidden="false" customHeight="true" outlineLevel="0" collapsed="false">
      <c r="A940" s="3" t="s">
        <v>868</v>
      </c>
      <c r="B940" s="3" t="s">
        <v>642</v>
      </c>
      <c r="C940" s="3" t="s">
        <v>869</v>
      </c>
      <c r="M940" s="23"/>
      <c r="N940" s="23"/>
      <c r="O940" s="23"/>
    </row>
    <row r="941" customFormat="false" ht="12" hidden="false" customHeight="true" outlineLevel="0" collapsed="false">
      <c r="C941" s="26"/>
      <c r="M941" s="23"/>
      <c r="N941" s="23"/>
      <c r="O941" s="23"/>
    </row>
    <row r="942" customFormat="false" ht="15" hidden="false" customHeight="true" outlineLevel="0" collapsed="false">
      <c r="C942" s="27" t="s">
        <v>731</v>
      </c>
      <c r="D942" s="28" t="n">
        <v>30</v>
      </c>
      <c r="H942" s="29" t="n">
        <f aca="false">IF(COUNT(D942:G942)=0,0,D942*IF(E942="",1,E942)*IF(F942="",1,F942)*IF(G942="",1,G942))</f>
        <v>30</v>
      </c>
      <c r="M942" s="23"/>
      <c r="N942" s="23"/>
      <c r="O942" s="23"/>
    </row>
    <row r="943" customFormat="false" ht="15" hidden="false" customHeight="true" outlineLevel="0" collapsed="false">
      <c r="H943" s="30"/>
      <c r="I943" s="31" t="n">
        <f aca="false">ROUND(SUM(H942:H942),2)</f>
        <v>30</v>
      </c>
      <c r="J943" s="32" t="n">
        <v>7.08</v>
      </c>
      <c r="K943" s="31" t="n">
        <f aca="false">ROUND(I943*J943,2)</f>
        <v>212.4</v>
      </c>
      <c r="L943" s="33" t="s">
        <v>212</v>
      </c>
      <c r="M943" s="23" t="s">
        <v>123</v>
      </c>
      <c r="N943" s="23" t="s">
        <v>54</v>
      </c>
      <c r="O943" s="23" t="s">
        <v>816</v>
      </c>
    </row>
    <row r="944" customFormat="false" ht="15" hidden="false" customHeight="true" outlineLevel="0" collapsed="false">
      <c r="A944" s="3" t="s">
        <v>870</v>
      </c>
      <c r="B944" s="3" t="s">
        <v>635</v>
      </c>
      <c r="C944" s="3" t="s">
        <v>871</v>
      </c>
      <c r="M944" s="23"/>
      <c r="N944" s="23"/>
      <c r="O944" s="23"/>
    </row>
    <row r="945" customFormat="false" ht="72" hidden="false" customHeight="true" outlineLevel="0" collapsed="false">
      <c r="C945" s="26" t="s">
        <v>872</v>
      </c>
      <c r="M945" s="23"/>
      <c r="N945" s="23"/>
      <c r="O945" s="23"/>
    </row>
    <row r="946" customFormat="false" ht="15" hidden="false" customHeight="true" outlineLevel="0" collapsed="false">
      <c r="C946" s="27" t="s">
        <v>873</v>
      </c>
      <c r="D946" s="28" t="n">
        <v>32</v>
      </c>
      <c r="H946" s="29" t="n">
        <f aca="false">IF(COUNT(D946:G946)=0,0,D946*IF(E946="",1,E946)*IF(F946="",1,F946)*IF(G946="",1,G946))</f>
        <v>32</v>
      </c>
      <c r="M946" s="23"/>
      <c r="N946" s="23"/>
      <c r="O946" s="23"/>
    </row>
    <row r="947" customFormat="false" ht="15" hidden="false" customHeight="true" outlineLevel="0" collapsed="false">
      <c r="H947" s="30"/>
      <c r="I947" s="31" t="n">
        <f aca="false">ROUND(SUM(H946:H946),2)</f>
        <v>32</v>
      </c>
      <c r="J947" s="32" t="n">
        <v>9.54</v>
      </c>
      <c r="K947" s="31" t="n">
        <f aca="false">ROUND(I947*J947,2)</f>
        <v>305.28</v>
      </c>
      <c r="L947" s="33" t="s">
        <v>212</v>
      </c>
      <c r="M947" s="23" t="s">
        <v>123</v>
      </c>
      <c r="N947" s="23" t="s">
        <v>54</v>
      </c>
      <c r="O947" s="23" t="s">
        <v>816</v>
      </c>
    </row>
    <row r="948" customFormat="false" ht="15" hidden="false" customHeight="true" outlineLevel="0" collapsed="false">
      <c r="A948" s="3" t="s">
        <v>874</v>
      </c>
      <c r="B948" s="3" t="s">
        <v>635</v>
      </c>
      <c r="C948" s="3" t="s">
        <v>875</v>
      </c>
      <c r="M948" s="23"/>
      <c r="N948" s="23"/>
      <c r="O948" s="23"/>
    </row>
    <row r="949" customFormat="false" ht="72" hidden="false" customHeight="true" outlineLevel="0" collapsed="false">
      <c r="C949" s="26" t="s">
        <v>876</v>
      </c>
      <c r="M949" s="23"/>
      <c r="N949" s="23"/>
      <c r="O949" s="23"/>
    </row>
    <row r="950" customFormat="false" ht="15" hidden="false" customHeight="true" outlineLevel="0" collapsed="false">
      <c r="C950" s="27" t="s">
        <v>877</v>
      </c>
      <c r="D950" s="28" t="n">
        <v>2</v>
      </c>
      <c r="H950" s="29" t="n">
        <f aca="false">IF(COUNT(D950:G950)=0,0,D950*IF(E950="",1,E950)*IF(F950="",1,F950)*IF(G950="",1,G950))</f>
        <v>2</v>
      </c>
      <c r="M950" s="23"/>
      <c r="N950" s="23"/>
      <c r="O950" s="23"/>
    </row>
    <row r="951" customFormat="false" ht="15" hidden="false" customHeight="true" outlineLevel="0" collapsed="false">
      <c r="H951" s="30"/>
      <c r="I951" s="31" t="n">
        <f aca="false">ROUND(SUM(H950:H950),2)</f>
        <v>2</v>
      </c>
      <c r="J951" s="32" t="n">
        <v>9.54</v>
      </c>
      <c r="K951" s="31" t="n">
        <f aca="false">ROUND(I951*J951,2)</f>
        <v>19.08</v>
      </c>
      <c r="L951" s="33" t="s">
        <v>212</v>
      </c>
      <c r="M951" s="23" t="s">
        <v>123</v>
      </c>
      <c r="N951" s="23" t="s">
        <v>54</v>
      </c>
      <c r="O951" s="23" t="s">
        <v>816</v>
      </c>
    </row>
    <row r="952" customFormat="false" ht="15" hidden="false" customHeight="true" outlineLevel="0" collapsed="false">
      <c r="A952" s="3" t="s">
        <v>878</v>
      </c>
      <c r="B952" s="3" t="s">
        <v>635</v>
      </c>
      <c r="C952" s="3" t="s">
        <v>879</v>
      </c>
      <c r="M952" s="23"/>
      <c r="N952" s="23"/>
      <c r="O952" s="23"/>
    </row>
    <row r="953" customFormat="false" ht="72" hidden="false" customHeight="true" outlineLevel="0" collapsed="false">
      <c r="C953" s="26" t="s">
        <v>880</v>
      </c>
      <c r="M953" s="23"/>
      <c r="N953" s="23"/>
      <c r="O953" s="23"/>
    </row>
    <row r="954" customFormat="false" ht="15" hidden="false" customHeight="true" outlineLevel="0" collapsed="false">
      <c r="C954" s="27" t="s">
        <v>881</v>
      </c>
      <c r="D954" s="28" t="n">
        <v>72</v>
      </c>
      <c r="H954" s="29" t="n">
        <f aca="false">IF(COUNT(D954:G954)=0,0,D954*IF(E954="",1,E954)*IF(F954="",1,F954)*IF(G954="",1,G954))</f>
        <v>72</v>
      </c>
      <c r="M954" s="23"/>
      <c r="N954" s="23"/>
      <c r="O954" s="23"/>
    </row>
    <row r="955" customFormat="false" ht="15" hidden="false" customHeight="true" outlineLevel="0" collapsed="false">
      <c r="H955" s="30"/>
      <c r="I955" s="31" t="n">
        <f aca="false">ROUND(SUM(H954:H954),2)</f>
        <v>72</v>
      </c>
      <c r="J955" s="32" t="n">
        <v>10.07</v>
      </c>
      <c r="K955" s="31" t="n">
        <f aca="false">ROUND(I955*J955,2)</f>
        <v>725.04</v>
      </c>
      <c r="L955" s="33" t="s">
        <v>212</v>
      </c>
      <c r="M955" s="23" t="s">
        <v>123</v>
      </c>
      <c r="N955" s="23" t="s">
        <v>54</v>
      </c>
      <c r="O955" s="23" t="s">
        <v>816</v>
      </c>
    </row>
    <row r="956" customFormat="false" ht="15" hidden="false" customHeight="true" outlineLevel="0" collapsed="false">
      <c r="A956" s="3" t="s">
        <v>882</v>
      </c>
      <c r="B956" s="3" t="s">
        <v>635</v>
      </c>
      <c r="C956" s="3" t="s">
        <v>883</v>
      </c>
      <c r="M956" s="23"/>
      <c r="N956" s="23"/>
      <c r="O956" s="23"/>
    </row>
    <row r="957" customFormat="false" ht="60" hidden="false" customHeight="true" outlineLevel="0" collapsed="false">
      <c r="C957" s="26" t="s">
        <v>884</v>
      </c>
      <c r="M957" s="23"/>
      <c r="N957" s="23"/>
      <c r="O957" s="23"/>
    </row>
    <row r="958" customFormat="false" ht="15" hidden="false" customHeight="true" outlineLevel="0" collapsed="false">
      <c r="C958" s="27" t="s">
        <v>885</v>
      </c>
      <c r="D958" s="28" t="n">
        <v>2</v>
      </c>
      <c r="H958" s="29" t="n">
        <f aca="false">IF(COUNT(D958:G958)=0,0,D958*IF(E958="",1,E958)*IF(F958="",1,F958)*IF(G958="",1,G958))</f>
        <v>2</v>
      </c>
      <c r="M958" s="23"/>
      <c r="N958" s="23"/>
      <c r="O958" s="23"/>
    </row>
    <row r="959" customFormat="false" ht="15" hidden="false" customHeight="true" outlineLevel="0" collapsed="false">
      <c r="H959" s="30"/>
      <c r="I959" s="31" t="n">
        <f aca="false">ROUND(SUM(H958:H958),2)</f>
        <v>2</v>
      </c>
      <c r="J959" s="32" t="n">
        <v>10.6</v>
      </c>
      <c r="K959" s="31" t="n">
        <f aca="false">ROUND(I959*J959,2)</f>
        <v>21.2</v>
      </c>
      <c r="L959" s="33" t="s">
        <v>212</v>
      </c>
      <c r="M959" s="23" t="s">
        <v>123</v>
      </c>
      <c r="N959" s="23" t="s">
        <v>54</v>
      </c>
      <c r="O959" s="23" t="s">
        <v>816</v>
      </c>
    </row>
    <row r="960" customFormat="false" ht="15" hidden="false" customHeight="true" outlineLevel="0" collapsed="false">
      <c r="A960" s="3" t="s">
        <v>886</v>
      </c>
      <c r="B960" s="3" t="s">
        <v>635</v>
      </c>
      <c r="C960" s="3" t="s">
        <v>887</v>
      </c>
      <c r="M960" s="23"/>
      <c r="N960" s="23"/>
      <c r="O960" s="23"/>
    </row>
    <row r="961" customFormat="false" ht="60" hidden="false" customHeight="true" outlineLevel="0" collapsed="false">
      <c r="C961" s="26" t="s">
        <v>888</v>
      </c>
      <c r="M961" s="23"/>
      <c r="N961" s="23"/>
      <c r="O961" s="23"/>
    </row>
    <row r="962" customFormat="false" ht="15" hidden="false" customHeight="true" outlineLevel="0" collapsed="false">
      <c r="C962" s="27" t="s">
        <v>889</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15.86</v>
      </c>
      <c r="K963" s="31" t="n">
        <f aca="false">ROUND(I963*J963,2)</f>
        <v>31.72</v>
      </c>
      <c r="L963" s="33" t="s">
        <v>212</v>
      </c>
      <c r="M963" s="23" t="s">
        <v>123</v>
      </c>
      <c r="N963" s="23" t="s">
        <v>54</v>
      </c>
      <c r="O963" s="23" t="s">
        <v>816</v>
      </c>
    </row>
    <row r="964" customFormat="false" ht="15" hidden="false" customHeight="true" outlineLevel="0" collapsed="false">
      <c r="A964" s="3" t="s">
        <v>890</v>
      </c>
      <c r="B964" s="3" t="s">
        <v>635</v>
      </c>
      <c r="C964" s="3" t="s">
        <v>891</v>
      </c>
      <c r="M964" s="23"/>
      <c r="N964" s="23"/>
      <c r="O964" s="23"/>
    </row>
    <row r="965" customFormat="false" ht="36" hidden="false" customHeight="true" outlineLevel="0" collapsed="false">
      <c r="C965" s="26" t="s">
        <v>892</v>
      </c>
      <c r="M965" s="23"/>
      <c r="N965" s="23"/>
      <c r="O965" s="23"/>
    </row>
    <row r="966" customFormat="false" ht="15" hidden="false" customHeight="true" outlineLevel="0" collapsed="false">
      <c r="C966" s="27" t="s">
        <v>893</v>
      </c>
      <c r="D966" s="28" t="n">
        <v>10</v>
      </c>
      <c r="H966" s="29" t="n">
        <f aca="false">IF(COUNT(D966:G966)=0,0,D966*IF(E966="",1,E966)*IF(F966="",1,F966)*IF(G966="",1,G966))</f>
        <v>10</v>
      </c>
      <c r="M966" s="23"/>
      <c r="N966" s="23"/>
      <c r="O966" s="23"/>
    </row>
    <row r="967" customFormat="false" ht="15" hidden="false" customHeight="true" outlineLevel="0" collapsed="false">
      <c r="H967" s="30"/>
      <c r="I967" s="31" t="n">
        <f aca="false">ROUND(SUM(H966:H966),2)</f>
        <v>10</v>
      </c>
      <c r="J967" s="32" t="n">
        <v>10.07</v>
      </c>
      <c r="K967" s="31" t="n">
        <f aca="false">ROUND(I967*J967,2)</f>
        <v>100.7</v>
      </c>
      <c r="L967" s="33" t="s">
        <v>212</v>
      </c>
      <c r="M967" s="23" t="s">
        <v>123</v>
      </c>
      <c r="N967" s="23" t="s">
        <v>54</v>
      </c>
      <c r="O967" s="23" t="s">
        <v>816</v>
      </c>
    </row>
    <row r="968" customFormat="false" ht="15" hidden="false" customHeight="true" outlineLevel="0" collapsed="false">
      <c r="A968" s="3" t="s">
        <v>894</v>
      </c>
      <c r="B968" s="3" t="s">
        <v>635</v>
      </c>
      <c r="C968" s="3" t="s">
        <v>895</v>
      </c>
      <c r="M968" s="23"/>
      <c r="N968" s="23"/>
      <c r="O968" s="23"/>
    </row>
    <row r="969" customFormat="false" ht="60" hidden="false" customHeight="true" outlineLevel="0" collapsed="false">
      <c r="C969" s="26" t="s">
        <v>896</v>
      </c>
      <c r="M969" s="23"/>
      <c r="N969" s="23"/>
      <c r="O969" s="23"/>
    </row>
    <row r="970" customFormat="false" ht="15" hidden="false" customHeight="true" outlineLevel="0" collapsed="false">
      <c r="C970" s="27" t="s">
        <v>897</v>
      </c>
      <c r="D970" s="28" t="n">
        <v>3</v>
      </c>
      <c r="H970" s="29" t="n">
        <f aca="false">IF(COUNT(D970:G970)=0,0,D970*IF(E970="",1,E970)*IF(F970="",1,F970)*IF(G970="",1,G970))</f>
        <v>3</v>
      </c>
      <c r="M970" s="23"/>
      <c r="N970" s="23"/>
      <c r="O970" s="23"/>
    </row>
    <row r="971" customFormat="false" ht="15" hidden="false" customHeight="true" outlineLevel="0" collapsed="false">
      <c r="H971" s="30"/>
      <c r="I971" s="31" t="n">
        <f aca="false">ROUND(SUM(H970:H970),2)</f>
        <v>3</v>
      </c>
      <c r="J971" s="32" t="n">
        <v>9.54</v>
      </c>
      <c r="K971" s="31" t="n">
        <f aca="false">ROUND(I971*J971,2)</f>
        <v>28.62</v>
      </c>
      <c r="L971" s="33" t="s">
        <v>212</v>
      </c>
      <c r="M971" s="23" t="s">
        <v>123</v>
      </c>
      <c r="N971" s="23" t="s">
        <v>54</v>
      </c>
      <c r="O971" s="23" t="s">
        <v>816</v>
      </c>
    </row>
    <row r="972" customFormat="false" ht="15" hidden="false" customHeight="true" outlineLevel="0" collapsed="false">
      <c r="A972" s="3" t="s">
        <v>898</v>
      </c>
      <c r="B972" s="3" t="s">
        <v>635</v>
      </c>
      <c r="C972" s="3" t="s">
        <v>899</v>
      </c>
      <c r="M972" s="23"/>
      <c r="N972" s="23"/>
      <c r="O972" s="23"/>
    </row>
    <row r="973" customFormat="false" ht="48" hidden="false" customHeight="true" outlineLevel="0" collapsed="false">
      <c r="C973" s="26" t="s">
        <v>900</v>
      </c>
      <c r="M973" s="23"/>
      <c r="N973" s="23"/>
      <c r="O973" s="23"/>
    </row>
    <row r="974" customFormat="false" ht="15" hidden="false" customHeight="true" outlineLevel="0" collapsed="false">
      <c r="C974" s="27" t="s">
        <v>901</v>
      </c>
      <c r="D974" s="28" t="n">
        <v>15</v>
      </c>
      <c r="H974" s="29" t="n">
        <f aca="false">IF(COUNT(D974:G974)=0,0,D974*IF(E974="",1,E974)*IF(F974="",1,F974)*IF(G974="",1,G974))</f>
        <v>15</v>
      </c>
      <c r="M974" s="23"/>
      <c r="N974" s="23"/>
      <c r="O974" s="23"/>
    </row>
    <row r="975" customFormat="false" ht="15" hidden="false" customHeight="true" outlineLevel="0" collapsed="false">
      <c r="H975" s="30"/>
      <c r="I975" s="31" t="n">
        <f aca="false">ROUND(SUM(H974:H974),2)</f>
        <v>15</v>
      </c>
      <c r="J975" s="32" t="n">
        <v>13.78</v>
      </c>
      <c r="K975" s="31" t="n">
        <f aca="false">ROUND(I975*J975,2)</f>
        <v>206.7</v>
      </c>
      <c r="L975" s="33" t="s">
        <v>212</v>
      </c>
      <c r="M975" s="23" t="s">
        <v>123</v>
      </c>
      <c r="N975" s="23" t="s">
        <v>54</v>
      </c>
      <c r="O975" s="23" t="s">
        <v>816</v>
      </c>
    </row>
    <row r="976" customFormat="false" ht="15" hidden="false" customHeight="true" outlineLevel="0" collapsed="false">
      <c r="A976" s="3" t="s">
        <v>902</v>
      </c>
      <c r="B976" s="3" t="s">
        <v>635</v>
      </c>
      <c r="C976" s="3" t="s">
        <v>903</v>
      </c>
      <c r="M976" s="23"/>
      <c r="N976" s="23"/>
      <c r="O976" s="23"/>
    </row>
    <row r="977" customFormat="false" ht="48" hidden="false" customHeight="true" outlineLevel="0" collapsed="false">
      <c r="C977" s="26" t="s">
        <v>904</v>
      </c>
      <c r="M977" s="23"/>
      <c r="N977" s="23"/>
      <c r="O977" s="23"/>
    </row>
    <row r="978" customFormat="false" ht="15" hidden="false" customHeight="true" outlineLevel="0" collapsed="false">
      <c r="C978" s="27" t="s">
        <v>905</v>
      </c>
      <c r="D978" s="28" t="n">
        <v>10</v>
      </c>
      <c r="H978" s="29" t="n">
        <f aca="false">IF(COUNT(D978:G978)=0,0,D978*IF(E978="",1,E978)*IF(F978="",1,F978)*IF(G978="",1,G978))</f>
        <v>10</v>
      </c>
      <c r="M978" s="23"/>
      <c r="N978" s="23"/>
      <c r="O978" s="23"/>
    </row>
    <row r="979" customFormat="false" ht="15" hidden="false" customHeight="true" outlineLevel="0" collapsed="false">
      <c r="H979" s="30"/>
      <c r="I979" s="31" t="n">
        <f aca="false">ROUND(SUM(H978:H978),2)</f>
        <v>10</v>
      </c>
      <c r="J979" s="32" t="n">
        <v>9.69</v>
      </c>
      <c r="K979" s="31" t="n">
        <f aca="false">ROUND(I979*J979,2)</f>
        <v>96.9</v>
      </c>
      <c r="L979" s="33" t="s">
        <v>212</v>
      </c>
      <c r="M979" s="23" t="s">
        <v>123</v>
      </c>
      <c r="N979" s="23" t="s">
        <v>54</v>
      </c>
      <c r="O979" s="23" t="s">
        <v>816</v>
      </c>
    </row>
    <row r="980" customFormat="false" ht="15" hidden="false" customHeight="true" outlineLevel="0" collapsed="false">
      <c r="A980" s="3" t="s">
        <v>906</v>
      </c>
      <c r="B980" s="3" t="s">
        <v>635</v>
      </c>
      <c r="C980" s="3" t="s">
        <v>907</v>
      </c>
      <c r="M980" s="23"/>
      <c r="N980" s="23"/>
      <c r="O980" s="23"/>
    </row>
    <row r="981" customFormat="false" ht="48" hidden="false" customHeight="true" outlineLevel="0" collapsed="false">
      <c r="C981" s="26" t="s">
        <v>908</v>
      </c>
      <c r="M981" s="23"/>
      <c r="N981" s="23"/>
      <c r="O981" s="23"/>
    </row>
    <row r="982" customFormat="false" ht="15" hidden="false" customHeight="true" outlineLevel="0" collapsed="false">
      <c r="C982" s="27" t="s">
        <v>696</v>
      </c>
      <c r="D982" s="28" t="n">
        <v>4</v>
      </c>
      <c r="H982" s="29" t="n">
        <f aca="false">IF(COUNT(D982:G982)=0,0,D982*IF(E982="",1,E982)*IF(F982="",1,F982)*IF(G982="",1,G982))</f>
        <v>4</v>
      </c>
      <c r="M982" s="23"/>
      <c r="N982" s="23"/>
      <c r="O982" s="23"/>
    </row>
    <row r="983" customFormat="false" ht="15" hidden="false" customHeight="true" outlineLevel="0" collapsed="false">
      <c r="H983" s="30"/>
      <c r="I983" s="31" t="n">
        <f aca="false">ROUND(SUM(H982:H982),2)</f>
        <v>4</v>
      </c>
      <c r="J983" s="32" t="n">
        <v>6.26</v>
      </c>
      <c r="K983" s="31" t="n">
        <f aca="false">ROUND(I983*J983,2)</f>
        <v>25.04</v>
      </c>
      <c r="L983" s="33" t="s">
        <v>212</v>
      </c>
      <c r="M983" s="23" t="s">
        <v>123</v>
      </c>
      <c r="N983" s="23" t="s">
        <v>54</v>
      </c>
      <c r="O983" s="23" t="s">
        <v>816</v>
      </c>
    </row>
    <row r="984" customFormat="false" ht="15" hidden="false" customHeight="true" outlineLevel="0" collapsed="false">
      <c r="A984" s="3" t="s">
        <v>909</v>
      </c>
      <c r="B984" s="3" t="s">
        <v>635</v>
      </c>
      <c r="C984" s="3" t="s">
        <v>910</v>
      </c>
      <c r="M984" s="23"/>
      <c r="N984" s="23"/>
      <c r="O984" s="23"/>
    </row>
    <row r="985" customFormat="false" ht="36" hidden="false" customHeight="true" outlineLevel="0" collapsed="false">
      <c r="C985" s="26" t="s">
        <v>911</v>
      </c>
      <c r="M985" s="23"/>
      <c r="N985" s="23"/>
      <c r="O985" s="23"/>
    </row>
    <row r="986" customFormat="false" ht="15" hidden="false" customHeight="true" outlineLevel="0" collapsed="false">
      <c r="C986" s="27" t="s">
        <v>912</v>
      </c>
      <c r="D986" s="28" t="n">
        <v>3</v>
      </c>
      <c r="H986" s="29" t="n">
        <f aca="false">IF(COUNT(D986:G986)=0,0,D986*IF(E986="",1,E986)*IF(F986="",1,F986)*IF(G986="",1,G986))</f>
        <v>3</v>
      </c>
      <c r="M986" s="23"/>
      <c r="N986" s="23"/>
      <c r="O986" s="23"/>
    </row>
    <row r="987" customFormat="false" ht="15" hidden="false" customHeight="true" outlineLevel="0" collapsed="false">
      <c r="H987" s="30"/>
      <c r="I987" s="31" t="n">
        <f aca="false">ROUND(SUM(H986:H986),2)</f>
        <v>3</v>
      </c>
      <c r="J987" s="32" t="n">
        <v>72.34</v>
      </c>
      <c r="K987" s="31" t="n">
        <f aca="false">ROUND(I987*J987,2)</f>
        <v>217.02</v>
      </c>
      <c r="L987" s="33" t="s">
        <v>212</v>
      </c>
      <c r="M987" s="23" t="s">
        <v>123</v>
      </c>
      <c r="N987" s="23" t="s">
        <v>54</v>
      </c>
      <c r="O987" s="23" t="s">
        <v>816</v>
      </c>
    </row>
    <row r="988" customFormat="false" ht="15" hidden="false" customHeight="true" outlineLevel="0" collapsed="false">
      <c r="A988" s="3" t="s">
        <v>913</v>
      </c>
      <c r="B988" s="3" t="s">
        <v>635</v>
      </c>
      <c r="C988" s="3" t="s">
        <v>914</v>
      </c>
      <c r="M988" s="23"/>
      <c r="N988" s="23"/>
      <c r="O988" s="23"/>
    </row>
    <row r="989" customFormat="false" ht="24" hidden="false" customHeight="true" outlineLevel="0" collapsed="false">
      <c r="C989" s="26" t="s">
        <v>915</v>
      </c>
      <c r="M989" s="23"/>
      <c r="N989" s="23"/>
      <c r="O989" s="23"/>
    </row>
    <row r="990" customFormat="false" ht="15" hidden="false" customHeight="true" outlineLevel="0" collapsed="false">
      <c r="C990" s="27" t="s">
        <v>916</v>
      </c>
      <c r="D990" s="28" t="n">
        <v>4</v>
      </c>
      <c r="H990" s="29" t="n">
        <f aca="false">IF(COUNT(D990:G990)=0,0,D990*IF(E990="",1,E990)*IF(F990="",1,F990)*IF(G990="",1,G990))</f>
        <v>4</v>
      </c>
      <c r="M990" s="23"/>
      <c r="N990" s="23"/>
      <c r="O990" s="23"/>
    </row>
    <row r="991" customFormat="false" ht="15" hidden="false" customHeight="true" outlineLevel="0" collapsed="false">
      <c r="H991" s="30"/>
      <c r="I991" s="31" t="n">
        <f aca="false">ROUND(SUM(H990:H990),2)</f>
        <v>4</v>
      </c>
      <c r="J991" s="32" t="n">
        <v>95.4</v>
      </c>
      <c r="K991" s="31" t="n">
        <f aca="false">ROUND(I991*J991,2)</f>
        <v>381.6</v>
      </c>
      <c r="L991" s="33" t="s">
        <v>212</v>
      </c>
      <c r="M991" s="23" t="s">
        <v>123</v>
      </c>
      <c r="N991" s="23" t="s">
        <v>54</v>
      </c>
      <c r="O991" s="23" t="s">
        <v>816</v>
      </c>
    </row>
    <row r="992" customFormat="false" ht="15" hidden="false" customHeight="true" outlineLevel="0" collapsed="false">
      <c r="A992" s="3" t="s">
        <v>917</v>
      </c>
      <c r="B992" s="3" t="s">
        <v>635</v>
      </c>
      <c r="C992" s="3" t="s">
        <v>918</v>
      </c>
      <c r="M992" s="23"/>
      <c r="N992" s="23"/>
      <c r="O992" s="23"/>
    </row>
    <row r="993" customFormat="false" ht="12" hidden="false" customHeight="true" outlineLevel="0" collapsed="false">
      <c r="C993" s="26" t="s">
        <v>919</v>
      </c>
      <c r="M993" s="23"/>
      <c r="N993" s="23"/>
      <c r="O993" s="23"/>
    </row>
    <row r="994" customFormat="false" ht="15" hidden="false" customHeight="true" outlineLevel="0" collapsed="false">
      <c r="C994" s="27" t="s">
        <v>920</v>
      </c>
      <c r="D994" s="28" t="n">
        <v>7</v>
      </c>
      <c r="H994" s="29" t="n">
        <f aca="false">IF(COUNT(D994:G994)=0,0,D994*IF(E994="",1,E994)*IF(F994="",1,F994)*IF(G994="",1,G994))</f>
        <v>7</v>
      </c>
      <c r="M994" s="23"/>
      <c r="N994" s="23"/>
      <c r="O994" s="23"/>
    </row>
    <row r="995" customFormat="false" ht="15" hidden="false" customHeight="true" outlineLevel="0" collapsed="false">
      <c r="H995" s="30"/>
      <c r="I995" s="31" t="n">
        <f aca="false">ROUND(SUM(H994:H994),2)</f>
        <v>7</v>
      </c>
      <c r="J995" s="32" t="n">
        <v>28.49</v>
      </c>
      <c r="K995" s="31" t="n">
        <f aca="false">ROUND(I995*J995,2)</f>
        <v>199.43</v>
      </c>
      <c r="L995" s="33" t="s">
        <v>212</v>
      </c>
      <c r="M995" s="23" t="s">
        <v>123</v>
      </c>
      <c r="N995" s="23" t="s">
        <v>54</v>
      </c>
      <c r="O995" s="23" t="s">
        <v>816</v>
      </c>
    </row>
    <row r="996" customFormat="false" ht="15" hidden="false" customHeight="true" outlineLevel="0" collapsed="false">
      <c r="A996" s="3" t="s">
        <v>921</v>
      </c>
      <c r="B996" s="3" t="s">
        <v>635</v>
      </c>
      <c r="C996" s="3" t="s">
        <v>922</v>
      </c>
      <c r="M996" s="23"/>
      <c r="N996" s="23"/>
      <c r="O996" s="23"/>
    </row>
    <row r="997" customFormat="false" ht="60" hidden="false" customHeight="true" outlineLevel="0" collapsed="false">
      <c r="C997" s="26" t="s">
        <v>923</v>
      </c>
      <c r="M997" s="23"/>
      <c r="N997" s="23"/>
      <c r="O997" s="23"/>
    </row>
    <row r="998" customFormat="false" ht="15" hidden="false" customHeight="true" outlineLevel="0" collapsed="false">
      <c r="C998" s="27" t="s">
        <v>877</v>
      </c>
      <c r="D998" s="28" t="n">
        <v>2</v>
      </c>
      <c r="H998" s="29" t="n">
        <f aca="false">IF(COUNT(D998:G998)=0,0,D998*IF(E998="",1,E998)*IF(F998="",1,F998)*IF(G998="",1,G998))</f>
        <v>2</v>
      </c>
      <c r="M998" s="23"/>
      <c r="N998" s="23"/>
      <c r="O998" s="23"/>
    </row>
    <row r="999" customFormat="false" ht="15" hidden="false" customHeight="true" outlineLevel="0" collapsed="false">
      <c r="H999" s="30"/>
      <c r="I999" s="31" t="n">
        <f aca="false">ROUND(SUM(H998:H998),2)</f>
        <v>2</v>
      </c>
      <c r="J999" s="32" t="n">
        <v>45.56</v>
      </c>
      <c r="K999" s="31" t="n">
        <f aca="false">ROUND(I999*J999,2)</f>
        <v>91.12</v>
      </c>
      <c r="L999" s="33" t="s">
        <v>212</v>
      </c>
      <c r="M999" s="23" t="s">
        <v>123</v>
      </c>
      <c r="N999" s="23" t="s">
        <v>54</v>
      </c>
      <c r="O999" s="23" t="s">
        <v>816</v>
      </c>
    </row>
    <row r="1000" customFormat="false" ht="15" hidden="false" customHeight="true" outlineLevel="0" collapsed="false">
      <c r="A1000" s="3" t="s">
        <v>924</v>
      </c>
      <c r="B1000" s="3" t="s">
        <v>635</v>
      </c>
      <c r="C1000" s="3" t="s">
        <v>925</v>
      </c>
      <c r="M1000" s="23"/>
      <c r="N1000" s="23"/>
      <c r="O1000" s="23"/>
    </row>
    <row r="1001" customFormat="false" ht="36" hidden="false" customHeight="true" outlineLevel="0" collapsed="false">
      <c r="C1001" s="26" t="s">
        <v>926</v>
      </c>
      <c r="M1001" s="23"/>
      <c r="N1001" s="23"/>
      <c r="O1001" s="23"/>
    </row>
    <row r="1002" customFormat="false" ht="15" hidden="false" customHeight="true" outlineLevel="0" collapsed="false">
      <c r="C1002" s="27" t="s">
        <v>901</v>
      </c>
      <c r="D1002" s="28" t="n">
        <v>15</v>
      </c>
      <c r="H1002" s="29" t="n">
        <f aca="false">IF(COUNT(D1002:G1002)=0,0,D1002*IF(E1002="",1,E1002)*IF(F1002="",1,F1002)*IF(G1002="",1,G1002))</f>
        <v>15</v>
      </c>
      <c r="M1002" s="23"/>
      <c r="N1002" s="23"/>
      <c r="O1002" s="23"/>
    </row>
    <row r="1003" customFormat="false" ht="15" hidden="false" customHeight="true" outlineLevel="0" collapsed="false">
      <c r="H1003" s="30"/>
      <c r="I1003" s="31" t="n">
        <f aca="false">ROUND(SUM(H1002:H1002),2)</f>
        <v>15</v>
      </c>
      <c r="J1003" s="32" t="n">
        <v>12.37</v>
      </c>
      <c r="K1003" s="31" t="n">
        <f aca="false">ROUND(I1003*J1003,2)</f>
        <v>185.55</v>
      </c>
      <c r="L1003" s="33" t="s">
        <v>212</v>
      </c>
      <c r="M1003" s="23" t="s">
        <v>123</v>
      </c>
      <c r="N1003" s="23" t="s">
        <v>54</v>
      </c>
      <c r="O1003" s="23" t="s">
        <v>816</v>
      </c>
    </row>
    <row r="1004" customFormat="false" ht="15" hidden="false" customHeight="true" outlineLevel="0" collapsed="false">
      <c r="A1004" s="3" t="s">
        <v>927</v>
      </c>
      <c r="B1004" s="3" t="s">
        <v>635</v>
      </c>
      <c r="C1004" s="3" t="s">
        <v>928</v>
      </c>
      <c r="M1004" s="23"/>
      <c r="N1004" s="23"/>
      <c r="O1004" s="23"/>
    </row>
    <row r="1005" customFormat="false" ht="36" hidden="false" customHeight="true" outlineLevel="0" collapsed="false">
      <c r="C1005" s="26" t="s">
        <v>929</v>
      </c>
      <c r="M1005" s="23"/>
      <c r="N1005" s="23"/>
      <c r="O1005" s="23"/>
    </row>
    <row r="1006" customFormat="false" ht="15" hidden="false" customHeight="true" outlineLevel="0" collapsed="false">
      <c r="C1006" s="27" t="s">
        <v>930</v>
      </c>
      <c r="D1006" s="28" t="n">
        <v>10</v>
      </c>
      <c r="H1006" s="29" t="n">
        <f aca="false">IF(COUNT(D1006:G1006)=0,0,D1006*IF(E1006="",1,E1006)*IF(F1006="",1,F1006)*IF(G1006="",1,G1006))</f>
        <v>10</v>
      </c>
      <c r="M1006" s="23"/>
      <c r="N1006" s="23"/>
      <c r="O1006" s="23"/>
    </row>
    <row r="1007" customFormat="false" ht="15" hidden="false" customHeight="true" outlineLevel="0" collapsed="false">
      <c r="H1007" s="30"/>
      <c r="I1007" s="31" t="n">
        <f aca="false">ROUND(SUM(H1006:H1006),2)</f>
        <v>10</v>
      </c>
      <c r="J1007" s="32" t="n">
        <v>15.49</v>
      </c>
      <c r="K1007" s="31" t="n">
        <f aca="false">ROUND(I1007*J1007,2)</f>
        <v>154.9</v>
      </c>
      <c r="L1007" s="33" t="s">
        <v>212</v>
      </c>
      <c r="M1007" s="23" t="s">
        <v>123</v>
      </c>
      <c r="N1007" s="23" t="s">
        <v>54</v>
      </c>
      <c r="O1007" s="23" t="s">
        <v>816</v>
      </c>
    </row>
    <row r="1008" customFormat="false" ht="15" hidden="false" customHeight="true" outlineLevel="0" collapsed="false">
      <c r="A1008" s="3" t="s">
        <v>931</v>
      </c>
      <c r="B1008" s="3" t="s">
        <v>635</v>
      </c>
      <c r="C1008" s="3" t="s">
        <v>932</v>
      </c>
      <c r="M1008" s="23"/>
      <c r="N1008" s="23"/>
      <c r="O1008" s="23"/>
    </row>
    <row r="1009" customFormat="false" ht="36" hidden="false" customHeight="true" outlineLevel="0" collapsed="false">
      <c r="C1009" s="26" t="s">
        <v>933</v>
      </c>
      <c r="M1009" s="23"/>
      <c r="N1009" s="23"/>
      <c r="O1009" s="23"/>
    </row>
    <row r="1010" customFormat="false" ht="15" hidden="false" customHeight="true" outlineLevel="0" collapsed="false">
      <c r="C1010" s="27" t="s">
        <v>889</v>
      </c>
      <c r="D1010" s="28" t="n">
        <v>2</v>
      </c>
      <c r="H1010" s="29" t="n">
        <f aca="false">IF(COUNT(D1010:G1010)=0,0,D1010*IF(E1010="",1,E1010)*IF(F1010="",1,F1010)*IF(G1010="",1,G1010))</f>
        <v>2</v>
      </c>
      <c r="M1010" s="23"/>
      <c r="N1010" s="23"/>
      <c r="O1010" s="23"/>
    </row>
    <row r="1011" customFormat="false" ht="15" hidden="false" customHeight="true" outlineLevel="0" collapsed="false">
      <c r="H1011" s="30"/>
      <c r="I1011" s="31" t="n">
        <f aca="false">ROUND(SUM(H1010:H1010),2)</f>
        <v>2</v>
      </c>
      <c r="J1011" s="32" t="n">
        <v>17.07</v>
      </c>
      <c r="K1011" s="31" t="n">
        <f aca="false">ROUND(I1011*J1011,2)</f>
        <v>34.14</v>
      </c>
      <c r="L1011" s="33" t="s">
        <v>212</v>
      </c>
      <c r="M1011" s="23" t="s">
        <v>123</v>
      </c>
      <c r="N1011" s="23" t="s">
        <v>54</v>
      </c>
      <c r="O1011" s="23" t="s">
        <v>816</v>
      </c>
    </row>
    <row r="1012" customFormat="false" ht="15" hidden="false" customHeight="true" outlineLevel="0" collapsed="false">
      <c r="A1012" s="3" t="s">
        <v>934</v>
      </c>
      <c r="B1012" s="3" t="s">
        <v>635</v>
      </c>
      <c r="C1012" s="3" t="s">
        <v>935</v>
      </c>
      <c r="M1012" s="23"/>
      <c r="N1012" s="23"/>
      <c r="O1012" s="23"/>
    </row>
    <row r="1013" customFormat="false" ht="36" hidden="false" customHeight="true" outlineLevel="0" collapsed="false">
      <c r="C1013" s="26" t="s">
        <v>936</v>
      </c>
      <c r="M1013" s="23"/>
      <c r="N1013" s="23"/>
      <c r="O1013" s="23"/>
    </row>
    <row r="1014" customFormat="false" ht="15" hidden="false" customHeight="true" outlineLevel="0" collapsed="false">
      <c r="C1014" s="27" t="s">
        <v>881</v>
      </c>
      <c r="D1014" s="28" t="n">
        <v>72</v>
      </c>
      <c r="H1014" s="29" t="n">
        <f aca="false">IF(COUNT(D1014:G1014)=0,0,D1014*IF(E1014="",1,E1014)*IF(F1014="",1,F1014)*IF(G1014="",1,G1014))</f>
        <v>72</v>
      </c>
      <c r="M1014" s="23"/>
      <c r="N1014" s="23"/>
      <c r="O1014" s="23"/>
    </row>
    <row r="1015" customFormat="false" ht="15" hidden="false" customHeight="true" outlineLevel="0" collapsed="false">
      <c r="H1015" s="30"/>
      <c r="I1015" s="31" t="n">
        <f aca="false">ROUND(SUM(H1014:H1014),2)</f>
        <v>72</v>
      </c>
      <c r="J1015" s="32" t="n">
        <v>12.37</v>
      </c>
      <c r="K1015" s="31" t="n">
        <f aca="false">ROUND(I1015*J1015,2)</f>
        <v>890.64</v>
      </c>
      <c r="L1015" s="33" t="s">
        <v>212</v>
      </c>
      <c r="M1015" s="23" t="s">
        <v>123</v>
      </c>
      <c r="N1015" s="23" t="s">
        <v>54</v>
      </c>
      <c r="O1015" s="23" t="s">
        <v>816</v>
      </c>
    </row>
    <row r="1016" customFormat="false" ht="15" hidden="false" customHeight="true" outlineLevel="0" collapsed="false">
      <c r="A1016" s="3" t="s">
        <v>937</v>
      </c>
      <c r="B1016" s="3" t="s">
        <v>635</v>
      </c>
      <c r="C1016" s="3" t="s">
        <v>938</v>
      </c>
      <c r="M1016" s="23"/>
      <c r="N1016" s="23"/>
      <c r="O1016" s="23"/>
    </row>
    <row r="1017" customFormat="false" ht="24" hidden="false" customHeight="true" outlineLevel="0" collapsed="false">
      <c r="C1017" s="26" t="s">
        <v>939</v>
      </c>
      <c r="M1017" s="23"/>
      <c r="N1017" s="23"/>
      <c r="O1017" s="23"/>
    </row>
    <row r="1018" customFormat="false" ht="15" hidden="false" customHeight="true" outlineLevel="0" collapsed="false">
      <c r="C1018" s="27" t="s">
        <v>940</v>
      </c>
      <c r="D1018" s="28" t="n">
        <v>10</v>
      </c>
      <c r="H1018" s="29" t="n">
        <f aca="false">IF(COUNT(D1018:G1018)=0,0,D1018*IF(E1018="",1,E1018)*IF(F1018="",1,F1018)*IF(G1018="",1,G1018))</f>
        <v>10</v>
      </c>
      <c r="M1018" s="23"/>
      <c r="N1018" s="23"/>
      <c r="O1018" s="23"/>
    </row>
    <row r="1019" customFormat="false" ht="15" hidden="false" customHeight="true" outlineLevel="0" collapsed="false">
      <c r="H1019" s="30"/>
      <c r="I1019" s="31" t="n">
        <f aca="false">ROUND(SUM(H1018:H1018),2)</f>
        <v>10</v>
      </c>
      <c r="J1019" s="32" t="n">
        <v>19.07</v>
      </c>
      <c r="K1019" s="31" t="n">
        <f aca="false">ROUND(I1019*J1019,2)</f>
        <v>190.7</v>
      </c>
      <c r="L1019" s="33" t="s">
        <v>212</v>
      </c>
      <c r="M1019" s="23" t="s">
        <v>123</v>
      </c>
      <c r="N1019" s="23" t="s">
        <v>54</v>
      </c>
      <c r="O1019" s="23" t="s">
        <v>816</v>
      </c>
    </row>
    <row r="1020" customFormat="false" ht="15" hidden="false" customHeight="true" outlineLevel="0" collapsed="false">
      <c r="A1020" s="3" t="s">
        <v>941</v>
      </c>
      <c r="B1020" s="3" t="s">
        <v>129</v>
      </c>
      <c r="C1020" s="3" t="s">
        <v>942</v>
      </c>
      <c r="M1020" s="23"/>
      <c r="N1020" s="23"/>
      <c r="O1020" s="23"/>
    </row>
    <row r="1021" customFormat="false" ht="36" hidden="false" customHeight="true" outlineLevel="0" collapsed="false">
      <c r="C1021" s="26" t="s">
        <v>943</v>
      </c>
      <c r="M1021" s="23"/>
      <c r="N1021" s="23"/>
      <c r="O1021" s="23"/>
    </row>
    <row r="1022" customFormat="false" ht="15" hidden="false" customHeight="true" outlineLevel="0" collapsed="false">
      <c r="C1022" s="27" t="s">
        <v>324</v>
      </c>
      <c r="D1022" s="28" t="n">
        <v>1</v>
      </c>
      <c r="H1022" s="29" t="n">
        <f aca="false">IF(COUNT(D1022:G1022)=0,0,D1022*IF(E1022="",1,E1022)*IF(F1022="",1,F1022)*IF(G1022="",1,G1022))</f>
        <v>1</v>
      </c>
      <c r="M1022" s="23"/>
      <c r="N1022" s="23"/>
      <c r="O1022" s="23"/>
    </row>
    <row r="1023" customFormat="false" ht="18.75" hidden="false" customHeight="true" outlineLevel="0" collapsed="false">
      <c r="H1023" s="30"/>
      <c r="I1023" s="31" t="n">
        <f aca="false">ROUND(SUM(H1022:H1022),2)</f>
        <v>1</v>
      </c>
      <c r="J1023" s="32" t="n">
        <v>210</v>
      </c>
      <c r="K1023" s="31" t="n">
        <f aca="false">ROUND(I1023*J1023,2)</f>
        <v>210</v>
      </c>
      <c r="L1023" s="33" t="s">
        <v>238</v>
      </c>
      <c r="M1023" s="23" t="s">
        <v>123</v>
      </c>
      <c r="N1023" s="23" t="s">
        <v>54</v>
      </c>
      <c r="O1023" s="23" t="s">
        <v>816</v>
      </c>
    </row>
    <row r="1024" customFormat="false" ht="15" hidden="false" customHeight="true" outlineLevel="0" collapsed="false">
      <c r="A1024" s="3" t="s">
        <v>944</v>
      </c>
      <c r="B1024" s="3" t="s">
        <v>129</v>
      </c>
      <c r="C1024" s="3" t="s">
        <v>945</v>
      </c>
      <c r="M1024" s="23"/>
      <c r="N1024" s="23"/>
      <c r="O1024" s="23"/>
    </row>
    <row r="1025" customFormat="false" ht="24" hidden="false" customHeight="true" outlineLevel="0" collapsed="false">
      <c r="C1025" s="26" t="s">
        <v>946</v>
      </c>
      <c r="M1025" s="23"/>
      <c r="N1025" s="23"/>
      <c r="O1025" s="23"/>
    </row>
    <row r="1026" customFormat="false" ht="15" hidden="false" customHeight="true" outlineLevel="0" collapsed="false">
      <c r="C1026" s="27" t="s">
        <v>713</v>
      </c>
      <c r="D1026" s="28" t="n">
        <v>1</v>
      </c>
      <c r="H1026" s="29" t="n">
        <f aca="false">IF(COUNT(D1026:G1026)=0,0,D1026*IF(E1026="",1,E1026)*IF(F1026="",1,F1026)*IF(G1026="",1,G1026))</f>
        <v>1</v>
      </c>
      <c r="M1026" s="23"/>
      <c r="N1026" s="23"/>
      <c r="O1026" s="23"/>
    </row>
    <row r="1027" customFormat="false" ht="27.75" hidden="false" customHeight="true" outlineLevel="0" collapsed="false">
      <c r="H1027" s="30"/>
      <c r="I1027" s="31" t="n">
        <f aca="false">ROUND(SUM(H1026:H1026),2)</f>
        <v>1</v>
      </c>
      <c r="J1027" s="32" t="n">
        <v>2500</v>
      </c>
      <c r="K1027" s="31" t="n">
        <f aca="false">ROUND(I1027*J1027,2)</f>
        <v>2500</v>
      </c>
      <c r="L1027" s="33" t="s">
        <v>947</v>
      </c>
      <c r="M1027" s="23" t="s">
        <v>123</v>
      </c>
      <c r="N1027" s="23" t="s">
        <v>54</v>
      </c>
      <c r="O1027" s="23" t="s">
        <v>816</v>
      </c>
    </row>
    <row r="1028" customFormat="false" ht="15" hidden="false" customHeight="true" outlineLevel="0" collapsed="false">
      <c r="A1028" s="3" t="s">
        <v>948</v>
      </c>
      <c r="C1028" s="3" t="s">
        <v>949</v>
      </c>
      <c r="M1028" s="23" t="s">
        <v>291</v>
      </c>
      <c r="N1028" s="23" t="s">
        <v>54</v>
      </c>
      <c r="O1028" s="23" t="s">
        <v>948</v>
      </c>
    </row>
    <row r="1029" customFormat="false" ht="15" hidden="false" customHeight="true" outlineLevel="0" collapsed="false">
      <c r="A1029" s="3" t="s">
        <v>950</v>
      </c>
      <c r="B1029" s="3" t="s">
        <v>635</v>
      </c>
      <c r="C1029" s="3" t="s">
        <v>951</v>
      </c>
      <c r="M1029" s="23"/>
      <c r="N1029" s="23"/>
      <c r="O1029" s="23"/>
    </row>
    <row r="1030" customFormat="false" ht="36" hidden="false" customHeight="true" outlineLevel="0" collapsed="false">
      <c r="C1030" s="26" t="s">
        <v>952</v>
      </c>
      <c r="M1030" s="23"/>
      <c r="N1030" s="23"/>
      <c r="O1030" s="23"/>
    </row>
    <row r="1031" customFormat="false" ht="15" hidden="false" customHeight="true" outlineLevel="0" collapsed="false">
      <c r="C1031" s="27" t="s">
        <v>731</v>
      </c>
      <c r="D1031" s="28" t="n">
        <v>1</v>
      </c>
      <c r="H1031" s="29" t="n">
        <f aca="false">IF(COUNT(D1031:G1031)=0,0,D1031*IF(E1031="",1,E1031)*IF(F1031="",1,F1031)*IF(G1031="",1,G1031))</f>
        <v>1</v>
      </c>
      <c r="M1031" s="23"/>
      <c r="N1031" s="23"/>
      <c r="O1031" s="23"/>
    </row>
    <row r="1032" customFormat="false" ht="15" hidden="false" customHeight="true" outlineLevel="0" collapsed="false">
      <c r="H1032" s="30"/>
      <c r="I1032" s="31" t="n">
        <f aca="false">ROUND(SUM(H1031:H1031),2)</f>
        <v>1</v>
      </c>
      <c r="J1032" s="32" t="n">
        <v>371</v>
      </c>
      <c r="K1032" s="31" t="n">
        <f aca="false">ROUND(I1032*J1032,2)</f>
        <v>371</v>
      </c>
      <c r="L1032" s="33" t="s">
        <v>212</v>
      </c>
      <c r="M1032" s="23" t="s">
        <v>123</v>
      </c>
      <c r="N1032" s="23" t="s">
        <v>54</v>
      </c>
      <c r="O1032" s="23" t="s">
        <v>948</v>
      </c>
    </row>
    <row r="1033" customFormat="false" ht="15" hidden="false" customHeight="true" outlineLevel="0" collapsed="false">
      <c r="A1033" s="3" t="s">
        <v>953</v>
      </c>
      <c r="B1033" s="3" t="s">
        <v>635</v>
      </c>
      <c r="C1033" s="3" t="s">
        <v>954</v>
      </c>
      <c r="M1033" s="23"/>
      <c r="N1033" s="23"/>
      <c r="O1033" s="23"/>
    </row>
    <row r="1034" customFormat="false" ht="24" hidden="false" customHeight="true" outlineLevel="0" collapsed="false">
      <c r="C1034" s="26" t="s">
        <v>955</v>
      </c>
      <c r="M1034" s="23"/>
      <c r="N1034" s="23"/>
      <c r="O1034" s="23"/>
    </row>
    <row r="1035" customFormat="false" ht="15" hidden="false" customHeight="true" outlineLevel="0" collapsed="false">
      <c r="C1035" s="27" t="s">
        <v>731</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270.3</v>
      </c>
      <c r="K1036" s="31" t="n">
        <f aca="false">ROUND(I1036*J1036,2)</f>
        <v>270.3</v>
      </c>
      <c r="L1036" s="33" t="s">
        <v>212</v>
      </c>
      <c r="M1036" s="23" t="s">
        <v>123</v>
      </c>
      <c r="N1036" s="23" t="s">
        <v>54</v>
      </c>
      <c r="O1036" s="23" t="s">
        <v>948</v>
      </c>
    </row>
    <row r="1037" customFormat="false" ht="15" hidden="false" customHeight="true" outlineLevel="0" collapsed="false">
      <c r="A1037" s="3" t="s">
        <v>956</v>
      </c>
      <c r="B1037" s="3" t="s">
        <v>635</v>
      </c>
      <c r="C1037" s="3" t="s">
        <v>957</v>
      </c>
      <c r="M1037" s="23"/>
      <c r="N1037" s="23"/>
      <c r="O1037" s="23"/>
    </row>
    <row r="1038" customFormat="false" ht="72" hidden="false" customHeight="true" outlineLevel="0" collapsed="false">
      <c r="C1038" s="26" t="s">
        <v>958</v>
      </c>
      <c r="M1038" s="23"/>
      <c r="N1038" s="23"/>
      <c r="O1038" s="23"/>
    </row>
    <row r="1039" customFormat="false" ht="15" hidden="false" customHeight="true" outlineLevel="0" collapsed="false">
      <c r="C1039" s="27" t="s">
        <v>731</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381.6</v>
      </c>
      <c r="K1040" s="31" t="n">
        <f aca="false">ROUND(I1040*J1040,2)</f>
        <v>381.6</v>
      </c>
      <c r="L1040" s="33" t="s">
        <v>212</v>
      </c>
      <c r="M1040" s="23" t="s">
        <v>123</v>
      </c>
      <c r="N1040" s="23" t="s">
        <v>54</v>
      </c>
      <c r="O1040" s="23" t="s">
        <v>948</v>
      </c>
    </row>
    <row r="1041" customFormat="false" ht="15" hidden="false" customHeight="true" outlineLevel="0" collapsed="false">
      <c r="A1041" s="3" t="s">
        <v>959</v>
      </c>
      <c r="B1041" s="3" t="s">
        <v>642</v>
      </c>
      <c r="C1041" s="3" t="s">
        <v>960</v>
      </c>
      <c r="M1041" s="23"/>
      <c r="N1041" s="23"/>
      <c r="O1041" s="23"/>
    </row>
    <row r="1042" customFormat="false" ht="12" hidden="false" customHeight="true" outlineLevel="0" collapsed="false">
      <c r="C1042" s="26" t="s">
        <v>961</v>
      </c>
      <c r="M1042" s="23"/>
      <c r="N1042" s="23"/>
      <c r="O1042" s="23"/>
    </row>
    <row r="1043" customFormat="false" ht="15" hidden="false" customHeight="true" outlineLevel="0" collapsed="false">
      <c r="C1043" s="27" t="s">
        <v>731</v>
      </c>
      <c r="D1043" s="28" t="n">
        <v>100</v>
      </c>
      <c r="H1043" s="29" t="n">
        <f aca="false">IF(COUNT(D1043:G1043)=0,0,D1043*IF(E1043="",1,E1043)*IF(F1043="",1,F1043)*IF(G1043="",1,G1043))</f>
        <v>100</v>
      </c>
      <c r="M1043" s="23"/>
      <c r="N1043" s="23"/>
      <c r="O1043" s="23"/>
    </row>
    <row r="1044" customFormat="false" ht="15" hidden="false" customHeight="true" outlineLevel="0" collapsed="false">
      <c r="H1044" s="30"/>
      <c r="I1044" s="31" t="n">
        <f aca="false">ROUND(SUM(H1043:H1043),2)</f>
        <v>100</v>
      </c>
      <c r="J1044" s="32" t="n">
        <v>2.12</v>
      </c>
      <c r="K1044" s="31" t="n">
        <f aca="false">ROUND(I1044*J1044,2)</f>
        <v>212</v>
      </c>
      <c r="L1044" s="33" t="s">
        <v>212</v>
      </c>
      <c r="M1044" s="23" t="s">
        <v>123</v>
      </c>
      <c r="N1044" s="23" t="s">
        <v>54</v>
      </c>
      <c r="O1044" s="23" t="s">
        <v>948</v>
      </c>
    </row>
    <row r="1045" customFormat="false" ht="15" hidden="false" customHeight="true" outlineLevel="0" collapsed="false">
      <c r="A1045" s="3" t="s">
        <v>962</v>
      </c>
      <c r="B1045" s="3" t="s">
        <v>635</v>
      </c>
      <c r="C1045" s="3" t="s">
        <v>963</v>
      </c>
      <c r="M1045" s="23"/>
      <c r="N1045" s="23"/>
      <c r="O1045" s="23"/>
    </row>
    <row r="1046" customFormat="false" ht="12" hidden="false" customHeight="true" outlineLevel="0" collapsed="false">
      <c r="C1046" s="26" t="s">
        <v>964</v>
      </c>
      <c r="M1046" s="23"/>
      <c r="N1046" s="23"/>
      <c r="O1046" s="23"/>
    </row>
    <row r="1047" customFormat="false" ht="15" hidden="false" customHeight="true" outlineLevel="0" collapsed="false">
      <c r="C1047" s="27" t="s">
        <v>731</v>
      </c>
      <c r="D1047" s="28" t="n">
        <v>1</v>
      </c>
      <c r="H1047" s="29" t="n">
        <f aca="false">IF(COUNT(D1047:G1047)=0,0,D1047*IF(E1047="",1,E1047)*IF(F1047="",1,F1047)*IF(G1047="",1,G1047))</f>
        <v>1</v>
      </c>
      <c r="M1047" s="23"/>
      <c r="N1047" s="23"/>
      <c r="O1047" s="23"/>
    </row>
    <row r="1048" customFormat="false" ht="15" hidden="false" customHeight="true" outlineLevel="0" collapsed="false">
      <c r="H1048" s="30"/>
      <c r="I1048" s="31" t="n">
        <f aca="false">ROUND(SUM(H1047:H1047),2)</f>
        <v>1</v>
      </c>
      <c r="J1048" s="32" t="n">
        <v>127.2</v>
      </c>
      <c r="K1048" s="31" t="n">
        <f aca="false">ROUND(I1048*J1048,2)</f>
        <v>127.2</v>
      </c>
      <c r="L1048" s="33" t="s">
        <v>212</v>
      </c>
      <c r="M1048" s="23" t="s">
        <v>123</v>
      </c>
      <c r="N1048" s="23" t="s">
        <v>54</v>
      </c>
      <c r="O1048" s="23" t="s">
        <v>948</v>
      </c>
    </row>
    <row r="1049" customFormat="false" ht="15" hidden="false" customHeight="true" outlineLevel="0" collapsed="false">
      <c r="A1049" s="3" t="s">
        <v>965</v>
      </c>
      <c r="B1049" s="3" t="s">
        <v>635</v>
      </c>
      <c r="C1049" s="3" t="s">
        <v>966</v>
      </c>
      <c r="M1049" s="23"/>
      <c r="N1049" s="23"/>
      <c r="O1049" s="23"/>
    </row>
    <row r="1050" customFormat="false" ht="48" hidden="false" customHeight="true" outlineLevel="0" collapsed="false">
      <c r="C1050" s="26" t="s">
        <v>967</v>
      </c>
      <c r="M1050" s="23"/>
      <c r="N1050" s="23"/>
      <c r="O1050" s="23"/>
    </row>
    <row r="1051" customFormat="false" ht="15" hidden="false" customHeight="true" outlineLevel="0" collapsed="false">
      <c r="C1051" s="27" t="s">
        <v>731</v>
      </c>
      <c r="D1051" s="28" t="n">
        <v>3</v>
      </c>
      <c r="H1051" s="29" t="n">
        <f aca="false">IF(COUNT(D1051:G1051)=0,0,D1051*IF(E1051="",1,E1051)*IF(F1051="",1,F1051)*IF(G1051="",1,G1051))</f>
        <v>3</v>
      </c>
      <c r="M1051" s="23"/>
      <c r="N1051" s="23"/>
      <c r="O1051" s="23"/>
    </row>
    <row r="1052" customFormat="false" ht="15" hidden="false" customHeight="true" outlineLevel="0" collapsed="false">
      <c r="H1052" s="30"/>
      <c r="I1052" s="31" t="n">
        <f aca="false">ROUND(SUM(H1051:H1051),2)</f>
        <v>3</v>
      </c>
      <c r="J1052" s="32" t="n">
        <v>16.15</v>
      </c>
      <c r="K1052" s="31" t="n">
        <f aca="false">ROUND(I1052*J1052,2)</f>
        <v>48.45</v>
      </c>
      <c r="L1052" s="33" t="s">
        <v>212</v>
      </c>
      <c r="M1052" s="23" t="s">
        <v>123</v>
      </c>
      <c r="N1052" s="23" t="s">
        <v>54</v>
      </c>
      <c r="O1052" s="23" t="s">
        <v>948</v>
      </c>
    </row>
    <row r="1053" customFormat="false" ht="15" hidden="false" customHeight="true" outlineLevel="0" collapsed="false">
      <c r="A1053" s="3" t="s">
        <v>968</v>
      </c>
      <c r="B1053" s="3" t="s">
        <v>635</v>
      </c>
      <c r="C1053" s="3" t="s">
        <v>969</v>
      </c>
      <c r="M1053" s="23"/>
      <c r="N1053" s="23"/>
      <c r="O1053" s="23"/>
    </row>
    <row r="1054" customFormat="false" ht="120" hidden="false" customHeight="true" outlineLevel="0" collapsed="false">
      <c r="C1054" s="26" t="s">
        <v>970</v>
      </c>
      <c r="M1054" s="23"/>
      <c r="N1054" s="23"/>
      <c r="O1054" s="23"/>
    </row>
    <row r="1055" customFormat="false" ht="15" hidden="false" customHeight="true" outlineLevel="0" collapsed="false">
      <c r="C1055" s="27" t="s">
        <v>731</v>
      </c>
      <c r="D1055" s="28" t="n">
        <v>1</v>
      </c>
      <c r="H1055" s="29" t="n">
        <f aca="false">IF(COUNT(D1055:G1055)=0,0,D1055*IF(E1055="",1,E1055)*IF(F1055="",1,F1055)*IF(G1055="",1,G1055))</f>
        <v>1</v>
      </c>
      <c r="M1055" s="23"/>
      <c r="N1055" s="23"/>
      <c r="O1055" s="23"/>
    </row>
    <row r="1056" customFormat="false" ht="15" hidden="false" customHeight="true" outlineLevel="0" collapsed="false">
      <c r="H1056" s="30"/>
      <c r="I1056" s="31" t="n">
        <f aca="false">ROUND(SUM(H1055:H1055),2)</f>
        <v>1</v>
      </c>
      <c r="J1056" s="32" t="n">
        <v>614.8</v>
      </c>
      <c r="K1056" s="31" t="n">
        <f aca="false">ROUND(I1056*J1056,2)</f>
        <v>614.8</v>
      </c>
      <c r="L1056" s="33" t="s">
        <v>212</v>
      </c>
      <c r="M1056" s="23" t="s">
        <v>123</v>
      </c>
      <c r="N1056" s="23" t="s">
        <v>54</v>
      </c>
      <c r="O1056" s="23" t="s">
        <v>948</v>
      </c>
    </row>
    <row r="1057" customFormat="false" ht="15" hidden="false" customHeight="true" outlineLevel="0" collapsed="false">
      <c r="A1057" s="3" t="s">
        <v>971</v>
      </c>
      <c r="B1057" s="3" t="s">
        <v>642</v>
      </c>
      <c r="C1057" s="3" t="s">
        <v>972</v>
      </c>
      <c r="M1057" s="23"/>
      <c r="N1057" s="23"/>
      <c r="O1057" s="23"/>
    </row>
    <row r="1058" customFormat="false" ht="48" hidden="false" customHeight="true" outlineLevel="0" collapsed="false">
      <c r="C1058" s="26" t="s">
        <v>973</v>
      </c>
      <c r="M1058" s="23"/>
      <c r="N1058" s="23"/>
      <c r="O1058" s="23"/>
    </row>
    <row r="1059" customFormat="false" ht="15" hidden="false" customHeight="true" outlineLevel="0" collapsed="false">
      <c r="C1059" s="27" t="s">
        <v>731</v>
      </c>
      <c r="D1059" s="28" t="n">
        <v>35</v>
      </c>
      <c r="H1059" s="29" t="n">
        <f aca="false">IF(COUNT(D1059:G1059)=0,0,D1059*IF(E1059="",1,E1059)*IF(F1059="",1,F1059)*IF(G1059="",1,G1059))</f>
        <v>35</v>
      </c>
      <c r="M1059" s="23"/>
      <c r="N1059" s="23"/>
      <c r="O1059" s="23"/>
    </row>
    <row r="1060" customFormat="false" ht="15" hidden="false" customHeight="true" outlineLevel="0" collapsed="false">
      <c r="H1060" s="30"/>
      <c r="I1060" s="31" t="n">
        <f aca="false">ROUND(SUM(H1059:H1059),2)</f>
        <v>35</v>
      </c>
      <c r="J1060" s="32" t="n">
        <v>11.66</v>
      </c>
      <c r="K1060" s="31" t="n">
        <f aca="false">ROUND(I1060*J1060,2)</f>
        <v>408.1</v>
      </c>
      <c r="L1060" s="33" t="s">
        <v>212</v>
      </c>
      <c r="M1060" s="23" t="s">
        <v>123</v>
      </c>
      <c r="N1060" s="23" t="s">
        <v>54</v>
      </c>
      <c r="O1060" s="23" t="s">
        <v>948</v>
      </c>
    </row>
    <row r="1061" customFormat="false" ht="15" hidden="false" customHeight="true" outlineLevel="0" collapsed="false">
      <c r="A1061" s="3" t="s">
        <v>974</v>
      </c>
      <c r="B1061" s="3" t="s">
        <v>635</v>
      </c>
      <c r="C1061" s="3" t="s">
        <v>975</v>
      </c>
      <c r="M1061" s="23"/>
      <c r="N1061" s="23"/>
      <c r="O1061" s="23"/>
    </row>
    <row r="1062" customFormat="false" ht="84" hidden="false" customHeight="true" outlineLevel="0" collapsed="false">
      <c r="C1062" s="26" t="s">
        <v>976</v>
      </c>
      <c r="M1062" s="23"/>
      <c r="N1062" s="23"/>
      <c r="O1062" s="23"/>
    </row>
    <row r="1063" customFormat="false" ht="15" hidden="false" customHeight="true" outlineLevel="0" collapsed="false">
      <c r="C1063" s="27" t="s">
        <v>731</v>
      </c>
      <c r="D1063" s="28" t="n">
        <v>1</v>
      </c>
      <c r="H1063" s="29" t="n">
        <f aca="false">IF(COUNT(D1063:G1063)=0,0,D1063*IF(E1063="",1,E1063)*IF(F1063="",1,F1063)*IF(G1063="",1,G1063))</f>
        <v>1</v>
      </c>
      <c r="M1063" s="23"/>
      <c r="N1063" s="23"/>
      <c r="O1063" s="23"/>
    </row>
    <row r="1064" customFormat="false" ht="15" hidden="false" customHeight="true" outlineLevel="0" collapsed="false">
      <c r="H1064" s="30"/>
      <c r="I1064" s="31" t="n">
        <f aca="false">ROUND(SUM(H1063:H1063),2)</f>
        <v>1</v>
      </c>
      <c r="J1064" s="32" t="n">
        <v>148.4</v>
      </c>
      <c r="K1064" s="31" t="n">
        <f aca="false">ROUND(I1064*J1064,2)</f>
        <v>148.4</v>
      </c>
      <c r="L1064" s="33" t="s">
        <v>212</v>
      </c>
      <c r="M1064" s="23" t="s">
        <v>123</v>
      </c>
      <c r="N1064" s="23" t="s">
        <v>54</v>
      </c>
      <c r="O1064" s="23" t="s">
        <v>948</v>
      </c>
    </row>
    <row r="1065" customFormat="false" ht="15" hidden="false" customHeight="true" outlineLevel="0" collapsed="false">
      <c r="A1065" s="3" t="s">
        <v>977</v>
      </c>
      <c r="B1065" s="3" t="s">
        <v>635</v>
      </c>
      <c r="C1065" s="3" t="s">
        <v>978</v>
      </c>
      <c r="M1065" s="23"/>
      <c r="N1065" s="23"/>
      <c r="O1065" s="23"/>
    </row>
    <row r="1066" customFormat="false" ht="36" hidden="false" customHeight="true" outlineLevel="0" collapsed="false">
      <c r="C1066" s="26" t="s">
        <v>979</v>
      </c>
      <c r="M1066" s="23"/>
      <c r="N1066" s="23"/>
      <c r="O1066" s="23"/>
    </row>
    <row r="1067" customFormat="false" ht="15" hidden="false" customHeight="true" outlineLevel="0" collapsed="false">
      <c r="C1067" s="27" t="s">
        <v>980</v>
      </c>
      <c r="D1067" s="28" t="n">
        <v>7</v>
      </c>
      <c r="H1067" s="29" t="n">
        <f aca="false">IF(COUNT(D1067:G1067)=0,0,D1067*IF(E1067="",1,E1067)*IF(F1067="",1,F1067)*IF(G1067="",1,G1067))</f>
        <v>7</v>
      </c>
      <c r="M1067" s="23"/>
      <c r="N1067" s="23"/>
      <c r="O1067" s="23"/>
    </row>
    <row r="1068" customFormat="false" ht="15" hidden="false" customHeight="true" outlineLevel="0" collapsed="false">
      <c r="H1068" s="30"/>
      <c r="I1068" s="31" t="n">
        <f aca="false">ROUND(SUM(H1067:H1067),2)</f>
        <v>7</v>
      </c>
      <c r="J1068" s="32" t="n">
        <v>13.78</v>
      </c>
      <c r="K1068" s="31" t="n">
        <f aca="false">ROUND(I1068*J1068,2)</f>
        <v>96.46</v>
      </c>
      <c r="L1068" s="33" t="s">
        <v>212</v>
      </c>
      <c r="M1068" s="23" t="s">
        <v>123</v>
      </c>
      <c r="N1068" s="23" t="s">
        <v>54</v>
      </c>
      <c r="O1068" s="23" t="s">
        <v>948</v>
      </c>
    </row>
    <row r="1069" customFormat="false" ht="15" hidden="false" customHeight="true" outlineLevel="0" collapsed="false">
      <c r="C1069" s="34" t="s">
        <v>981</v>
      </c>
      <c r="K1069" s="14" t="n">
        <f aca="false">SUMIFS($K$5:$K$1068,$M$5:$M$1068,"P",$N$5:$N$1068,"16")</f>
        <v>44120.33</v>
      </c>
      <c r="M1069" s="23"/>
      <c r="N1069" s="23"/>
      <c r="O1069" s="23"/>
    </row>
    <row r="1070" customFormat="false" ht="15" hidden="false" customHeight="true" outlineLevel="0" collapsed="false">
      <c r="M1070" s="23"/>
      <c r="N1070" s="23"/>
      <c r="O1070" s="23"/>
    </row>
    <row r="1071" customFormat="false" ht="15" hidden="false" customHeight="true" outlineLevel="0" collapsed="false">
      <c r="A1071" s="24" t="s">
        <v>68</v>
      </c>
      <c r="B1071" s="25"/>
      <c r="C1071" s="24" t="s">
        <v>69</v>
      </c>
      <c r="D1071" s="25"/>
      <c r="E1071" s="25"/>
      <c r="F1071" s="25"/>
      <c r="G1071" s="25"/>
      <c r="H1071" s="25"/>
      <c r="I1071" s="25"/>
      <c r="J1071" s="25"/>
      <c r="K1071" s="25"/>
      <c r="L1071" s="25"/>
      <c r="M1071" s="23" t="s">
        <v>115</v>
      </c>
      <c r="N1071" s="23" t="s">
        <v>68</v>
      </c>
      <c r="O1071" s="23"/>
    </row>
    <row r="1072" customFormat="false" ht="15" hidden="false" customHeight="true" outlineLevel="0" collapsed="false">
      <c r="A1072" s="3" t="s">
        <v>982</v>
      </c>
      <c r="C1072" s="3" t="s">
        <v>983</v>
      </c>
      <c r="M1072" s="23" t="s">
        <v>291</v>
      </c>
      <c r="N1072" s="23" t="s">
        <v>68</v>
      </c>
      <c r="O1072" s="23" t="s">
        <v>982</v>
      </c>
    </row>
    <row r="1073" customFormat="false" ht="15" hidden="false" customHeight="true" outlineLevel="0" collapsed="false">
      <c r="A1073" s="3" t="s">
        <v>984</v>
      </c>
      <c r="B1073" s="3" t="s">
        <v>635</v>
      </c>
      <c r="C1073" s="3" t="s">
        <v>985</v>
      </c>
      <c r="M1073" s="23"/>
      <c r="N1073" s="23"/>
      <c r="O1073" s="23"/>
    </row>
    <row r="1074" customFormat="false" ht="96" hidden="false" customHeight="true" outlineLevel="0" collapsed="false">
      <c r="C1074" s="26" t="s">
        <v>986</v>
      </c>
      <c r="M1074" s="23"/>
      <c r="N1074" s="23"/>
      <c r="O1074" s="23"/>
    </row>
    <row r="1075" customFormat="false" ht="15" hidden="false" customHeight="true" outlineLevel="0" collapsed="false">
      <c r="C1075" s="27" t="s">
        <v>987</v>
      </c>
      <c r="D1075" s="28" t="n">
        <v>1</v>
      </c>
      <c r="H1075" s="29" t="n">
        <f aca="false">IF(COUNT(D1075:G1075)=0,0,D1075*IF(E1075="",1,E1075)*IF(F1075="",1,F1075)*IF(G1075="",1,G1075))</f>
        <v>1</v>
      </c>
      <c r="M1075" s="23"/>
      <c r="N1075" s="23"/>
      <c r="O1075" s="23"/>
    </row>
    <row r="1076" customFormat="false" ht="15" hidden="false" customHeight="true" outlineLevel="0" collapsed="false">
      <c r="H1076" s="30"/>
      <c r="I1076" s="31" t="n">
        <f aca="false">ROUND(SUM(H1075:H1075),2)</f>
        <v>1</v>
      </c>
      <c r="J1076" s="32" t="n">
        <v>140</v>
      </c>
      <c r="K1076" s="31" t="n">
        <f aca="false">ROUND(I1076*J1076,2)</f>
        <v>140</v>
      </c>
      <c r="L1076" s="33" t="s">
        <v>122</v>
      </c>
      <c r="M1076" s="23" t="s">
        <v>123</v>
      </c>
      <c r="N1076" s="23" t="s">
        <v>68</v>
      </c>
      <c r="O1076" s="23" t="s">
        <v>982</v>
      </c>
    </row>
    <row r="1077" customFormat="false" ht="15" hidden="false" customHeight="true" outlineLevel="0" collapsed="false">
      <c r="A1077" s="3" t="s">
        <v>988</v>
      </c>
      <c r="B1077" s="3" t="s">
        <v>635</v>
      </c>
      <c r="C1077" s="3" t="s">
        <v>989</v>
      </c>
      <c r="M1077" s="23"/>
      <c r="N1077" s="23"/>
      <c r="O1077" s="23"/>
    </row>
    <row r="1078" customFormat="false" ht="120" hidden="false" customHeight="true" outlineLevel="0" collapsed="false">
      <c r="C1078" s="26" t="s">
        <v>990</v>
      </c>
      <c r="M1078" s="23"/>
      <c r="N1078" s="23"/>
      <c r="O1078" s="23"/>
    </row>
    <row r="1079" customFormat="false" ht="15" hidden="false" customHeight="true" outlineLevel="0" collapsed="false">
      <c r="C1079" s="27" t="s">
        <v>987</v>
      </c>
      <c r="D1079" s="28" t="n">
        <v>4</v>
      </c>
      <c r="H1079" s="29" t="n">
        <f aca="false">IF(COUNT(D1079:G1079)=0,0,D1079*IF(E1079="",1,E1079)*IF(F1079="",1,F1079)*IF(G1079="",1,G1079))</f>
        <v>4</v>
      </c>
      <c r="M1079" s="23"/>
      <c r="N1079" s="23"/>
      <c r="O1079" s="23"/>
    </row>
    <row r="1080" customFormat="false" ht="15" hidden="false" customHeight="true" outlineLevel="0" collapsed="false">
      <c r="H1080" s="30"/>
      <c r="I1080" s="31" t="n">
        <f aca="false">ROUND(SUM(H1079:H1079),2)</f>
        <v>4</v>
      </c>
      <c r="J1080" s="32" t="n">
        <v>90</v>
      </c>
      <c r="K1080" s="31" t="n">
        <f aca="false">ROUND(I1080*J1080,2)</f>
        <v>360</v>
      </c>
      <c r="L1080" s="33" t="s">
        <v>122</v>
      </c>
      <c r="M1080" s="23" t="s">
        <v>123</v>
      </c>
      <c r="N1080" s="23" t="s">
        <v>68</v>
      </c>
      <c r="O1080" s="23" t="s">
        <v>982</v>
      </c>
    </row>
    <row r="1081" customFormat="false" ht="15" hidden="false" customHeight="true" outlineLevel="0" collapsed="false">
      <c r="A1081" s="3" t="s">
        <v>991</v>
      </c>
      <c r="C1081" s="3" t="s">
        <v>992</v>
      </c>
      <c r="M1081" s="23" t="s">
        <v>291</v>
      </c>
      <c r="N1081" s="23" t="s">
        <v>68</v>
      </c>
      <c r="O1081" s="23" t="s">
        <v>991</v>
      </c>
    </row>
    <row r="1082" customFormat="false" ht="15" hidden="false" customHeight="true" outlineLevel="0" collapsed="false">
      <c r="A1082" s="3" t="s">
        <v>993</v>
      </c>
      <c r="B1082" s="3" t="s">
        <v>635</v>
      </c>
      <c r="C1082" s="3" t="s">
        <v>992</v>
      </c>
      <c r="M1082" s="23"/>
      <c r="N1082" s="23"/>
      <c r="O1082" s="23"/>
    </row>
    <row r="1083" customFormat="false" ht="204" hidden="false" customHeight="true" outlineLevel="0" collapsed="false">
      <c r="C1083" s="26" t="s">
        <v>994</v>
      </c>
      <c r="M1083" s="23"/>
      <c r="N1083" s="23"/>
      <c r="O1083" s="23"/>
    </row>
    <row r="1084" customFormat="false" ht="15" hidden="false" customHeight="true" outlineLevel="0" collapsed="false">
      <c r="C1084" s="27" t="s">
        <v>987</v>
      </c>
      <c r="D1084" s="28" t="n">
        <v>1</v>
      </c>
      <c r="H1084" s="29" t="n">
        <f aca="false">IF(COUNT(D1084:G1084)=0,0,D1084*IF(E1084="",1,E1084)*IF(F1084="",1,F1084)*IF(G1084="",1,G1084))</f>
        <v>1</v>
      </c>
      <c r="M1084" s="23"/>
      <c r="N1084" s="23"/>
      <c r="O1084" s="23"/>
    </row>
    <row r="1085" customFormat="false" ht="15" hidden="false" customHeight="true" outlineLevel="0" collapsed="false">
      <c r="H1085" s="30"/>
      <c r="I1085" s="31" t="n">
        <f aca="false">ROUND(SUM(H1084:H1084),2)</f>
        <v>1</v>
      </c>
      <c r="J1085" s="32" t="n">
        <v>1024.5</v>
      </c>
      <c r="K1085" s="31" t="n">
        <f aca="false">ROUND(I1085*J1085,2)</f>
        <v>1024.5</v>
      </c>
      <c r="L1085" s="33" t="s">
        <v>122</v>
      </c>
      <c r="M1085" s="23" t="s">
        <v>123</v>
      </c>
      <c r="N1085" s="23" t="s">
        <v>68</v>
      </c>
      <c r="O1085" s="23" t="s">
        <v>991</v>
      </c>
    </row>
    <row r="1086" customFormat="false" ht="15" hidden="false" customHeight="true" outlineLevel="0" collapsed="false">
      <c r="C1086" s="34" t="s">
        <v>995</v>
      </c>
      <c r="K1086" s="14" t="n">
        <f aca="false">SUMIFS($K$5:$K$1085,$M$5:$M$1085,"P",$N$5:$N$1085,"18")</f>
        <v>1524.5</v>
      </c>
      <c r="M1086" s="23"/>
      <c r="N1086" s="23"/>
      <c r="O1086" s="23"/>
    </row>
    <row r="1087" customFormat="false" ht="15" hidden="false" customHeight="true" outlineLevel="0" collapsed="false">
      <c r="M1087" s="23"/>
      <c r="N1087" s="23"/>
      <c r="O1087" s="23"/>
    </row>
    <row r="1088" customFormat="false" ht="15" hidden="false" customHeight="true" outlineLevel="0" collapsed="false">
      <c r="A1088" s="24" t="s">
        <v>74</v>
      </c>
      <c r="B1088" s="25"/>
      <c r="C1088" s="24" t="s">
        <v>14</v>
      </c>
      <c r="D1088" s="25"/>
      <c r="E1088" s="25"/>
      <c r="F1088" s="25"/>
      <c r="G1088" s="25"/>
      <c r="H1088" s="25"/>
      <c r="I1088" s="25"/>
      <c r="J1088" s="25"/>
      <c r="K1088" s="25"/>
      <c r="L1088" s="25"/>
      <c r="M1088" s="23" t="s">
        <v>115</v>
      </c>
      <c r="N1088" s="23" t="s">
        <v>74</v>
      </c>
      <c r="O1088" s="23"/>
    </row>
    <row r="1089" customFormat="false" ht="15" hidden="false" customHeight="true" outlineLevel="0" collapsed="false">
      <c r="A1089" s="3" t="s">
        <v>996</v>
      </c>
      <c r="B1089" s="3" t="s">
        <v>103</v>
      </c>
      <c r="C1089" s="3" t="s">
        <v>997</v>
      </c>
      <c r="M1089" s="23"/>
      <c r="N1089" s="23"/>
      <c r="O1089" s="23"/>
    </row>
    <row r="1090" customFormat="false" ht="132" hidden="false" customHeight="true" outlineLevel="0" collapsed="false">
      <c r="C1090" s="26" t="s">
        <v>998</v>
      </c>
      <c r="M1090" s="23"/>
      <c r="N1090" s="23"/>
      <c r="O1090" s="23"/>
    </row>
    <row r="1091" customFormat="false" ht="15" hidden="false" customHeight="true" outlineLevel="0" collapsed="false">
      <c r="C1091" s="27" t="s">
        <v>987</v>
      </c>
      <c r="D1091" s="28" t="n">
        <v>4</v>
      </c>
      <c r="H1091" s="29" t="n">
        <f aca="false">IF(COUNT(D1091:G1091)=0,0,D1091*IF(E1091="",1,E1091)*IF(F1091="",1,F1091)*IF(G1091="",1,G1091))</f>
        <v>4</v>
      </c>
      <c r="M1091" s="23"/>
      <c r="N1091" s="23"/>
      <c r="O1091" s="23"/>
    </row>
    <row r="1092" customFormat="false" ht="15" hidden="false" customHeight="true" outlineLevel="0" collapsed="false">
      <c r="H1092" s="30"/>
      <c r="I1092" s="31" t="n">
        <f aca="false">ROUND(SUM(H1091:H1091),2)</f>
        <v>4</v>
      </c>
      <c r="J1092" s="32" t="n">
        <v>152.78</v>
      </c>
      <c r="K1092" s="31" t="n">
        <f aca="false">ROUND(I1092*J1092,2)</f>
        <v>611.12</v>
      </c>
      <c r="L1092" s="33" t="s">
        <v>122</v>
      </c>
      <c r="M1092" s="23" t="s">
        <v>123</v>
      </c>
      <c r="N1092" s="23" t="s">
        <v>74</v>
      </c>
      <c r="O1092" s="23"/>
    </row>
    <row r="1093" customFormat="false" ht="15" hidden="false" customHeight="true" outlineLevel="0" collapsed="false">
      <c r="A1093" s="3" t="s">
        <v>999</v>
      </c>
      <c r="B1093" s="3" t="s">
        <v>103</v>
      </c>
      <c r="C1093" s="3" t="s">
        <v>1000</v>
      </c>
      <c r="M1093" s="23"/>
      <c r="N1093" s="23"/>
      <c r="O1093" s="23"/>
    </row>
    <row r="1094" customFormat="false" ht="132" hidden="false" customHeight="true" outlineLevel="0" collapsed="false">
      <c r="C1094" s="26" t="s">
        <v>1001</v>
      </c>
      <c r="M1094" s="23"/>
      <c r="N1094" s="23"/>
      <c r="O1094" s="23"/>
    </row>
    <row r="1095" customFormat="false" ht="15" hidden="false" customHeight="true" outlineLevel="0" collapsed="false">
      <c r="C1095" s="27" t="s">
        <v>987</v>
      </c>
      <c r="D1095" s="28" t="n">
        <v>8</v>
      </c>
      <c r="H1095" s="29" t="n">
        <f aca="false">IF(COUNT(D1095:G1095)=0,0,D1095*IF(E1095="",1,E1095)*IF(F1095="",1,F1095)*IF(G1095="",1,G1095))</f>
        <v>8</v>
      </c>
      <c r="M1095" s="23"/>
      <c r="N1095" s="23"/>
      <c r="O1095" s="23"/>
    </row>
    <row r="1096" customFormat="false" ht="15" hidden="false" customHeight="true" outlineLevel="0" collapsed="false">
      <c r="H1096" s="30"/>
      <c r="I1096" s="31" t="n">
        <f aca="false">ROUND(SUM(H1095:H1095),2)</f>
        <v>8</v>
      </c>
      <c r="J1096" s="32" t="n">
        <v>152.78</v>
      </c>
      <c r="K1096" s="31" t="n">
        <f aca="false">ROUND(I1096*J1096,2)</f>
        <v>1222.24</v>
      </c>
      <c r="L1096" s="33" t="s">
        <v>122</v>
      </c>
      <c r="M1096" s="23" t="s">
        <v>123</v>
      </c>
      <c r="N1096" s="23" t="s">
        <v>74</v>
      </c>
      <c r="O1096" s="23"/>
    </row>
    <row r="1097" customFormat="false" ht="15" hidden="false" customHeight="true" outlineLevel="0" collapsed="false">
      <c r="A1097" s="3" t="s">
        <v>1002</v>
      </c>
      <c r="B1097" s="3" t="s">
        <v>103</v>
      </c>
      <c r="C1097" s="3" t="s">
        <v>1003</v>
      </c>
      <c r="M1097" s="23"/>
      <c r="N1097" s="23"/>
      <c r="O1097" s="23"/>
    </row>
    <row r="1098" customFormat="false" ht="120" hidden="false" customHeight="true" outlineLevel="0" collapsed="false">
      <c r="C1098" s="26" t="s">
        <v>1004</v>
      </c>
      <c r="M1098" s="23"/>
      <c r="N1098" s="23"/>
      <c r="O1098" s="23"/>
    </row>
    <row r="1099" customFormat="false" ht="15" hidden="false" customHeight="true" outlineLevel="0" collapsed="false">
      <c r="C1099" s="27" t="s">
        <v>987</v>
      </c>
      <c r="D1099" s="28" t="n">
        <v>1</v>
      </c>
      <c r="H1099" s="29" t="n">
        <f aca="false">IF(COUNT(D1099:G1099)=0,0,D1099*IF(E1099="",1,E1099)*IF(F1099="",1,F1099)*IF(G1099="",1,G1099))</f>
        <v>1</v>
      </c>
      <c r="M1099" s="23"/>
      <c r="N1099" s="23"/>
      <c r="O1099" s="23"/>
    </row>
    <row r="1100" customFormat="false" ht="15" hidden="false" customHeight="true" outlineLevel="0" collapsed="false">
      <c r="H1100" s="30"/>
      <c r="I1100" s="31" t="n">
        <f aca="false">ROUND(SUM(H1099:H1099),2)</f>
        <v>1</v>
      </c>
      <c r="J1100" s="32" t="n">
        <v>152.78</v>
      </c>
      <c r="K1100" s="31" t="n">
        <f aca="false">ROUND(I1100*J1100,2)</f>
        <v>152.78</v>
      </c>
      <c r="L1100" s="33" t="s">
        <v>122</v>
      </c>
      <c r="M1100" s="23" t="s">
        <v>123</v>
      </c>
      <c r="N1100" s="23" t="s">
        <v>74</v>
      </c>
      <c r="O1100" s="23"/>
    </row>
    <row r="1101" customFormat="false" ht="15" hidden="false" customHeight="true" outlineLevel="0" collapsed="false">
      <c r="A1101" s="3" t="s">
        <v>1005</v>
      </c>
      <c r="B1101" s="3" t="s">
        <v>103</v>
      </c>
      <c r="C1101" s="3" t="s">
        <v>1006</v>
      </c>
      <c r="M1101" s="23"/>
      <c r="N1101" s="23"/>
      <c r="O1101" s="23"/>
    </row>
    <row r="1102" customFormat="false" ht="120" hidden="false" customHeight="true" outlineLevel="0" collapsed="false">
      <c r="C1102" s="26" t="s">
        <v>1007</v>
      </c>
      <c r="M1102" s="23"/>
      <c r="N1102" s="23"/>
      <c r="O1102" s="23"/>
    </row>
    <row r="1103" customFormat="false" ht="15" hidden="false" customHeight="true" outlineLevel="0" collapsed="false">
      <c r="C1103" s="27" t="s">
        <v>987</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1008</v>
      </c>
      <c r="B1105" s="3" t="s">
        <v>103</v>
      </c>
      <c r="C1105" s="3" t="s">
        <v>1009</v>
      </c>
      <c r="M1105" s="23"/>
      <c r="N1105" s="23"/>
      <c r="O1105" s="23"/>
    </row>
    <row r="1106" customFormat="false" ht="120" hidden="false" customHeight="true" outlineLevel="0" collapsed="false">
      <c r="C1106" s="26" t="s">
        <v>1010</v>
      </c>
      <c r="M1106" s="23"/>
      <c r="N1106" s="23"/>
      <c r="O1106" s="23"/>
    </row>
    <row r="1107" customFormat="false" ht="15" hidden="false" customHeight="true" outlineLevel="0" collapsed="false">
      <c r="C1107" s="27" t="s">
        <v>987</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1011</v>
      </c>
      <c r="B1109" s="3" t="s">
        <v>103</v>
      </c>
      <c r="C1109" s="3" t="s">
        <v>1012</v>
      </c>
      <c r="M1109" s="23"/>
      <c r="N1109" s="23"/>
      <c r="O1109" s="23"/>
    </row>
    <row r="1110" customFormat="false" ht="120" hidden="false" customHeight="true" outlineLevel="0" collapsed="false">
      <c r="C1110" s="26" t="s">
        <v>1013</v>
      </c>
      <c r="M1110" s="23"/>
      <c r="N1110" s="23"/>
      <c r="O1110" s="23"/>
    </row>
    <row r="1111" customFormat="false" ht="15" hidden="false" customHeight="true" outlineLevel="0" collapsed="false">
      <c r="C1111" s="27" t="s">
        <v>987</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1014</v>
      </c>
      <c r="B1113" s="3" t="s">
        <v>103</v>
      </c>
      <c r="C1113" s="3" t="s">
        <v>1015</v>
      </c>
      <c r="M1113" s="23"/>
      <c r="N1113" s="23"/>
      <c r="O1113" s="23"/>
    </row>
    <row r="1114" customFormat="false" ht="120" hidden="false" customHeight="true" outlineLevel="0" collapsed="false">
      <c r="C1114" s="26" t="s">
        <v>1016</v>
      </c>
      <c r="M1114" s="23"/>
      <c r="N1114" s="23"/>
      <c r="O1114" s="23"/>
    </row>
    <row r="1115" customFormat="false" ht="15" hidden="false" customHeight="true" outlineLevel="0" collapsed="false">
      <c r="C1115" s="27" t="s">
        <v>987</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1017</v>
      </c>
      <c r="B1117" s="3" t="s">
        <v>103</v>
      </c>
      <c r="C1117" s="3" t="s">
        <v>1018</v>
      </c>
      <c r="M1117" s="23"/>
      <c r="N1117" s="23"/>
      <c r="O1117" s="23"/>
    </row>
    <row r="1118" customFormat="false" ht="108" hidden="false" customHeight="true" outlineLevel="0" collapsed="false">
      <c r="C1118" s="26" t="s">
        <v>1019</v>
      </c>
      <c r="M1118" s="23"/>
      <c r="N1118" s="23"/>
      <c r="O1118" s="23"/>
    </row>
    <row r="1119" customFormat="false" ht="15" hidden="false" customHeight="true" outlineLevel="0" collapsed="false">
      <c r="C1119" s="27" t="s">
        <v>987</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C1121" s="34" t="s">
        <v>1020</v>
      </c>
      <c r="K1121" s="14" t="n">
        <f aca="false">SUMIFS($K$5:$K$1120,$M$5:$M$1120,"P",$N$5:$N$1120,"19")</f>
        <v>2750.04</v>
      </c>
      <c r="M1121" s="23"/>
      <c r="N1121" s="23"/>
      <c r="O1121" s="23"/>
    </row>
    <row r="1122" customFormat="false" ht="15" hidden="false" customHeight="true" outlineLevel="0" collapsed="false">
      <c r="M1122" s="23"/>
      <c r="N1122" s="23"/>
      <c r="O1122" s="23"/>
    </row>
    <row r="1123" customFormat="false" ht="15" hidden="false" customHeight="true" outlineLevel="0" collapsed="false">
      <c r="A1123" s="24" t="s">
        <v>75</v>
      </c>
      <c r="B1123" s="25"/>
      <c r="C1123" s="24" t="s">
        <v>16</v>
      </c>
      <c r="D1123" s="25"/>
      <c r="E1123" s="25"/>
      <c r="F1123" s="25"/>
      <c r="G1123" s="25"/>
      <c r="H1123" s="25"/>
      <c r="I1123" s="25"/>
      <c r="J1123" s="25"/>
      <c r="K1123" s="25"/>
      <c r="L1123" s="25"/>
      <c r="M1123" s="23" t="s">
        <v>115</v>
      </c>
      <c r="N1123" s="23" t="s">
        <v>75</v>
      </c>
      <c r="O1123" s="23"/>
    </row>
    <row r="1124" customFormat="false" ht="15" hidden="false" customHeight="true" outlineLevel="0" collapsed="false">
      <c r="A1124" s="3" t="s">
        <v>1021</v>
      </c>
      <c r="C1124" s="3" t="s">
        <v>1022</v>
      </c>
      <c r="M1124" s="23" t="s">
        <v>291</v>
      </c>
      <c r="N1124" s="23" t="s">
        <v>75</v>
      </c>
      <c r="O1124" s="23" t="s">
        <v>1021</v>
      </c>
    </row>
    <row r="1125" customFormat="false" ht="15" hidden="false" customHeight="true" outlineLevel="0" collapsed="false">
      <c r="A1125" s="3" t="s">
        <v>1023</v>
      </c>
      <c r="B1125" s="3" t="s">
        <v>1024</v>
      </c>
      <c r="C1125" s="3" t="s">
        <v>1025</v>
      </c>
      <c r="M1125" s="23"/>
      <c r="N1125" s="23"/>
      <c r="O1125" s="23"/>
    </row>
    <row r="1126" customFormat="false" ht="48" hidden="false" customHeight="true" outlineLevel="0" collapsed="false">
      <c r="C1126" s="26" t="s">
        <v>1026</v>
      </c>
      <c r="M1126" s="23"/>
      <c r="N1126" s="23"/>
      <c r="O1126" s="23"/>
    </row>
    <row r="1127" customFormat="false" ht="15" hidden="false" customHeight="true" outlineLevel="0" collapsed="false">
      <c r="C1127" s="27" t="s">
        <v>987</v>
      </c>
      <c r="D1127" s="28" t="n">
        <v>156</v>
      </c>
      <c r="H1127" s="29" t="n">
        <f aca="false">IF(COUNT(D1127:G1127)=0,0,D1127*IF(E1127="",1,E1127)*IF(F1127="",1,F1127)*IF(G1127="",1,G1127))</f>
        <v>156</v>
      </c>
      <c r="M1127" s="23"/>
      <c r="N1127" s="23"/>
      <c r="O1127" s="23"/>
    </row>
    <row r="1128" customFormat="false" ht="15" hidden="false" customHeight="true" outlineLevel="0" collapsed="false">
      <c r="H1128" s="30"/>
      <c r="I1128" s="31" t="n">
        <f aca="false">ROUND(SUM(H1127:H1127),2)</f>
        <v>156</v>
      </c>
      <c r="J1128" s="32" t="n">
        <v>15.41</v>
      </c>
      <c r="K1128" s="31" t="n">
        <f aca="false">ROUND(I1128*J1128,2)</f>
        <v>2403.96</v>
      </c>
      <c r="L1128" s="33" t="s">
        <v>122</v>
      </c>
      <c r="M1128" s="23" t="s">
        <v>123</v>
      </c>
      <c r="N1128" s="23" t="s">
        <v>75</v>
      </c>
      <c r="O1128" s="23" t="s">
        <v>1021</v>
      </c>
    </row>
    <row r="1129" customFormat="false" ht="15" hidden="false" customHeight="true" outlineLevel="0" collapsed="false">
      <c r="A1129" s="3" t="s">
        <v>1027</v>
      </c>
      <c r="B1129" s="3" t="s">
        <v>642</v>
      </c>
      <c r="C1129" s="3" t="s">
        <v>1028</v>
      </c>
      <c r="M1129" s="23"/>
      <c r="N1129" s="23"/>
      <c r="O1129" s="23"/>
    </row>
    <row r="1130" customFormat="false" ht="84" hidden="false" customHeight="true" outlineLevel="0" collapsed="false">
      <c r="C1130" s="26" t="s">
        <v>1029</v>
      </c>
      <c r="M1130" s="23"/>
      <c r="N1130" s="23"/>
      <c r="O1130" s="23"/>
    </row>
    <row r="1131" customFormat="false" ht="15" hidden="false" customHeight="true" outlineLevel="0" collapsed="false">
      <c r="C1131" s="27" t="s">
        <v>987</v>
      </c>
      <c r="D1131" s="28" t="n">
        <v>25</v>
      </c>
      <c r="H1131" s="29" t="n">
        <f aca="false">IF(COUNT(D1131:G1131)=0,0,D1131*IF(E1131="",1,E1131)*IF(F1131="",1,F1131)*IF(G1131="",1,G1131))</f>
        <v>25</v>
      </c>
      <c r="M1131" s="23"/>
      <c r="N1131" s="23"/>
      <c r="O1131" s="23"/>
    </row>
    <row r="1132" customFormat="false" ht="15" hidden="false" customHeight="true" outlineLevel="0" collapsed="false">
      <c r="H1132" s="30"/>
      <c r="I1132" s="31" t="n">
        <f aca="false">ROUND(SUM(H1131:H1131),2)</f>
        <v>25</v>
      </c>
      <c r="J1132" s="32" t="n">
        <v>11.84</v>
      </c>
      <c r="K1132" s="31" t="n">
        <f aca="false">ROUND(I1132*J1132,2)</f>
        <v>296</v>
      </c>
      <c r="L1132" s="33" t="s">
        <v>122</v>
      </c>
      <c r="M1132" s="23" t="s">
        <v>123</v>
      </c>
      <c r="N1132" s="23" t="s">
        <v>75</v>
      </c>
      <c r="O1132" s="23" t="s">
        <v>1021</v>
      </c>
    </row>
    <row r="1133" customFormat="false" ht="15" hidden="false" customHeight="true" outlineLevel="0" collapsed="false">
      <c r="A1133" s="3" t="s">
        <v>1030</v>
      </c>
      <c r="B1133" s="3" t="s">
        <v>642</v>
      </c>
      <c r="C1133" s="3" t="s">
        <v>1031</v>
      </c>
      <c r="M1133" s="23"/>
      <c r="N1133" s="23"/>
      <c r="O1133" s="23"/>
    </row>
    <row r="1134" customFormat="false" ht="84" hidden="false" customHeight="true" outlineLevel="0" collapsed="false">
      <c r="C1134" s="26" t="s">
        <v>1032</v>
      </c>
      <c r="M1134" s="23"/>
      <c r="N1134" s="23"/>
      <c r="O1134" s="23"/>
    </row>
    <row r="1135" customFormat="false" ht="15" hidden="false" customHeight="true" outlineLevel="0" collapsed="false">
      <c r="C1135" s="27" t="s">
        <v>987</v>
      </c>
      <c r="D1135" s="28" t="n">
        <v>10</v>
      </c>
      <c r="H1135" s="29" t="n">
        <f aca="false">IF(COUNT(D1135:G1135)=0,0,D1135*IF(E1135="",1,E1135)*IF(F1135="",1,F1135)*IF(G1135="",1,G1135))</f>
        <v>10</v>
      </c>
      <c r="M1135" s="23"/>
      <c r="N1135" s="23"/>
      <c r="O1135" s="23"/>
    </row>
    <row r="1136" customFormat="false" ht="15" hidden="false" customHeight="true" outlineLevel="0" collapsed="false">
      <c r="H1136" s="30"/>
      <c r="I1136" s="31" t="n">
        <f aca="false">ROUND(SUM(H1135:H1135),2)</f>
        <v>10</v>
      </c>
      <c r="J1136" s="32" t="n">
        <v>8.68</v>
      </c>
      <c r="K1136" s="31" t="n">
        <f aca="false">ROUND(I1136*J1136,2)</f>
        <v>86.8</v>
      </c>
      <c r="L1136" s="33" t="s">
        <v>122</v>
      </c>
      <c r="M1136" s="23" t="s">
        <v>123</v>
      </c>
      <c r="N1136" s="23" t="s">
        <v>75</v>
      </c>
      <c r="O1136" s="23" t="s">
        <v>1021</v>
      </c>
    </row>
    <row r="1137" customFormat="false" ht="15" hidden="false" customHeight="true" outlineLevel="0" collapsed="false">
      <c r="A1137" s="3" t="s">
        <v>1033</v>
      </c>
      <c r="B1137" s="3" t="s">
        <v>642</v>
      </c>
      <c r="C1137" s="3" t="s">
        <v>1034</v>
      </c>
      <c r="M1137" s="23"/>
      <c r="N1137" s="23"/>
      <c r="O1137" s="23"/>
    </row>
    <row r="1138" customFormat="false" ht="72" hidden="false" customHeight="true" outlineLevel="0" collapsed="false">
      <c r="C1138" s="26" t="s">
        <v>1035</v>
      </c>
      <c r="M1138" s="23"/>
      <c r="N1138" s="23"/>
      <c r="O1138" s="23"/>
    </row>
    <row r="1139" customFormat="false" ht="15" hidden="false" customHeight="true" outlineLevel="0" collapsed="false">
      <c r="C1139" s="27" t="s">
        <v>987</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6.31</v>
      </c>
      <c r="K1140" s="31" t="n">
        <f aca="false">ROUND(I1140*J1140,2)</f>
        <v>63.1</v>
      </c>
      <c r="L1140" s="33" t="s">
        <v>122</v>
      </c>
      <c r="M1140" s="23" t="s">
        <v>123</v>
      </c>
      <c r="N1140" s="23" t="s">
        <v>75</v>
      </c>
      <c r="O1140" s="23" t="s">
        <v>1021</v>
      </c>
    </row>
    <row r="1141" customFormat="false" ht="15" hidden="false" customHeight="true" outlineLevel="0" collapsed="false">
      <c r="A1141" s="3" t="s">
        <v>1036</v>
      </c>
      <c r="B1141" s="3" t="s">
        <v>635</v>
      </c>
      <c r="C1141" s="3" t="s">
        <v>1037</v>
      </c>
      <c r="M1141" s="23"/>
      <c r="N1141" s="23"/>
      <c r="O1141" s="23"/>
    </row>
    <row r="1142" customFormat="false" ht="108" hidden="false" customHeight="true" outlineLevel="0" collapsed="false">
      <c r="C1142" s="26" t="s">
        <v>1038</v>
      </c>
      <c r="M1142" s="23"/>
      <c r="N1142" s="23"/>
      <c r="O1142" s="23"/>
    </row>
    <row r="1143" customFormat="false" ht="15" hidden="false" customHeight="true" outlineLevel="0" collapsed="false">
      <c r="C1143" s="27" t="s">
        <v>987</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11.84</v>
      </c>
      <c r="K1144" s="31" t="n">
        <f aca="false">ROUND(I1144*J1144,2)</f>
        <v>118.4</v>
      </c>
      <c r="L1144" s="33" t="s">
        <v>122</v>
      </c>
      <c r="M1144" s="23" t="s">
        <v>123</v>
      </c>
      <c r="N1144" s="23" t="s">
        <v>75</v>
      </c>
      <c r="O1144" s="23" t="s">
        <v>1021</v>
      </c>
    </row>
    <row r="1145" customFormat="false" ht="15" hidden="false" customHeight="true" outlineLevel="0" collapsed="false">
      <c r="A1145" s="3" t="s">
        <v>1039</v>
      </c>
      <c r="B1145" s="3" t="s">
        <v>642</v>
      </c>
      <c r="C1145" s="3" t="s">
        <v>1040</v>
      </c>
      <c r="M1145" s="23"/>
      <c r="N1145" s="23"/>
      <c r="O1145" s="23"/>
    </row>
    <row r="1146" customFormat="false" ht="144" hidden="false" customHeight="true" outlineLevel="0" collapsed="false">
      <c r="C1146" s="26" t="s">
        <v>1041</v>
      </c>
      <c r="M1146" s="23"/>
      <c r="N1146" s="23"/>
      <c r="O1146" s="23"/>
    </row>
    <row r="1147" customFormat="false" ht="15" hidden="false" customHeight="true" outlineLevel="0" collapsed="false">
      <c r="C1147" s="27" t="s">
        <v>987</v>
      </c>
      <c r="D1147" s="28" t="n">
        <v>5</v>
      </c>
      <c r="H1147" s="29" t="n">
        <f aca="false">IF(COUNT(D1147:G1147)=0,0,D1147*IF(E1147="",1,E1147)*IF(F1147="",1,F1147)*IF(G1147="",1,G1147))</f>
        <v>5</v>
      </c>
      <c r="M1147" s="23"/>
      <c r="N1147" s="23"/>
      <c r="O1147" s="23"/>
    </row>
    <row r="1148" customFormat="false" ht="15" hidden="false" customHeight="true" outlineLevel="0" collapsed="false">
      <c r="H1148" s="30"/>
      <c r="I1148" s="31" t="n">
        <f aca="false">ROUND(SUM(H1147:H1147),2)</f>
        <v>5</v>
      </c>
      <c r="J1148" s="32" t="n">
        <v>1.37</v>
      </c>
      <c r="K1148" s="31" t="n">
        <f aca="false">ROUND(I1148*J1148,2)</f>
        <v>6.85</v>
      </c>
      <c r="L1148" s="33" t="s">
        <v>122</v>
      </c>
      <c r="M1148" s="23" t="s">
        <v>123</v>
      </c>
      <c r="N1148" s="23" t="s">
        <v>75</v>
      </c>
      <c r="O1148" s="23" t="s">
        <v>1021</v>
      </c>
    </row>
    <row r="1149" customFormat="false" ht="15" hidden="false" customHeight="true" outlineLevel="0" collapsed="false">
      <c r="A1149" s="3" t="s">
        <v>1042</v>
      </c>
      <c r="B1149" s="3" t="s">
        <v>1024</v>
      </c>
      <c r="C1149" s="3" t="s">
        <v>1043</v>
      </c>
      <c r="M1149" s="23"/>
      <c r="N1149" s="23"/>
      <c r="O1149" s="23"/>
    </row>
    <row r="1150" customFormat="false" ht="84" hidden="false" customHeight="true" outlineLevel="0" collapsed="false">
      <c r="C1150" s="26" t="s">
        <v>1044</v>
      </c>
      <c r="M1150" s="23"/>
      <c r="N1150" s="23"/>
      <c r="O1150" s="23"/>
    </row>
    <row r="1151" customFormat="false" ht="15" hidden="false" customHeight="true" outlineLevel="0" collapsed="false">
      <c r="C1151" s="27" t="s">
        <v>987</v>
      </c>
      <c r="D1151" s="28" t="n">
        <v>25</v>
      </c>
      <c r="H1151" s="29" t="n">
        <f aca="false">IF(COUNT(D1151:G1151)=0,0,D1151*IF(E1151="",1,E1151)*IF(F1151="",1,F1151)*IF(G1151="",1,G1151))</f>
        <v>25</v>
      </c>
      <c r="M1151" s="23"/>
      <c r="N1151" s="23"/>
      <c r="O1151" s="23"/>
    </row>
    <row r="1152" customFormat="false" ht="15" hidden="false" customHeight="true" outlineLevel="0" collapsed="false">
      <c r="H1152" s="30"/>
      <c r="I1152" s="31" t="n">
        <f aca="false">ROUND(SUM(H1151:H1151),2)</f>
        <v>25</v>
      </c>
      <c r="J1152" s="32" t="n">
        <v>2.54</v>
      </c>
      <c r="K1152" s="31" t="n">
        <f aca="false">ROUND(I1152*J1152,2)</f>
        <v>63.5</v>
      </c>
      <c r="L1152" s="33" t="s">
        <v>122</v>
      </c>
      <c r="M1152" s="23" t="s">
        <v>123</v>
      </c>
      <c r="N1152" s="23" t="s">
        <v>75</v>
      </c>
      <c r="O1152" s="23" t="s">
        <v>1021</v>
      </c>
    </row>
    <row r="1153" customFormat="false" ht="15" hidden="false" customHeight="true" outlineLevel="0" collapsed="false">
      <c r="A1153" s="3" t="s">
        <v>1045</v>
      </c>
      <c r="B1153" s="3" t="s">
        <v>635</v>
      </c>
      <c r="C1153" s="3" t="s">
        <v>1046</v>
      </c>
      <c r="M1153" s="23"/>
      <c r="N1153" s="23"/>
      <c r="O1153" s="23"/>
    </row>
    <row r="1154" customFormat="false" ht="48" hidden="false" customHeight="true" outlineLevel="0" collapsed="false">
      <c r="C1154" s="26" t="s">
        <v>1047</v>
      </c>
      <c r="M1154" s="23"/>
      <c r="N1154" s="23"/>
      <c r="O1154" s="23"/>
    </row>
    <row r="1155" customFormat="false" ht="15" hidden="false" customHeight="true" outlineLevel="0" collapsed="false">
      <c r="C1155" s="27" t="s">
        <v>987</v>
      </c>
      <c r="D1155" s="28" t="n">
        <v>100</v>
      </c>
      <c r="H1155" s="29" t="n">
        <f aca="false">IF(COUNT(D1155:G1155)=0,0,D1155*IF(E1155="",1,E1155)*IF(F1155="",1,F1155)*IF(G1155="",1,G1155))</f>
        <v>100</v>
      </c>
      <c r="M1155" s="23"/>
      <c r="N1155" s="23"/>
      <c r="O1155" s="23"/>
    </row>
    <row r="1156" customFormat="false" ht="15" hidden="false" customHeight="true" outlineLevel="0" collapsed="false">
      <c r="H1156" s="30"/>
      <c r="I1156" s="31" t="n">
        <f aca="false">ROUND(SUM(H1155:H1155),2)</f>
        <v>100</v>
      </c>
      <c r="J1156" s="32" t="n">
        <v>0.03</v>
      </c>
      <c r="K1156" s="31" t="n">
        <f aca="false">ROUND(I1156*J1156,2)</f>
        <v>3</v>
      </c>
      <c r="L1156" s="33" t="s">
        <v>122</v>
      </c>
      <c r="M1156" s="23" t="s">
        <v>123</v>
      </c>
      <c r="N1156" s="23" t="s">
        <v>75</v>
      </c>
      <c r="O1156" s="23" t="s">
        <v>1021</v>
      </c>
    </row>
    <row r="1157" customFormat="false" ht="15" hidden="false" customHeight="true" outlineLevel="0" collapsed="false">
      <c r="A1157" s="3" t="s">
        <v>1048</v>
      </c>
      <c r="B1157" s="3" t="s">
        <v>635</v>
      </c>
      <c r="C1157" s="3" t="s">
        <v>1049</v>
      </c>
      <c r="M1157" s="23"/>
      <c r="N1157" s="23"/>
      <c r="O1157" s="23"/>
    </row>
    <row r="1158" customFormat="false" ht="84" hidden="false" customHeight="true" outlineLevel="0" collapsed="false">
      <c r="C1158" s="26" t="s">
        <v>1050</v>
      </c>
      <c r="M1158" s="23"/>
      <c r="N1158" s="23"/>
      <c r="O1158" s="23"/>
    </row>
    <row r="1159" customFormat="false" ht="15" hidden="false" customHeight="true" outlineLevel="0" collapsed="false">
      <c r="C1159" s="27" t="s">
        <v>987</v>
      </c>
      <c r="D1159" s="28" t="n">
        <v>10</v>
      </c>
      <c r="H1159" s="29" t="n">
        <f aca="false">IF(COUNT(D1159:G1159)=0,0,D1159*IF(E1159="",1,E1159)*IF(F1159="",1,F1159)*IF(G1159="",1,G1159))</f>
        <v>10</v>
      </c>
      <c r="M1159" s="23"/>
      <c r="N1159" s="23"/>
      <c r="O1159" s="23"/>
    </row>
    <row r="1160" customFormat="false" ht="15" hidden="false" customHeight="true" outlineLevel="0" collapsed="false">
      <c r="H1160" s="30"/>
      <c r="I1160" s="31" t="n">
        <f aca="false">ROUND(SUM(H1159:H1159),2)</f>
        <v>10</v>
      </c>
      <c r="J1160" s="32" t="n">
        <v>3.75</v>
      </c>
      <c r="K1160" s="31" t="n">
        <f aca="false">ROUND(I1160*J1160,2)</f>
        <v>37.5</v>
      </c>
      <c r="L1160" s="33" t="s">
        <v>122</v>
      </c>
      <c r="M1160" s="23" t="s">
        <v>123</v>
      </c>
      <c r="N1160" s="23" t="s">
        <v>75</v>
      </c>
      <c r="O1160" s="23" t="s">
        <v>1021</v>
      </c>
    </row>
    <row r="1161" customFormat="false" ht="15" hidden="false" customHeight="true" outlineLevel="0" collapsed="false">
      <c r="A1161" s="3" t="s">
        <v>1051</v>
      </c>
      <c r="B1161" s="3" t="s">
        <v>635</v>
      </c>
      <c r="C1161" s="3" t="s">
        <v>1052</v>
      </c>
      <c r="M1161" s="23"/>
      <c r="N1161" s="23"/>
      <c r="O1161" s="23"/>
    </row>
    <row r="1162" customFormat="false" ht="48" hidden="false" customHeight="true" outlineLevel="0" collapsed="false">
      <c r="C1162" s="26" t="s">
        <v>1053</v>
      </c>
      <c r="M1162" s="23"/>
      <c r="N1162" s="23"/>
      <c r="O1162" s="23"/>
    </row>
    <row r="1163" customFormat="false" ht="15" hidden="false" customHeight="true" outlineLevel="0" collapsed="false">
      <c r="C1163" s="27" t="s">
        <v>987</v>
      </c>
      <c r="D1163" s="28" t="n">
        <v>1</v>
      </c>
      <c r="H1163" s="29" t="n">
        <f aca="false">IF(COUNT(D1163:G1163)=0,0,D1163*IF(E1163="",1,E1163)*IF(F1163="",1,F1163)*IF(G1163="",1,G1163))</f>
        <v>1</v>
      </c>
      <c r="M1163" s="23"/>
      <c r="N1163" s="23"/>
      <c r="O1163" s="23"/>
    </row>
    <row r="1164" customFormat="false" ht="15" hidden="false" customHeight="true" outlineLevel="0" collapsed="false">
      <c r="H1164" s="30"/>
      <c r="I1164" s="31" t="n">
        <f aca="false">ROUND(SUM(H1163:H1163),2)</f>
        <v>1</v>
      </c>
      <c r="J1164" s="32" t="n">
        <v>3.36</v>
      </c>
      <c r="K1164" s="31" t="n">
        <f aca="false">ROUND(I1164*J1164,2)</f>
        <v>3.36</v>
      </c>
      <c r="L1164" s="33" t="s">
        <v>122</v>
      </c>
      <c r="M1164" s="23" t="s">
        <v>123</v>
      </c>
      <c r="N1164" s="23" t="s">
        <v>75</v>
      </c>
      <c r="O1164" s="23" t="s">
        <v>1021</v>
      </c>
    </row>
    <row r="1165" customFormat="false" ht="15" hidden="false" customHeight="true" outlineLevel="0" collapsed="false">
      <c r="A1165" s="3" t="s">
        <v>1054</v>
      </c>
      <c r="B1165" s="3" t="s">
        <v>635</v>
      </c>
      <c r="C1165" s="3" t="s">
        <v>1055</v>
      </c>
      <c r="M1165" s="23"/>
      <c r="N1165" s="23"/>
      <c r="O1165" s="23"/>
    </row>
    <row r="1166" customFormat="false" ht="72" hidden="false" customHeight="true" outlineLevel="0" collapsed="false">
      <c r="C1166" s="26" t="s">
        <v>1056</v>
      </c>
      <c r="M1166" s="23"/>
      <c r="N1166" s="23"/>
      <c r="O1166" s="23"/>
    </row>
    <row r="1167" customFormat="false" ht="15" hidden="false" customHeight="true" outlineLevel="0" collapsed="false">
      <c r="C1167" s="27" t="s">
        <v>987</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125.15</v>
      </c>
      <c r="K1168" s="31" t="n">
        <f aca="false">ROUND(I1168*J1168,2)</f>
        <v>125.15</v>
      </c>
      <c r="L1168" s="33" t="s">
        <v>122</v>
      </c>
      <c r="M1168" s="23" t="s">
        <v>123</v>
      </c>
      <c r="N1168" s="23" t="s">
        <v>75</v>
      </c>
      <c r="O1168" s="23" t="s">
        <v>1021</v>
      </c>
    </row>
    <row r="1169" customFormat="false" ht="15" hidden="false" customHeight="true" outlineLevel="0" collapsed="false">
      <c r="A1169" s="3" t="s">
        <v>1057</v>
      </c>
      <c r="B1169" s="3" t="s">
        <v>635</v>
      </c>
      <c r="C1169" s="3" t="s">
        <v>1058</v>
      </c>
      <c r="M1169" s="23"/>
      <c r="N1169" s="23"/>
      <c r="O1169" s="23"/>
    </row>
    <row r="1170" customFormat="false" ht="120" hidden="false" customHeight="true" outlineLevel="0" collapsed="false">
      <c r="C1170" s="26" t="s">
        <v>1059</v>
      </c>
      <c r="M1170" s="23"/>
      <c r="N1170" s="23"/>
      <c r="O1170" s="23"/>
    </row>
    <row r="1171" customFormat="false" ht="15" hidden="false" customHeight="true" outlineLevel="0" collapsed="false">
      <c r="C1171" s="27" t="s">
        <v>987</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67.62</v>
      </c>
      <c r="K1172" s="31" t="n">
        <f aca="false">ROUND(I1172*J1172,2)</f>
        <v>67.62</v>
      </c>
      <c r="L1172" s="33" t="s">
        <v>122</v>
      </c>
      <c r="M1172" s="23" t="s">
        <v>123</v>
      </c>
      <c r="N1172" s="23" t="s">
        <v>75</v>
      </c>
      <c r="O1172" s="23" t="s">
        <v>1021</v>
      </c>
    </row>
    <row r="1173" customFormat="false" ht="15" hidden="false" customHeight="true" outlineLevel="0" collapsed="false">
      <c r="A1173" s="3" t="s">
        <v>1060</v>
      </c>
      <c r="B1173" s="3" t="s">
        <v>635</v>
      </c>
      <c r="C1173" s="3" t="s">
        <v>1061</v>
      </c>
      <c r="M1173" s="23"/>
      <c r="N1173" s="23"/>
      <c r="O1173" s="23"/>
    </row>
    <row r="1174" customFormat="false" ht="72" hidden="false" customHeight="true" outlineLevel="0" collapsed="false">
      <c r="C1174" s="26" t="s">
        <v>1062</v>
      </c>
      <c r="M1174" s="23"/>
      <c r="N1174" s="23"/>
      <c r="O1174" s="23"/>
    </row>
    <row r="1175" customFormat="false" ht="15" hidden="false" customHeight="true" outlineLevel="0" collapsed="false">
      <c r="C1175" s="27" t="s">
        <v>987</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6.9</v>
      </c>
      <c r="K1176" s="31" t="n">
        <f aca="false">ROUND(I1176*J1176,2)</f>
        <v>6.9</v>
      </c>
      <c r="L1176" s="33" t="s">
        <v>122</v>
      </c>
      <c r="M1176" s="23" t="s">
        <v>123</v>
      </c>
      <c r="N1176" s="23" t="s">
        <v>75</v>
      </c>
      <c r="O1176" s="23" t="s">
        <v>1021</v>
      </c>
    </row>
    <row r="1177" customFormat="false" ht="15" hidden="false" customHeight="true" outlineLevel="0" collapsed="false">
      <c r="A1177" s="3" t="s">
        <v>1063</v>
      </c>
      <c r="B1177" s="3" t="s">
        <v>635</v>
      </c>
      <c r="C1177" s="3" t="s">
        <v>1064</v>
      </c>
      <c r="M1177" s="23"/>
      <c r="N1177" s="23"/>
      <c r="O1177" s="23"/>
    </row>
    <row r="1178" customFormat="false" ht="60" hidden="false" customHeight="true" outlineLevel="0" collapsed="false">
      <c r="C1178" s="26" t="s">
        <v>1065</v>
      </c>
      <c r="M1178" s="23"/>
      <c r="N1178" s="23"/>
      <c r="O1178" s="23"/>
    </row>
    <row r="1179" customFormat="false" ht="15" hidden="false" customHeight="true" outlineLevel="0" collapsed="false">
      <c r="C1179" s="27" t="s">
        <v>987</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12.57</v>
      </c>
      <c r="K1180" s="31" t="n">
        <f aca="false">ROUND(I1180*J1180,2)</f>
        <v>12.57</v>
      </c>
      <c r="L1180" s="33" t="s">
        <v>122</v>
      </c>
      <c r="M1180" s="23" t="s">
        <v>123</v>
      </c>
      <c r="N1180" s="23" t="s">
        <v>75</v>
      </c>
      <c r="O1180" s="23" t="s">
        <v>1021</v>
      </c>
    </row>
    <row r="1181" customFormat="false" ht="15" hidden="false" customHeight="true" outlineLevel="0" collapsed="false">
      <c r="A1181" s="3" t="s">
        <v>1066</v>
      </c>
      <c r="B1181" s="3" t="s">
        <v>642</v>
      </c>
      <c r="C1181" s="3" t="s">
        <v>1067</v>
      </c>
      <c r="M1181" s="23"/>
      <c r="N1181" s="23"/>
      <c r="O1181" s="23"/>
    </row>
    <row r="1182" customFormat="false" ht="72" hidden="false" customHeight="true" outlineLevel="0" collapsed="false">
      <c r="C1182" s="26" t="s">
        <v>1068</v>
      </c>
      <c r="M1182" s="23"/>
      <c r="N1182" s="23"/>
      <c r="O1182" s="23"/>
    </row>
    <row r="1183" customFormat="false" ht="15" hidden="false" customHeight="true" outlineLevel="0" collapsed="false">
      <c r="C1183" s="27" t="s">
        <v>987</v>
      </c>
      <c r="D1183" s="28" t="n">
        <v>5</v>
      </c>
      <c r="H1183" s="29" t="n">
        <f aca="false">IF(COUNT(D1183:G1183)=0,0,D1183*IF(E1183="",1,E1183)*IF(F1183="",1,F1183)*IF(G1183="",1,G1183))</f>
        <v>5</v>
      </c>
      <c r="M1183" s="23"/>
      <c r="N1183" s="23"/>
      <c r="O1183" s="23"/>
    </row>
    <row r="1184" customFormat="false" ht="15" hidden="false" customHeight="true" outlineLevel="0" collapsed="false">
      <c r="H1184" s="30"/>
      <c r="I1184" s="31" t="n">
        <f aca="false">ROUND(SUM(H1183:H1183),2)</f>
        <v>5</v>
      </c>
      <c r="J1184" s="32" t="n">
        <v>5.08</v>
      </c>
      <c r="K1184" s="31" t="n">
        <f aca="false">ROUND(I1184*J1184,2)</f>
        <v>25.4</v>
      </c>
      <c r="L1184" s="33" t="s">
        <v>122</v>
      </c>
      <c r="M1184" s="23" t="s">
        <v>123</v>
      </c>
      <c r="N1184" s="23" t="s">
        <v>75</v>
      </c>
      <c r="O1184" s="23" t="s">
        <v>1021</v>
      </c>
    </row>
    <row r="1185" customFormat="false" ht="15" hidden="false" customHeight="true" outlineLevel="0" collapsed="false">
      <c r="A1185" s="3" t="s">
        <v>1069</v>
      </c>
      <c r="B1185" s="3" t="s">
        <v>635</v>
      </c>
      <c r="C1185" s="3" t="s">
        <v>1070</v>
      </c>
      <c r="M1185" s="23"/>
      <c r="N1185" s="23"/>
      <c r="O1185" s="23"/>
    </row>
    <row r="1186" customFormat="false" ht="72" hidden="false" customHeight="true" outlineLevel="0" collapsed="false">
      <c r="C1186" s="26" t="s">
        <v>1071</v>
      </c>
      <c r="M1186" s="23"/>
      <c r="N1186" s="23"/>
      <c r="O1186" s="23"/>
    </row>
    <row r="1187" customFormat="false" ht="15" hidden="false" customHeight="true" outlineLevel="0" collapsed="false">
      <c r="C1187" s="27" t="s">
        <v>987</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5.2</v>
      </c>
      <c r="K1188" s="31" t="n">
        <f aca="false">ROUND(I1188*J1188,2)</f>
        <v>26</v>
      </c>
      <c r="L1188" s="33" t="s">
        <v>122</v>
      </c>
      <c r="M1188" s="23" t="s">
        <v>123</v>
      </c>
      <c r="N1188" s="23" t="s">
        <v>75</v>
      </c>
      <c r="O1188" s="23" t="s">
        <v>1021</v>
      </c>
    </row>
    <row r="1189" customFormat="false" ht="15" hidden="false" customHeight="true" outlineLevel="0" collapsed="false">
      <c r="A1189" s="3" t="s">
        <v>1072</v>
      </c>
      <c r="C1189" s="3" t="s">
        <v>1073</v>
      </c>
      <c r="M1189" s="23" t="s">
        <v>291</v>
      </c>
      <c r="N1189" s="23" t="s">
        <v>75</v>
      </c>
      <c r="O1189" s="23" t="s">
        <v>1072</v>
      </c>
    </row>
    <row r="1190" customFormat="false" ht="15" hidden="false" customHeight="true" outlineLevel="0" collapsed="false">
      <c r="A1190" s="3" t="s">
        <v>1074</v>
      </c>
      <c r="B1190" s="3" t="s">
        <v>635</v>
      </c>
      <c r="C1190" s="3" t="s">
        <v>1075</v>
      </c>
      <c r="M1190" s="23"/>
      <c r="N1190" s="23"/>
      <c r="O1190" s="23"/>
    </row>
    <row r="1191" customFormat="false" ht="60" hidden="false" customHeight="true" outlineLevel="0" collapsed="false">
      <c r="C1191" s="26" t="s">
        <v>1076</v>
      </c>
      <c r="M1191" s="23"/>
      <c r="N1191" s="23"/>
      <c r="O1191" s="23"/>
    </row>
    <row r="1192" customFormat="false" ht="15" hidden="false" customHeight="true" outlineLevel="0" collapsed="false">
      <c r="C1192" s="27" t="s">
        <v>987</v>
      </c>
      <c r="D1192" s="28" t="n">
        <v>5</v>
      </c>
      <c r="H1192" s="29" t="n">
        <f aca="false">IF(COUNT(D1192:G1192)=0,0,D1192*IF(E1192="",1,E1192)*IF(F1192="",1,F1192)*IF(G1192="",1,G1192))</f>
        <v>5</v>
      </c>
      <c r="M1192" s="23"/>
      <c r="N1192" s="23"/>
      <c r="O1192" s="23"/>
    </row>
    <row r="1193" customFormat="false" ht="15" hidden="false" customHeight="true" outlineLevel="0" collapsed="false">
      <c r="H1193" s="30"/>
      <c r="I1193" s="31" t="n">
        <f aca="false">ROUND(SUM(H1192:H1192),2)</f>
        <v>5</v>
      </c>
      <c r="J1193" s="32" t="n">
        <v>11.37</v>
      </c>
      <c r="K1193" s="31" t="n">
        <f aca="false">ROUND(I1193*J1193,2)</f>
        <v>56.85</v>
      </c>
      <c r="L1193" s="33" t="s">
        <v>122</v>
      </c>
      <c r="M1193" s="23" t="s">
        <v>123</v>
      </c>
      <c r="N1193" s="23" t="s">
        <v>75</v>
      </c>
      <c r="O1193" s="23" t="s">
        <v>1072</v>
      </c>
    </row>
    <row r="1194" customFormat="false" ht="15" hidden="false" customHeight="true" outlineLevel="0" collapsed="false">
      <c r="A1194" s="3" t="s">
        <v>1077</v>
      </c>
      <c r="B1194" s="3" t="s">
        <v>635</v>
      </c>
      <c r="C1194" s="3" t="s">
        <v>1078</v>
      </c>
      <c r="M1194" s="23"/>
      <c r="N1194" s="23"/>
      <c r="O1194" s="23"/>
    </row>
    <row r="1195" customFormat="false" ht="60" hidden="false" customHeight="true" outlineLevel="0" collapsed="false">
      <c r="C1195" s="26" t="s">
        <v>1079</v>
      </c>
      <c r="M1195" s="23"/>
      <c r="N1195" s="23"/>
      <c r="O1195" s="23"/>
    </row>
    <row r="1196" customFormat="false" ht="15" hidden="false" customHeight="true" outlineLevel="0" collapsed="false">
      <c r="C1196" s="27" t="s">
        <v>987</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1072</v>
      </c>
    </row>
    <row r="1198" customFormat="false" ht="15" hidden="false" customHeight="true" outlineLevel="0" collapsed="false">
      <c r="A1198" s="3" t="s">
        <v>1080</v>
      </c>
      <c r="C1198" s="3" t="s">
        <v>1081</v>
      </c>
      <c r="M1198" s="23" t="s">
        <v>291</v>
      </c>
      <c r="N1198" s="23" t="s">
        <v>75</v>
      </c>
      <c r="O1198" s="23" t="s">
        <v>1080</v>
      </c>
    </row>
    <row r="1199" customFormat="false" ht="15" hidden="false" customHeight="true" outlineLevel="0" collapsed="false">
      <c r="A1199" s="3" t="s">
        <v>1082</v>
      </c>
      <c r="B1199" s="3" t="s">
        <v>103</v>
      </c>
      <c r="C1199" s="3" t="s">
        <v>1083</v>
      </c>
      <c r="M1199" s="23"/>
      <c r="N1199" s="23"/>
      <c r="O1199" s="23"/>
    </row>
    <row r="1200" customFormat="false" ht="36" hidden="false" customHeight="true" outlineLevel="0" collapsed="false">
      <c r="C1200" s="26" t="s">
        <v>1084</v>
      </c>
      <c r="M1200" s="23"/>
      <c r="N1200" s="23"/>
      <c r="O1200" s="23"/>
    </row>
    <row r="1201" customFormat="false" ht="15" hidden="false" customHeight="true" outlineLevel="0" collapsed="false">
      <c r="C1201" s="27" t="s">
        <v>987</v>
      </c>
      <c r="D1201" s="28" t="n">
        <v>9</v>
      </c>
      <c r="H1201" s="29" t="n">
        <f aca="false">IF(COUNT(D1201:G1201)=0,0,D1201*IF(E1201="",1,E1201)*IF(F1201="",1,F1201)*IF(G1201="",1,G1201))</f>
        <v>9</v>
      </c>
      <c r="M1201" s="23"/>
      <c r="N1201" s="23"/>
      <c r="O1201" s="23"/>
    </row>
    <row r="1202" customFormat="false" ht="15" hidden="false" customHeight="true" outlineLevel="0" collapsed="false">
      <c r="H1202" s="30"/>
      <c r="I1202" s="31" t="n">
        <f aca="false">ROUND(SUM(H1201:H1201),2)</f>
        <v>9</v>
      </c>
      <c r="J1202" s="32" t="n">
        <v>0.62</v>
      </c>
      <c r="K1202" s="31" t="n">
        <f aca="false">ROUND(I1202*J1202,2)</f>
        <v>5.58</v>
      </c>
      <c r="L1202" s="33" t="s">
        <v>122</v>
      </c>
      <c r="M1202" s="23" t="s">
        <v>123</v>
      </c>
      <c r="N1202" s="23" t="s">
        <v>75</v>
      </c>
      <c r="O1202" s="23" t="s">
        <v>1080</v>
      </c>
    </row>
    <row r="1203" customFormat="false" ht="15" hidden="false" customHeight="true" outlineLevel="0" collapsed="false">
      <c r="A1203" s="3" t="s">
        <v>1085</v>
      </c>
      <c r="B1203" s="3" t="s">
        <v>103</v>
      </c>
      <c r="C1203" s="3" t="s">
        <v>1086</v>
      </c>
      <c r="M1203" s="23"/>
      <c r="N1203" s="23"/>
      <c r="O1203" s="23"/>
    </row>
    <row r="1204" customFormat="false" ht="48" hidden="false" customHeight="true" outlineLevel="0" collapsed="false">
      <c r="C1204" s="26" t="s">
        <v>1087</v>
      </c>
      <c r="M1204" s="23"/>
      <c r="N1204" s="23"/>
      <c r="O1204" s="23"/>
    </row>
    <row r="1205" customFormat="false" ht="15" hidden="false" customHeight="true" outlineLevel="0" collapsed="false">
      <c r="C1205" s="27" t="s">
        <v>987</v>
      </c>
      <c r="D1205" s="28" t="n">
        <v>2</v>
      </c>
      <c r="H1205" s="29" t="n">
        <f aca="false">IF(COUNT(D1205:G1205)=0,0,D1205*IF(E1205="",1,E1205)*IF(F1205="",1,F1205)*IF(G1205="",1,G1205))</f>
        <v>2</v>
      </c>
      <c r="M1205" s="23"/>
      <c r="N1205" s="23"/>
      <c r="O1205" s="23"/>
    </row>
    <row r="1206" customFormat="false" ht="15" hidden="false" customHeight="true" outlineLevel="0" collapsed="false">
      <c r="H1206" s="30"/>
      <c r="I1206" s="31" t="n">
        <f aca="false">ROUND(SUM(H1205:H1205),2)</f>
        <v>2</v>
      </c>
      <c r="J1206" s="32" t="n">
        <v>0.77</v>
      </c>
      <c r="K1206" s="31" t="n">
        <f aca="false">ROUND(I1206*J1206,2)</f>
        <v>1.54</v>
      </c>
      <c r="L1206" s="33" t="s">
        <v>122</v>
      </c>
      <c r="M1206" s="23" t="s">
        <v>123</v>
      </c>
      <c r="N1206" s="23" t="s">
        <v>75</v>
      </c>
      <c r="O1206" s="23" t="s">
        <v>1080</v>
      </c>
    </row>
    <row r="1207" customFormat="false" ht="15" hidden="false" customHeight="true" outlineLevel="0" collapsed="false">
      <c r="A1207" s="3" t="s">
        <v>1088</v>
      </c>
      <c r="B1207" s="3" t="s">
        <v>103</v>
      </c>
      <c r="C1207" s="3" t="s">
        <v>1089</v>
      </c>
      <c r="M1207" s="23"/>
      <c r="N1207" s="23"/>
      <c r="O1207" s="23"/>
    </row>
    <row r="1208" customFormat="false" ht="36" hidden="false" customHeight="true" outlineLevel="0" collapsed="false">
      <c r="C1208" s="26" t="s">
        <v>1090</v>
      </c>
      <c r="M1208" s="23"/>
      <c r="N1208" s="23"/>
      <c r="O1208" s="23"/>
    </row>
    <row r="1209" customFormat="false" ht="15" hidden="false" customHeight="true" outlineLevel="0" collapsed="false">
      <c r="C1209" s="27" t="s">
        <v>987</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2.96</v>
      </c>
      <c r="K1210" s="31" t="n">
        <f aca="false">ROUND(I1210*J1210,2)</f>
        <v>5.92</v>
      </c>
      <c r="L1210" s="33" t="s">
        <v>122</v>
      </c>
      <c r="M1210" s="23" t="s">
        <v>123</v>
      </c>
      <c r="N1210" s="23" t="s">
        <v>75</v>
      </c>
      <c r="O1210" s="23" t="s">
        <v>1080</v>
      </c>
    </row>
    <row r="1211" customFormat="false" ht="15" hidden="false" customHeight="true" outlineLevel="0" collapsed="false">
      <c r="A1211" s="3" t="s">
        <v>1091</v>
      </c>
      <c r="B1211" s="3" t="s">
        <v>103</v>
      </c>
      <c r="C1211" s="3" t="s">
        <v>1092</v>
      </c>
      <c r="M1211" s="23"/>
      <c r="N1211" s="23"/>
      <c r="O1211" s="23"/>
    </row>
    <row r="1212" customFormat="false" ht="60" hidden="false" customHeight="true" outlineLevel="0" collapsed="false">
      <c r="C1212" s="26" t="s">
        <v>1093</v>
      </c>
      <c r="M1212" s="23"/>
      <c r="N1212" s="23"/>
      <c r="O1212" s="23"/>
    </row>
    <row r="1213" customFormat="false" ht="15" hidden="false" customHeight="true" outlineLevel="0" collapsed="false">
      <c r="C1213" s="27" t="s">
        <v>987</v>
      </c>
      <c r="D1213" s="28" t="n">
        <v>1</v>
      </c>
      <c r="H1213" s="29" t="n">
        <f aca="false">IF(COUNT(D1213:G1213)=0,0,D1213*IF(E1213="",1,E1213)*IF(F1213="",1,F1213)*IF(G1213="",1,G1213))</f>
        <v>1</v>
      </c>
      <c r="M1213" s="23"/>
      <c r="N1213" s="23"/>
      <c r="O1213" s="23"/>
    </row>
    <row r="1214" customFormat="false" ht="15" hidden="false" customHeight="true" outlineLevel="0" collapsed="false">
      <c r="H1214" s="30"/>
      <c r="I1214" s="31" t="n">
        <f aca="false">ROUND(SUM(H1213:H1213),2)</f>
        <v>1</v>
      </c>
      <c r="J1214" s="32" t="n">
        <v>3.62</v>
      </c>
      <c r="K1214" s="31" t="n">
        <f aca="false">ROUND(I1214*J1214,2)</f>
        <v>3.62</v>
      </c>
      <c r="L1214" s="33" t="s">
        <v>122</v>
      </c>
      <c r="M1214" s="23" t="s">
        <v>123</v>
      </c>
      <c r="N1214" s="23" t="s">
        <v>75</v>
      </c>
      <c r="O1214" s="23" t="s">
        <v>1080</v>
      </c>
    </row>
    <row r="1215" customFormat="false" ht="15" hidden="false" customHeight="true" outlineLevel="0" collapsed="false">
      <c r="A1215" s="3" t="s">
        <v>1094</v>
      </c>
      <c r="B1215" s="3" t="s">
        <v>140</v>
      </c>
      <c r="C1215" s="3" t="s">
        <v>1095</v>
      </c>
      <c r="M1215" s="23"/>
      <c r="N1215" s="23"/>
      <c r="O1215" s="23"/>
    </row>
    <row r="1216" customFormat="false" ht="48" hidden="false" customHeight="true" outlineLevel="0" collapsed="false">
      <c r="C1216" s="26" t="s">
        <v>1096</v>
      </c>
      <c r="M1216" s="23"/>
      <c r="N1216" s="23"/>
      <c r="O1216" s="23"/>
    </row>
    <row r="1217" customFormat="false" ht="15" hidden="false" customHeight="true" outlineLevel="0" collapsed="false">
      <c r="C1217" s="27" t="s">
        <v>987</v>
      </c>
      <c r="D1217" s="28" t="n">
        <v>23.18</v>
      </c>
      <c r="H1217" s="29" t="n">
        <f aca="false">IF(COUNT(D1217:G1217)=0,0,D1217*IF(E1217="",1,E1217)*IF(F1217="",1,F1217)*IF(G1217="",1,G1217))</f>
        <v>23.18</v>
      </c>
      <c r="M1217" s="23"/>
      <c r="N1217" s="23"/>
      <c r="O1217" s="23"/>
    </row>
    <row r="1218" customFormat="false" ht="15" hidden="false" customHeight="true" outlineLevel="0" collapsed="false">
      <c r="H1218" s="30"/>
      <c r="I1218" s="31" t="n">
        <f aca="false">ROUND(SUM(H1217:H1217),2)</f>
        <v>23.18</v>
      </c>
      <c r="J1218" s="32" t="n">
        <v>1.29</v>
      </c>
      <c r="K1218" s="31" t="n">
        <f aca="false">ROUND(I1218*J1218,2)</f>
        <v>29.9</v>
      </c>
      <c r="L1218" s="33" t="s">
        <v>122</v>
      </c>
      <c r="M1218" s="23" t="s">
        <v>123</v>
      </c>
      <c r="N1218" s="23" t="s">
        <v>75</v>
      </c>
      <c r="O1218" s="23" t="s">
        <v>1080</v>
      </c>
    </row>
    <row r="1219" customFormat="false" ht="15" hidden="false" customHeight="true" outlineLevel="0" collapsed="false">
      <c r="A1219" s="3" t="s">
        <v>1097</v>
      </c>
      <c r="B1219" s="3" t="s">
        <v>103</v>
      </c>
      <c r="C1219" s="3" t="s">
        <v>1098</v>
      </c>
      <c r="M1219" s="23"/>
      <c r="N1219" s="23"/>
      <c r="O1219" s="23"/>
    </row>
    <row r="1220" customFormat="false" ht="36" hidden="false" customHeight="true" outlineLevel="0" collapsed="false">
      <c r="C1220" s="26" t="s">
        <v>1099</v>
      </c>
      <c r="M1220" s="23"/>
      <c r="N1220" s="23"/>
      <c r="O1220" s="23"/>
    </row>
    <row r="1221" customFormat="false" ht="15" hidden="false" customHeight="true" outlineLevel="0" collapsed="false">
      <c r="C1221" s="27" t="s">
        <v>987</v>
      </c>
      <c r="D1221" s="28" t="n">
        <v>1</v>
      </c>
      <c r="H1221" s="29" t="n">
        <f aca="false">IF(COUNT(D1221:G1221)=0,0,D1221*IF(E1221="",1,E1221)*IF(F1221="",1,F1221)*IF(G1221="",1,G1221))</f>
        <v>1</v>
      </c>
      <c r="M1221" s="23"/>
      <c r="N1221" s="23"/>
      <c r="O1221" s="23"/>
    </row>
    <row r="1222" customFormat="false" ht="15" hidden="false" customHeight="true" outlineLevel="0" collapsed="false">
      <c r="H1222" s="30"/>
      <c r="I1222" s="31" t="n">
        <f aca="false">ROUND(SUM(H1221:H1221),2)</f>
        <v>1</v>
      </c>
      <c r="J1222" s="32" t="n">
        <v>0.77</v>
      </c>
      <c r="K1222" s="31" t="n">
        <f aca="false">ROUND(I1222*J1222,2)</f>
        <v>0.77</v>
      </c>
      <c r="L1222" s="33" t="s">
        <v>122</v>
      </c>
      <c r="M1222" s="23" t="s">
        <v>123</v>
      </c>
      <c r="N1222" s="23" t="s">
        <v>75</v>
      </c>
      <c r="O1222" s="23" t="s">
        <v>1080</v>
      </c>
    </row>
    <row r="1223" customFormat="false" ht="15" hidden="false" customHeight="true" outlineLevel="0" collapsed="false">
      <c r="A1223" s="3" t="s">
        <v>1100</v>
      </c>
      <c r="B1223" s="3" t="s">
        <v>103</v>
      </c>
      <c r="C1223" s="3" t="s">
        <v>1101</v>
      </c>
      <c r="M1223" s="23"/>
      <c r="N1223" s="23"/>
      <c r="O1223" s="23"/>
    </row>
    <row r="1224" customFormat="false" ht="36" hidden="false" customHeight="true" outlineLevel="0" collapsed="false">
      <c r="C1224" s="26" t="s">
        <v>1102</v>
      </c>
      <c r="M1224" s="23"/>
      <c r="N1224" s="23"/>
      <c r="O1224" s="23"/>
    </row>
    <row r="1225" customFormat="false" ht="15" hidden="false" customHeight="true" outlineLevel="0" collapsed="false">
      <c r="C1225" s="27" t="s">
        <v>987</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0.29</v>
      </c>
      <c r="K1226" s="31" t="n">
        <f aca="false">ROUND(I1226*J1226,2)</f>
        <v>0.29</v>
      </c>
      <c r="L1226" s="33" t="s">
        <v>122</v>
      </c>
      <c r="M1226" s="23" t="s">
        <v>123</v>
      </c>
      <c r="N1226" s="23" t="s">
        <v>75</v>
      </c>
      <c r="O1226" s="23" t="s">
        <v>1080</v>
      </c>
    </row>
    <row r="1227" customFormat="false" ht="15" hidden="false" customHeight="true" outlineLevel="0" collapsed="false">
      <c r="A1227" s="3" t="s">
        <v>1103</v>
      </c>
      <c r="B1227" s="3" t="s">
        <v>103</v>
      </c>
      <c r="C1227" s="3" t="s">
        <v>1104</v>
      </c>
      <c r="M1227" s="23"/>
      <c r="N1227" s="23"/>
      <c r="O1227" s="23"/>
    </row>
    <row r="1228" customFormat="false" ht="36" hidden="false" customHeight="true" outlineLevel="0" collapsed="false">
      <c r="C1228" s="26" t="s">
        <v>1105</v>
      </c>
      <c r="M1228" s="23"/>
      <c r="N1228" s="23"/>
      <c r="O1228" s="23"/>
    </row>
    <row r="1229" customFormat="false" ht="15" hidden="false" customHeight="true" outlineLevel="0" collapsed="false">
      <c r="C1229" s="27" t="s">
        <v>987</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1.25</v>
      </c>
      <c r="K1230" s="31" t="n">
        <f aca="false">ROUND(I1230*J1230,2)</f>
        <v>1.25</v>
      </c>
      <c r="L1230" s="33" t="s">
        <v>122</v>
      </c>
      <c r="M1230" s="23" t="s">
        <v>123</v>
      </c>
      <c r="N1230" s="23" t="s">
        <v>75</v>
      </c>
      <c r="O1230" s="23" t="s">
        <v>1080</v>
      </c>
    </row>
    <row r="1231" customFormat="false" ht="15" hidden="false" customHeight="true" outlineLevel="0" collapsed="false">
      <c r="A1231" s="3" t="s">
        <v>1106</v>
      </c>
      <c r="B1231" s="3" t="s">
        <v>103</v>
      </c>
      <c r="C1231" s="3" t="s">
        <v>1107</v>
      </c>
      <c r="M1231" s="23"/>
      <c r="N1231" s="23"/>
      <c r="O1231" s="23"/>
    </row>
    <row r="1232" customFormat="false" ht="48" hidden="false" customHeight="true" outlineLevel="0" collapsed="false">
      <c r="C1232" s="26" t="s">
        <v>1108</v>
      </c>
      <c r="M1232" s="23"/>
      <c r="N1232" s="23"/>
      <c r="O1232" s="23"/>
    </row>
    <row r="1233" customFormat="false" ht="15" hidden="false" customHeight="true" outlineLevel="0" collapsed="false">
      <c r="C1233" s="27" t="s">
        <v>987</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0.53</v>
      </c>
      <c r="K1234" s="31" t="n">
        <f aca="false">ROUND(I1234*J1234,2)</f>
        <v>0.53</v>
      </c>
      <c r="L1234" s="33" t="s">
        <v>122</v>
      </c>
      <c r="M1234" s="23" t="s">
        <v>123</v>
      </c>
      <c r="N1234" s="23" t="s">
        <v>75</v>
      </c>
      <c r="O1234" s="23" t="s">
        <v>1080</v>
      </c>
    </row>
    <row r="1235" customFormat="false" ht="15" hidden="false" customHeight="true" outlineLevel="0" collapsed="false">
      <c r="A1235" s="3" t="s">
        <v>1109</v>
      </c>
      <c r="B1235" s="3" t="s">
        <v>103</v>
      </c>
      <c r="C1235" s="3" t="s">
        <v>1110</v>
      </c>
      <c r="M1235" s="23"/>
      <c r="N1235" s="23"/>
      <c r="O1235" s="23"/>
    </row>
    <row r="1236" customFormat="false" ht="48" hidden="false" customHeight="true" outlineLevel="0" collapsed="false">
      <c r="C1236" s="26" t="s">
        <v>1111</v>
      </c>
      <c r="M1236" s="23"/>
      <c r="N1236" s="23"/>
      <c r="O1236" s="23"/>
    </row>
    <row r="1237" customFormat="false" ht="15" hidden="false" customHeight="true" outlineLevel="0" collapsed="false">
      <c r="C1237" s="27" t="s">
        <v>987</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0.66</v>
      </c>
      <c r="K1238" s="31" t="n">
        <f aca="false">ROUND(I1238*J1238,2)</f>
        <v>0.66</v>
      </c>
      <c r="L1238" s="33" t="s">
        <v>122</v>
      </c>
      <c r="M1238" s="23" t="s">
        <v>123</v>
      </c>
      <c r="N1238" s="23" t="s">
        <v>75</v>
      </c>
      <c r="O1238" s="23" t="s">
        <v>1080</v>
      </c>
    </row>
    <row r="1239" customFormat="false" ht="15" hidden="false" customHeight="true" outlineLevel="0" collapsed="false">
      <c r="A1239" s="3" t="s">
        <v>1112</v>
      </c>
      <c r="B1239" s="3" t="s">
        <v>103</v>
      </c>
      <c r="C1239" s="3" t="s">
        <v>1113</v>
      </c>
      <c r="M1239" s="23"/>
      <c r="N1239" s="23"/>
      <c r="O1239" s="23"/>
    </row>
    <row r="1240" customFormat="false" ht="36" hidden="false" customHeight="true" outlineLevel="0" collapsed="false">
      <c r="C1240" s="26" t="s">
        <v>1114</v>
      </c>
      <c r="M1240" s="23"/>
      <c r="N1240" s="23"/>
      <c r="O1240" s="23"/>
    </row>
    <row r="1241" customFormat="false" ht="15" hidden="false" customHeight="true" outlineLevel="0" collapsed="false">
      <c r="C1241" s="27" t="s">
        <v>987</v>
      </c>
      <c r="D1241" s="28" t="n">
        <v>8</v>
      </c>
      <c r="H1241" s="29" t="n">
        <f aca="false">IF(COUNT(D1241:G1241)=0,0,D1241*IF(E1241="",1,E1241)*IF(F1241="",1,F1241)*IF(G1241="",1,G1241))</f>
        <v>8</v>
      </c>
      <c r="M1241" s="23"/>
      <c r="N1241" s="23"/>
      <c r="O1241" s="23"/>
    </row>
    <row r="1242" customFormat="false" ht="15" hidden="false" customHeight="true" outlineLevel="0" collapsed="false">
      <c r="H1242" s="30"/>
      <c r="I1242" s="31" t="n">
        <f aca="false">ROUND(SUM(H1241:H1241),2)</f>
        <v>8</v>
      </c>
      <c r="J1242" s="32" t="n">
        <v>0.71</v>
      </c>
      <c r="K1242" s="31" t="n">
        <f aca="false">ROUND(I1242*J1242,2)</f>
        <v>5.68</v>
      </c>
      <c r="L1242" s="33" t="s">
        <v>122</v>
      </c>
      <c r="M1242" s="23" t="s">
        <v>123</v>
      </c>
      <c r="N1242" s="23" t="s">
        <v>75</v>
      </c>
      <c r="O1242" s="23" t="s">
        <v>1080</v>
      </c>
    </row>
    <row r="1243" customFormat="false" ht="15" hidden="false" customHeight="true" outlineLevel="0" collapsed="false">
      <c r="A1243" s="3" t="s">
        <v>1115</v>
      </c>
      <c r="B1243" s="3" t="s">
        <v>103</v>
      </c>
      <c r="C1243" s="3" t="s">
        <v>1116</v>
      </c>
      <c r="M1243" s="23"/>
      <c r="N1243" s="23"/>
      <c r="O1243" s="23"/>
    </row>
    <row r="1244" customFormat="false" ht="36" hidden="false" customHeight="true" outlineLevel="0" collapsed="false">
      <c r="C1244" s="26" t="s">
        <v>1117</v>
      </c>
      <c r="M1244" s="23"/>
      <c r="N1244" s="23"/>
      <c r="O1244" s="23"/>
    </row>
    <row r="1245" customFormat="false" ht="15" hidden="false" customHeight="true" outlineLevel="0" collapsed="false">
      <c r="C1245" s="27" t="s">
        <v>987</v>
      </c>
      <c r="D1245" s="28" t="n">
        <v>5</v>
      </c>
      <c r="H1245" s="29" t="n">
        <f aca="false">IF(COUNT(D1245:G1245)=0,0,D1245*IF(E1245="",1,E1245)*IF(F1245="",1,F1245)*IF(G1245="",1,G1245))</f>
        <v>5</v>
      </c>
      <c r="M1245" s="23"/>
      <c r="N1245" s="23"/>
      <c r="O1245" s="23"/>
    </row>
    <row r="1246" customFormat="false" ht="15" hidden="false" customHeight="true" outlineLevel="0" collapsed="false">
      <c r="H1246" s="30"/>
      <c r="I1246" s="31" t="n">
        <f aca="false">ROUND(SUM(H1245:H1245),2)</f>
        <v>5</v>
      </c>
      <c r="J1246" s="32" t="n">
        <v>0.51</v>
      </c>
      <c r="K1246" s="31" t="n">
        <f aca="false">ROUND(I1246*J1246,2)</f>
        <v>2.55</v>
      </c>
      <c r="L1246" s="33" t="s">
        <v>122</v>
      </c>
      <c r="M1246" s="23" t="s">
        <v>123</v>
      </c>
      <c r="N1246" s="23" t="s">
        <v>75</v>
      </c>
      <c r="O1246" s="23" t="s">
        <v>1080</v>
      </c>
    </row>
    <row r="1247" customFormat="false" ht="15" hidden="false" customHeight="true" outlineLevel="0" collapsed="false">
      <c r="A1247" s="3" t="s">
        <v>1118</v>
      </c>
      <c r="B1247" s="3" t="s">
        <v>103</v>
      </c>
      <c r="C1247" s="3" t="s">
        <v>1119</v>
      </c>
      <c r="M1247" s="23"/>
      <c r="N1247" s="23"/>
      <c r="O1247" s="23"/>
    </row>
    <row r="1248" customFormat="false" ht="36" hidden="false" customHeight="true" outlineLevel="0" collapsed="false">
      <c r="C1248" s="26" t="s">
        <v>1120</v>
      </c>
      <c r="M1248" s="23"/>
      <c r="N1248" s="23"/>
      <c r="O1248" s="23"/>
    </row>
    <row r="1249" customFormat="false" ht="15" hidden="false" customHeight="true" outlineLevel="0" collapsed="false">
      <c r="C1249" s="27" t="s">
        <v>987</v>
      </c>
      <c r="D1249" s="28" t="n">
        <v>3</v>
      </c>
      <c r="H1249" s="29" t="n">
        <f aca="false">IF(COUNT(D1249:G1249)=0,0,D1249*IF(E1249="",1,E1249)*IF(F1249="",1,F1249)*IF(G1249="",1,G1249))</f>
        <v>3</v>
      </c>
      <c r="M1249" s="23"/>
      <c r="N1249" s="23"/>
      <c r="O1249" s="23"/>
    </row>
    <row r="1250" customFormat="false" ht="15" hidden="false" customHeight="true" outlineLevel="0" collapsed="false">
      <c r="H1250" s="30"/>
      <c r="I1250" s="31" t="n">
        <f aca="false">ROUND(SUM(H1249:H1249),2)</f>
        <v>3</v>
      </c>
      <c r="J1250" s="32" t="n">
        <v>0.68</v>
      </c>
      <c r="K1250" s="31" t="n">
        <f aca="false">ROUND(I1250*J1250,2)</f>
        <v>2.04</v>
      </c>
      <c r="L1250" s="33" t="s">
        <v>122</v>
      </c>
      <c r="M1250" s="23" t="s">
        <v>123</v>
      </c>
      <c r="N1250" s="23" t="s">
        <v>75</v>
      </c>
      <c r="O1250" s="23" t="s">
        <v>1080</v>
      </c>
    </row>
    <row r="1251" customFormat="false" ht="15" hidden="false" customHeight="true" outlineLevel="0" collapsed="false">
      <c r="A1251" s="3" t="s">
        <v>1121</v>
      </c>
      <c r="B1251" s="3" t="s">
        <v>103</v>
      </c>
      <c r="C1251" s="3" t="s">
        <v>1122</v>
      </c>
      <c r="M1251" s="23"/>
      <c r="N1251" s="23"/>
      <c r="O1251" s="23"/>
    </row>
    <row r="1252" customFormat="false" ht="48" hidden="false" customHeight="true" outlineLevel="0" collapsed="false">
      <c r="C1252" s="26" t="s">
        <v>1123</v>
      </c>
      <c r="M1252" s="23"/>
      <c r="N1252" s="23"/>
      <c r="O1252" s="23"/>
    </row>
    <row r="1253" customFormat="false" ht="15" hidden="false" customHeight="true" outlineLevel="0" collapsed="false">
      <c r="C1253" s="27" t="s">
        <v>987</v>
      </c>
      <c r="D1253" s="28" t="n">
        <v>1</v>
      </c>
      <c r="H1253" s="29" t="n">
        <f aca="false">IF(COUNT(D1253:G1253)=0,0,D1253*IF(E1253="",1,E1253)*IF(F1253="",1,F1253)*IF(G1253="",1,G1253))</f>
        <v>1</v>
      </c>
      <c r="M1253" s="23"/>
      <c r="N1253" s="23"/>
      <c r="O1253" s="23"/>
    </row>
    <row r="1254" customFormat="false" ht="15" hidden="false" customHeight="true" outlineLevel="0" collapsed="false">
      <c r="H1254" s="30"/>
      <c r="I1254" s="31" t="n">
        <f aca="false">ROUND(SUM(H1253:H1253),2)</f>
        <v>1</v>
      </c>
      <c r="J1254" s="32" t="n">
        <v>15.01</v>
      </c>
      <c r="K1254" s="31" t="n">
        <f aca="false">ROUND(I1254*J1254,2)</f>
        <v>15.01</v>
      </c>
      <c r="L1254" s="33" t="s">
        <v>122</v>
      </c>
      <c r="M1254" s="23" t="s">
        <v>123</v>
      </c>
      <c r="N1254" s="23" t="s">
        <v>75</v>
      </c>
      <c r="O1254" s="23" t="s">
        <v>1080</v>
      </c>
    </row>
    <row r="1255" customFormat="false" ht="15" hidden="false" customHeight="true" outlineLevel="0" collapsed="false">
      <c r="A1255" s="3" t="s">
        <v>1124</v>
      </c>
      <c r="B1255" s="3" t="s">
        <v>103</v>
      </c>
      <c r="C1255" s="3" t="s">
        <v>1125</v>
      </c>
      <c r="M1255" s="23"/>
      <c r="N1255" s="23"/>
      <c r="O1255" s="23"/>
    </row>
    <row r="1256" customFormat="false" ht="36" hidden="false" customHeight="true" outlineLevel="0" collapsed="false">
      <c r="C1256" s="26" t="s">
        <v>1126</v>
      </c>
      <c r="M1256" s="23"/>
      <c r="N1256" s="23"/>
      <c r="O1256" s="23"/>
    </row>
    <row r="1257" customFormat="false" ht="15" hidden="false" customHeight="true" outlineLevel="0" collapsed="false">
      <c r="C1257" s="27" t="s">
        <v>987</v>
      </c>
      <c r="D1257" s="28" t="n">
        <v>13</v>
      </c>
      <c r="H1257" s="29" t="n">
        <f aca="false">IF(COUNT(D1257:G1257)=0,0,D1257*IF(E1257="",1,E1257)*IF(F1257="",1,F1257)*IF(G1257="",1,G1257))</f>
        <v>13</v>
      </c>
      <c r="M1257" s="23"/>
      <c r="N1257" s="23"/>
      <c r="O1257" s="23"/>
    </row>
    <row r="1258" customFormat="false" ht="15" hidden="false" customHeight="true" outlineLevel="0" collapsed="false">
      <c r="H1258" s="30"/>
      <c r="I1258" s="31" t="n">
        <f aca="false">ROUND(SUM(H1257:H1257),2)</f>
        <v>13</v>
      </c>
      <c r="J1258" s="32" t="n">
        <v>0.57</v>
      </c>
      <c r="K1258" s="31" t="n">
        <f aca="false">ROUND(I1258*J1258,2)</f>
        <v>7.41</v>
      </c>
      <c r="L1258" s="33" t="s">
        <v>122</v>
      </c>
      <c r="M1258" s="23" t="s">
        <v>123</v>
      </c>
      <c r="N1258" s="23" t="s">
        <v>75</v>
      </c>
      <c r="O1258" s="23" t="s">
        <v>1080</v>
      </c>
    </row>
    <row r="1259" customFormat="false" ht="15" hidden="false" customHeight="true" outlineLevel="0" collapsed="false">
      <c r="A1259" s="3" t="s">
        <v>1127</v>
      </c>
      <c r="B1259" s="3" t="s">
        <v>103</v>
      </c>
      <c r="C1259" s="3" t="s">
        <v>1128</v>
      </c>
      <c r="M1259" s="23"/>
      <c r="N1259" s="23"/>
      <c r="O1259" s="23"/>
    </row>
    <row r="1260" customFormat="false" ht="36" hidden="false" customHeight="true" outlineLevel="0" collapsed="false">
      <c r="C1260" s="26" t="s">
        <v>1129</v>
      </c>
      <c r="M1260" s="23"/>
      <c r="N1260" s="23"/>
      <c r="O1260" s="23"/>
    </row>
    <row r="1261" customFormat="false" ht="15" hidden="false" customHeight="true" outlineLevel="0" collapsed="false">
      <c r="C1261" s="27" t="s">
        <v>987</v>
      </c>
      <c r="D1261" s="28" t="n">
        <v>6</v>
      </c>
      <c r="H1261" s="29" t="n">
        <f aca="false">IF(COUNT(D1261:G1261)=0,0,D1261*IF(E1261="",1,E1261)*IF(F1261="",1,F1261)*IF(G1261="",1,G1261))</f>
        <v>6</v>
      </c>
      <c r="M1261" s="23"/>
      <c r="N1261" s="23"/>
      <c r="O1261" s="23"/>
    </row>
    <row r="1262" customFormat="false" ht="15" hidden="false" customHeight="true" outlineLevel="0" collapsed="false">
      <c r="H1262" s="30"/>
      <c r="I1262" s="31" t="n">
        <f aca="false">ROUND(SUM(H1261:H1261),2)</f>
        <v>6</v>
      </c>
      <c r="J1262" s="32" t="n">
        <v>1.08</v>
      </c>
      <c r="K1262" s="31" t="n">
        <f aca="false">ROUND(I1262*J1262,2)</f>
        <v>6.48</v>
      </c>
      <c r="L1262" s="33" t="s">
        <v>122</v>
      </c>
      <c r="M1262" s="23" t="s">
        <v>123</v>
      </c>
      <c r="N1262" s="23" t="s">
        <v>75</v>
      </c>
      <c r="O1262" s="23" t="s">
        <v>1080</v>
      </c>
    </row>
    <row r="1263" customFormat="false" ht="15" hidden="false" customHeight="true" outlineLevel="0" collapsed="false">
      <c r="A1263" s="3" t="s">
        <v>1130</v>
      </c>
      <c r="B1263" s="3" t="s">
        <v>103</v>
      </c>
      <c r="C1263" s="3" t="s">
        <v>1131</v>
      </c>
      <c r="M1263" s="23"/>
      <c r="N1263" s="23"/>
      <c r="O1263" s="23"/>
    </row>
    <row r="1264" customFormat="false" ht="36" hidden="false" customHeight="true" outlineLevel="0" collapsed="false">
      <c r="C1264" s="26" t="s">
        <v>1132</v>
      </c>
      <c r="M1264" s="23"/>
      <c r="N1264" s="23"/>
      <c r="O1264" s="23"/>
    </row>
    <row r="1265" customFormat="false" ht="15" hidden="false" customHeight="true" outlineLevel="0" collapsed="false">
      <c r="C1265" s="27" t="s">
        <v>987</v>
      </c>
      <c r="D1265" s="28" t="n">
        <v>1</v>
      </c>
      <c r="H1265" s="29" t="n">
        <f aca="false">IF(COUNT(D1265:G1265)=0,0,D1265*IF(E1265="",1,E1265)*IF(F1265="",1,F1265)*IF(G1265="",1,G1265))</f>
        <v>1</v>
      </c>
      <c r="M1265" s="23"/>
      <c r="N1265" s="23"/>
      <c r="O1265" s="23"/>
    </row>
    <row r="1266" customFormat="false" ht="15" hidden="false" customHeight="true" outlineLevel="0" collapsed="false">
      <c r="H1266" s="30"/>
      <c r="I1266" s="31" t="n">
        <f aca="false">ROUND(SUM(H1265:H1265),2)</f>
        <v>1</v>
      </c>
      <c r="J1266" s="32" t="n">
        <v>1.78</v>
      </c>
      <c r="K1266" s="31" t="n">
        <f aca="false">ROUND(I1266*J1266,2)</f>
        <v>1.78</v>
      </c>
      <c r="L1266" s="33" t="s">
        <v>122</v>
      </c>
      <c r="M1266" s="23" t="s">
        <v>123</v>
      </c>
      <c r="N1266" s="23" t="s">
        <v>75</v>
      </c>
      <c r="O1266" s="23" t="s">
        <v>1080</v>
      </c>
    </row>
    <row r="1267" customFormat="false" ht="15" hidden="false" customHeight="true" outlineLevel="0" collapsed="false">
      <c r="A1267" s="3" t="s">
        <v>1133</v>
      </c>
      <c r="B1267" s="3" t="s">
        <v>103</v>
      </c>
      <c r="C1267" s="3" t="s">
        <v>1134</v>
      </c>
      <c r="M1267" s="23"/>
      <c r="N1267" s="23"/>
      <c r="O1267" s="23"/>
    </row>
    <row r="1268" customFormat="false" ht="36" hidden="false" customHeight="true" outlineLevel="0" collapsed="false">
      <c r="C1268" s="26" t="s">
        <v>1135</v>
      </c>
      <c r="M1268" s="23"/>
      <c r="N1268" s="23"/>
      <c r="O1268" s="23"/>
    </row>
    <row r="1269" customFormat="false" ht="15" hidden="false" customHeight="true" outlineLevel="0" collapsed="false">
      <c r="C1269" s="27" t="s">
        <v>987</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2.1</v>
      </c>
      <c r="K1270" s="31" t="n">
        <f aca="false">ROUND(I1270*J1270,2)</f>
        <v>2.1</v>
      </c>
      <c r="L1270" s="33" t="s">
        <v>122</v>
      </c>
      <c r="M1270" s="23" t="s">
        <v>123</v>
      </c>
      <c r="N1270" s="23" t="s">
        <v>75</v>
      </c>
      <c r="O1270" s="23" t="s">
        <v>1080</v>
      </c>
    </row>
    <row r="1271" customFormat="false" ht="15" hidden="false" customHeight="true" outlineLevel="0" collapsed="false">
      <c r="A1271" s="3" t="s">
        <v>1136</v>
      </c>
      <c r="B1271" s="3" t="s">
        <v>103</v>
      </c>
      <c r="C1271" s="3" t="s">
        <v>1137</v>
      </c>
      <c r="M1271" s="23"/>
      <c r="N1271" s="23"/>
      <c r="O1271" s="23"/>
    </row>
    <row r="1272" customFormat="false" ht="36" hidden="false" customHeight="true" outlineLevel="0" collapsed="false">
      <c r="C1272" s="26" t="s">
        <v>1138</v>
      </c>
      <c r="M1272" s="23"/>
      <c r="N1272" s="23"/>
      <c r="O1272" s="23"/>
    </row>
    <row r="1273" customFormat="false" ht="15" hidden="false" customHeight="true" outlineLevel="0" collapsed="false">
      <c r="C1273" s="27" t="s">
        <v>987</v>
      </c>
      <c r="D1273" s="28" t="n">
        <v>4</v>
      </c>
      <c r="H1273" s="29" t="n">
        <f aca="false">IF(COUNT(D1273:G1273)=0,0,D1273*IF(E1273="",1,E1273)*IF(F1273="",1,F1273)*IF(G1273="",1,G1273))</f>
        <v>4</v>
      </c>
      <c r="M1273" s="23"/>
      <c r="N1273" s="23"/>
      <c r="O1273" s="23"/>
    </row>
    <row r="1274" customFormat="false" ht="15" hidden="false" customHeight="true" outlineLevel="0" collapsed="false">
      <c r="H1274" s="30"/>
      <c r="I1274" s="31" t="n">
        <f aca="false">ROUND(SUM(H1273:H1273),2)</f>
        <v>4</v>
      </c>
      <c r="J1274" s="32" t="n">
        <v>9.67</v>
      </c>
      <c r="K1274" s="31" t="n">
        <f aca="false">ROUND(I1274*J1274,2)</f>
        <v>38.68</v>
      </c>
      <c r="L1274" s="33" t="s">
        <v>122</v>
      </c>
      <c r="M1274" s="23" t="s">
        <v>123</v>
      </c>
      <c r="N1274" s="23" t="s">
        <v>75</v>
      </c>
      <c r="O1274" s="23" t="s">
        <v>1080</v>
      </c>
    </row>
    <row r="1275" customFormat="false" ht="15" hidden="false" customHeight="true" outlineLevel="0" collapsed="false">
      <c r="A1275" s="3" t="s">
        <v>1139</v>
      </c>
      <c r="B1275" s="3" t="s">
        <v>103</v>
      </c>
      <c r="C1275" s="3" t="s">
        <v>1140</v>
      </c>
      <c r="M1275" s="23"/>
      <c r="N1275" s="23"/>
      <c r="O1275" s="23"/>
    </row>
    <row r="1276" customFormat="false" ht="36" hidden="false" customHeight="true" outlineLevel="0" collapsed="false">
      <c r="C1276" s="26" t="s">
        <v>1141</v>
      </c>
      <c r="M1276" s="23"/>
      <c r="N1276" s="23"/>
      <c r="O1276" s="23"/>
    </row>
    <row r="1277" customFormat="false" ht="15" hidden="false" customHeight="true" outlineLevel="0" collapsed="false">
      <c r="C1277" s="27" t="s">
        <v>987</v>
      </c>
      <c r="D1277" s="28" t="n">
        <v>1</v>
      </c>
      <c r="H1277" s="29" t="n">
        <f aca="false">IF(COUNT(D1277:G1277)=0,0,D1277*IF(E1277="",1,E1277)*IF(F1277="",1,F1277)*IF(G1277="",1,G1277))</f>
        <v>1</v>
      </c>
      <c r="M1277" s="23"/>
      <c r="N1277" s="23"/>
      <c r="O1277" s="23"/>
    </row>
    <row r="1278" customFormat="false" ht="15" hidden="false" customHeight="true" outlineLevel="0" collapsed="false">
      <c r="H1278" s="30"/>
      <c r="I1278" s="31" t="n">
        <f aca="false">ROUND(SUM(H1277:H1277),2)</f>
        <v>1</v>
      </c>
      <c r="J1278" s="32" t="n">
        <v>11.18</v>
      </c>
      <c r="K1278" s="31" t="n">
        <f aca="false">ROUND(I1278*J1278,2)</f>
        <v>11.18</v>
      </c>
      <c r="L1278" s="33" t="s">
        <v>122</v>
      </c>
      <c r="M1278" s="23" t="s">
        <v>123</v>
      </c>
      <c r="N1278" s="23" t="s">
        <v>75</v>
      </c>
      <c r="O1278" s="23" t="s">
        <v>1080</v>
      </c>
    </row>
    <row r="1279" customFormat="false" ht="15" hidden="false" customHeight="true" outlineLevel="0" collapsed="false">
      <c r="A1279" s="3" t="s">
        <v>1142</v>
      </c>
      <c r="B1279" s="3" t="s">
        <v>103</v>
      </c>
      <c r="C1279" s="3" t="s">
        <v>1143</v>
      </c>
      <c r="M1279" s="23"/>
      <c r="N1279" s="23"/>
      <c r="O1279" s="23"/>
    </row>
    <row r="1280" customFormat="false" ht="36" hidden="false" customHeight="true" outlineLevel="0" collapsed="false">
      <c r="C1280" s="26" t="s">
        <v>1144</v>
      </c>
      <c r="M1280" s="23"/>
      <c r="N1280" s="23"/>
      <c r="O1280" s="23"/>
    </row>
    <row r="1281" customFormat="false" ht="15" hidden="false" customHeight="true" outlineLevel="0" collapsed="false">
      <c r="C1281" s="27" t="s">
        <v>987</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0.58</v>
      </c>
      <c r="K1282" s="31" t="n">
        <f aca="false">ROUND(I1282*J1282,2)</f>
        <v>0.58</v>
      </c>
      <c r="L1282" s="33" t="s">
        <v>122</v>
      </c>
      <c r="M1282" s="23" t="s">
        <v>123</v>
      </c>
      <c r="N1282" s="23" t="s">
        <v>75</v>
      </c>
      <c r="O1282" s="23" t="s">
        <v>1080</v>
      </c>
    </row>
    <row r="1283" customFormat="false" ht="15" hidden="false" customHeight="true" outlineLevel="0" collapsed="false">
      <c r="A1283" s="3" t="s">
        <v>1145</v>
      </c>
      <c r="B1283" s="3" t="s">
        <v>103</v>
      </c>
      <c r="C1283" s="3" t="s">
        <v>1146</v>
      </c>
      <c r="M1283" s="23"/>
      <c r="N1283" s="23"/>
      <c r="O1283" s="23"/>
    </row>
    <row r="1284" customFormat="false" ht="48" hidden="false" customHeight="true" outlineLevel="0" collapsed="false">
      <c r="C1284" s="26" t="s">
        <v>1147</v>
      </c>
      <c r="M1284" s="23"/>
      <c r="N1284" s="23"/>
      <c r="O1284" s="23"/>
    </row>
    <row r="1285" customFormat="false" ht="15" hidden="false" customHeight="true" outlineLevel="0" collapsed="false">
      <c r="C1285" s="27" t="s">
        <v>987</v>
      </c>
      <c r="D1285" s="28" t="n">
        <v>3</v>
      </c>
      <c r="H1285" s="29" t="n">
        <f aca="false">IF(COUNT(D1285:G1285)=0,0,D1285*IF(E1285="",1,E1285)*IF(F1285="",1,F1285)*IF(G1285="",1,G1285))</f>
        <v>3</v>
      </c>
      <c r="M1285" s="23"/>
      <c r="N1285" s="23"/>
      <c r="O1285" s="23"/>
    </row>
    <row r="1286" customFormat="false" ht="15" hidden="false" customHeight="true" outlineLevel="0" collapsed="false">
      <c r="H1286" s="30"/>
      <c r="I1286" s="31" t="n">
        <f aca="false">ROUND(SUM(H1285:H1285),2)</f>
        <v>3</v>
      </c>
      <c r="J1286" s="32" t="n">
        <v>1.87</v>
      </c>
      <c r="K1286" s="31" t="n">
        <f aca="false">ROUND(I1286*J1286,2)</f>
        <v>5.61</v>
      </c>
      <c r="L1286" s="33" t="s">
        <v>122</v>
      </c>
      <c r="M1286" s="23" t="s">
        <v>123</v>
      </c>
      <c r="N1286" s="23" t="s">
        <v>75</v>
      </c>
      <c r="O1286" s="23" t="s">
        <v>1080</v>
      </c>
    </row>
    <row r="1287" customFormat="false" ht="15" hidden="false" customHeight="true" outlineLevel="0" collapsed="false">
      <c r="A1287" s="3" t="s">
        <v>1148</v>
      </c>
      <c r="B1287" s="3" t="s">
        <v>103</v>
      </c>
      <c r="C1287" s="3" t="s">
        <v>1149</v>
      </c>
      <c r="M1287" s="23"/>
      <c r="N1287" s="23"/>
      <c r="O1287" s="23"/>
    </row>
    <row r="1288" customFormat="false" ht="36" hidden="false" customHeight="true" outlineLevel="0" collapsed="false">
      <c r="C1288" s="26" t="s">
        <v>1150</v>
      </c>
      <c r="M1288" s="23"/>
      <c r="N1288" s="23"/>
      <c r="O1288" s="23"/>
    </row>
    <row r="1289" customFormat="false" ht="15" hidden="false" customHeight="true" outlineLevel="0" collapsed="false">
      <c r="C1289" s="27" t="s">
        <v>987</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0.29</v>
      </c>
      <c r="K1290" s="31" t="n">
        <f aca="false">ROUND(I1290*J1290,2)</f>
        <v>0.87</v>
      </c>
      <c r="L1290" s="33" t="s">
        <v>122</v>
      </c>
      <c r="M1290" s="23" t="s">
        <v>123</v>
      </c>
      <c r="N1290" s="23" t="s">
        <v>75</v>
      </c>
      <c r="O1290" s="23" t="s">
        <v>1080</v>
      </c>
    </row>
    <row r="1291" customFormat="false" ht="15" hidden="false" customHeight="true" outlineLevel="0" collapsed="false">
      <c r="A1291" s="3" t="s">
        <v>1151</v>
      </c>
      <c r="B1291" s="3" t="s">
        <v>103</v>
      </c>
      <c r="C1291" s="3" t="s">
        <v>1152</v>
      </c>
      <c r="M1291" s="23"/>
      <c r="N1291" s="23"/>
      <c r="O1291" s="23"/>
    </row>
    <row r="1292" customFormat="false" ht="36" hidden="false" customHeight="true" outlineLevel="0" collapsed="false">
      <c r="C1292" s="26" t="s">
        <v>1153</v>
      </c>
      <c r="M1292" s="23"/>
      <c r="N1292" s="23"/>
      <c r="O1292" s="23"/>
    </row>
    <row r="1293" customFormat="false" ht="15" hidden="false" customHeight="true" outlineLevel="0" collapsed="false">
      <c r="C1293" s="27" t="s">
        <v>987</v>
      </c>
      <c r="D1293" s="28" t="n">
        <v>2</v>
      </c>
      <c r="H1293" s="29" t="n">
        <f aca="false">IF(COUNT(D1293:G1293)=0,0,D1293*IF(E1293="",1,E1293)*IF(F1293="",1,F1293)*IF(G1293="",1,G1293))</f>
        <v>2</v>
      </c>
      <c r="M1293" s="23"/>
      <c r="N1293" s="23"/>
      <c r="O1293" s="23"/>
    </row>
    <row r="1294" customFormat="false" ht="15" hidden="false" customHeight="true" outlineLevel="0" collapsed="false">
      <c r="H1294" s="30"/>
      <c r="I1294" s="31" t="n">
        <f aca="false">ROUND(SUM(H1293:H1293),2)</f>
        <v>2</v>
      </c>
      <c r="J1294" s="32" t="n">
        <v>5.83</v>
      </c>
      <c r="K1294" s="31" t="n">
        <f aca="false">ROUND(I1294*J1294,2)</f>
        <v>11.66</v>
      </c>
      <c r="L1294" s="33" t="s">
        <v>122</v>
      </c>
      <c r="M1294" s="23" t="s">
        <v>123</v>
      </c>
      <c r="N1294" s="23" t="s">
        <v>75</v>
      </c>
      <c r="O1294" s="23" t="s">
        <v>1080</v>
      </c>
    </row>
    <row r="1295" customFormat="false" ht="15" hidden="false" customHeight="true" outlineLevel="0" collapsed="false">
      <c r="A1295" s="3" t="s">
        <v>1154</v>
      </c>
      <c r="B1295" s="3" t="s">
        <v>103</v>
      </c>
      <c r="C1295" s="3" t="s">
        <v>1155</v>
      </c>
      <c r="M1295" s="23"/>
      <c r="N1295" s="23"/>
      <c r="O1295" s="23"/>
    </row>
    <row r="1296" customFormat="false" ht="36" hidden="false" customHeight="true" outlineLevel="0" collapsed="false">
      <c r="C1296" s="26" t="s">
        <v>1156</v>
      </c>
      <c r="M1296" s="23"/>
      <c r="N1296" s="23"/>
      <c r="O1296" s="23"/>
    </row>
    <row r="1297" customFormat="false" ht="15" hidden="false" customHeight="true" outlineLevel="0" collapsed="false">
      <c r="C1297" s="27" t="s">
        <v>987</v>
      </c>
      <c r="D1297" s="28" t="n">
        <v>1</v>
      </c>
      <c r="H1297" s="29" t="n">
        <f aca="false">IF(COUNT(D1297:G1297)=0,0,D1297*IF(E1297="",1,E1297)*IF(F1297="",1,F1297)*IF(G1297="",1,G1297))</f>
        <v>1</v>
      </c>
      <c r="M1297" s="23"/>
      <c r="N1297" s="23"/>
      <c r="O1297" s="23"/>
    </row>
    <row r="1298" customFormat="false" ht="15" hidden="false" customHeight="true" outlineLevel="0" collapsed="false">
      <c r="H1298" s="30"/>
      <c r="I1298" s="31" t="n">
        <f aca="false">ROUND(SUM(H1297:H1297),2)</f>
        <v>1</v>
      </c>
      <c r="J1298" s="32" t="n">
        <v>7.81</v>
      </c>
      <c r="K1298" s="31" t="n">
        <f aca="false">ROUND(I1298*J1298,2)</f>
        <v>7.81</v>
      </c>
      <c r="L1298" s="33" t="s">
        <v>122</v>
      </c>
      <c r="M1298" s="23" t="s">
        <v>123</v>
      </c>
      <c r="N1298" s="23" t="s">
        <v>75</v>
      </c>
      <c r="O1298" s="23" t="s">
        <v>1080</v>
      </c>
    </row>
    <row r="1299" customFormat="false" ht="15" hidden="false" customHeight="true" outlineLevel="0" collapsed="false">
      <c r="A1299" s="3" t="s">
        <v>1157</v>
      </c>
      <c r="B1299" s="3" t="s">
        <v>103</v>
      </c>
      <c r="C1299" s="3" t="s">
        <v>1158</v>
      </c>
      <c r="M1299" s="23"/>
      <c r="N1299" s="23"/>
      <c r="O1299" s="23"/>
    </row>
    <row r="1300" customFormat="false" ht="36" hidden="false" customHeight="true" outlineLevel="0" collapsed="false">
      <c r="C1300" s="26" t="s">
        <v>1159</v>
      </c>
      <c r="M1300" s="23"/>
      <c r="N1300" s="23"/>
      <c r="O1300" s="23"/>
    </row>
    <row r="1301" customFormat="false" ht="15" hidden="false" customHeight="true" outlineLevel="0" collapsed="false">
      <c r="C1301" s="27" t="s">
        <v>987</v>
      </c>
      <c r="D1301" s="28" t="n">
        <v>3</v>
      </c>
      <c r="H1301" s="29" t="n">
        <f aca="false">IF(COUNT(D1301:G1301)=0,0,D1301*IF(E1301="",1,E1301)*IF(F1301="",1,F1301)*IF(G1301="",1,G1301))</f>
        <v>3</v>
      </c>
      <c r="M1301" s="23"/>
      <c r="N1301" s="23"/>
      <c r="O1301" s="23"/>
    </row>
    <row r="1302" customFormat="false" ht="15" hidden="false" customHeight="true" outlineLevel="0" collapsed="false">
      <c r="H1302" s="30"/>
      <c r="I1302" s="31" t="n">
        <f aca="false">ROUND(SUM(H1301:H1301),2)</f>
        <v>3</v>
      </c>
      <c r="J1302" s="32" t="n">
        <v>9.03</v>
      </c>
      <c r="K1302" s="31" t="n">
        <f aca="false">ROUND(I1302*J1302,2)</f>
        <v>27.09</v>
      </c>
      <c r="L1302" s="33" t="s">
        <v>122</v>
      </c>
      <c r="M1302" s="23" t="s">
        <v>123</v>
      </c>
      <c r="N1302" s="23" t="s">
        <v>75</v>
      </c>
      <c r="O1302" s="23" t="s">
        <v>1080</v>
      </c>
    </row>
    <row r="1303" customFormat="false" ht="15" hidden="false" customHeight="true" outlineLevel="0" collapsed="false">
      <c r="A1303" s="3" t="s">
        <v>1160</v>
      </c>
      <c r="B1303" s="3" t="s">
        <v>103</v>
      </c>
      <c r="C1303" s="3" t="s">
        <v>1161</v>
      </c>
      <c r="M1303" s="23"/>
      <c r="N1303" s="23"/>
      <c r="O1303" s="23"/>
    </row>
    <row r="1304" customFormat="false" ht="36" hidden="false" customHeight="true" outlineLevel="0" collapsed="false">
      <c r="C1304" s="26" t="s">
        <v>1162</v>
      </c>
      <c r="M1304" s="23"/>
      <c r="N1304" s="23"/>
      <c r="O1304" s="23"/>
    </row>
    <row r="1305" customFormat="false" ht="15" hidden="false" customHeight="true" outlineLevel="0" collapsed="false">
      <c r="C1305" s="27" t="s">
        <v>987</v>
      </c>
      <c r="D1305" s="28" t="n">
        <v>2</v>
      </c>
      <c r="H1305" s="29" t="n">
        <f aca="false">IF(COUNT(D1305:G1305)=0,0,D1305*IF(E1305="",1,E1305)*IF(F1305="",1,F1305)*IF(G1305="",1,G1305))</f>
        <v>2</v>
      </c>
      <c r="M1305" s="23"/>
      <c r="N1305" s="23"/>
      <c r="O1305" s="23"/>
    </row>
    <row r="1306" customFormat="false" ht="15" hidden="false" customHeight="true" outlineLevel="0" collapsed="false">
      <c r="H1306" s="30"/>
      <c r="I1306" s="31" t="n">
        <f aca="false">ROUND(SUM(H1305:H1305),2)</f>
        <v>2</v>
      </c>
      <c r="J1306" s="32" t="n">
        <v>7.65</v>
      </c>
      <c r="K1306" s="31" t="n">
        <f aca="false">ROUND(I1306*J1306,2)</f>
        <v>15.3</v>
      </c>
      <c r="L1306" s="33" t="s">
        <v>122</v>
      </c>
      <c r="M1306" s="23" t="s">
        <v>123</v>
      </c>
      <c r="N1306" s="23" t="s">
        <v>75</v>
      </c>
      <c r="O1306" s="23" t="s">
        <v>1080</v>
      </c>
    </row>
    <row r="1307" customFormat="false" ht="15" hidden="false" customHeight="true" outlineLevel="0" collapsed="false">
      <c r="A1307" s="3" t="s">
        <v>1163</v>
      </c>
      <c r="B1307" s="3" t="s">
        <v>103</v>
      </c>
      <c r="C1307" s="3" t="s">
        <v>1164</v>
      </c>
      <c r="M1307" s="23"/>
      <c r="N1307" s="23"/>
      <c r="O1307" s="23"/>
    </row>
    <row r="1308" customFormat="false" ht="36" hidden="false" customHeight="true" outlineLevel="0" collapsed="false">
      <c r="C1308" s="26" t="s">
        <v>1165</v>
      </c>
      <c r="M1308" s="23"/>
      <c r="N1308" s="23"/>
      <c r="O1308" s="23"/>
    </row>
    <row r="1309" customFormat="false" ht="15" hidden="false" customHeight="true" outlineLevel="0" collapsed="false">
      <c r="C1309" s="27" t="s">
        <v>987</v>
      </c>
      <c r="D1309" s="28" t="n">
        <v>1</v>
      </c>
      <c r="H1309" s="29" t="n">
        <f aca="false">IF(COUNT(D1309:G1309)=0,0,D1309*IF(E1309="",1,E1309)*IF(F1309="",1,F1309)*IF(G1309="",1,G1309))</f>
        <v>1</v>
      </c>
      <c r="M1309" s="23"/>
      <c r="N1309" s="23"/>
      <c r="O1309" s="23"/>
    </row>
    <row r="1310" customFormat="false" ht="15" hidden="false" customHeight="true" outlineLevel="0" collapsed="false">
      <c r="H1310" s="30"/>
      <c r="I1310" s="31" t="n">
        <f aca="false">ROUND(SUM(H1309:H1309),2)</f>
        <v>1</v>
      </c>
      <c r="J1310" s="32" t="n">
        <v>1.3</v>
      </c>
      <c r="K1310" s="31" t="n">
        <f aca="false">ROUND(I1310*J1310,2)</f>
        <v>1.3</v>
      </c>
      <c r="L1310" s="33" t="s">
        <v>122</v>
      </c>
      <c r="M1310" s="23" t="s">
        <v>123</v>
      </c>
      <c r="N1310" s="23" t="s">
        <v>75</v>
      </c>
      <c r="O1310" s="23" t="s">
        <v>1080</v>
      </c>
    </row>
    <row r="1311" customFormat="false" ht="15" hidden="false" customHeight="true" outlineLevel="0" collapsed="false">
      <c r="A1311" s="3" t="s">
        <v>1166</v>
      </c>
      <c r="B1311" s="3" t="s">
        <v>103</v>
      </c>
      <c r="C1311" s="3" t="s">
        <v>1167</v>
      </c>
      <c r="M1311" s="23"/>
      <c r="N1311" s="23"/>
      <c r="O1311" s="23"/>
    </row>
    <row r="1312" customFormat="false" ht="36" hidden="false" customHeight="true" outlineLevel="0" collapsed="false">
      <c r="C1312" s="26" t="s">
        <v>1168</v>
      </c>
      <c r="M1312" s="23"/>
      <c r="N1312" s="23"/>
      <c r="O1312" s="23"/>
    </row>
    <row r="1313" customFormat="false" ht="15" hidden="false" customHeight="true" outlineLevel="0" collapsed="false">
      <c r="C1313" s="27" t="s">
        <v>987</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12.72</v>
      </c>
      <c r="K1314" s="31" t="n">
        <f aca="false">ROUND(I1314*J1314,2)</f>
        <v>12.72</v>
      </c>
      <c r="L1314" s="33" t="s">
        <v>122</v>
      </c>
      <c r="M1314" s="23" t="s">
        <v>123</v>
      </c>
      <c r="N1314" s="23" t="s">
        <v>75</v>
      </c>
      <c r="O1314" s="23" t="s">
        <v>1080</v>
      </c>
    </row>
    <row r="1315" customFormat="false" ht="15" hidden="false" customHeight="true" outlineLevel="0" collapsed="false">
      <c r="A1315" s="3" t="s">
        <v>1169</v>
      </c>
      <c r="B1315" s="3" t="s">
        <v>103</v>
      </c>
      <c r="C1315" s="3" t="s">
        <v>1170</v>
      </c>
      <c r="M1315" s="23"/>
      <c r="N1315" s="23"/>
      <c r="O1315" s="23"/>
    </row>
    <row r="1316" customFormat="false" ht="36" hidden="false" customHeight="true" outlineLevel="0" collapsed="false">
      <c r="C1316" s="26" t="s">
        <v>1171</v>
      </c>
      <c r="M1316" s="23"/>
      <c r="N1316" s="23"/>
      <c r="O1316" s="23"/>
    </row>
    <row r="1317" customFormat="false" ht="15" hidden="false" customHeight="true" outlineLevel="0" collapsed="false">
      <c r="C1317" s="27" t="s">
        <v>987</v>
      </c>
      <c r="D1317" s="28" t="n">
        <v>3</v>
      </c>
      <c r="H1317" s="29" t="n">
        <f aca="false">IF(COUNT(D1317:G1317)=0,0,D1317*IF(E1317="",1,E1317)*IF(F1317="",1,F1317)*IF(G1317="",1,G1317))</f>
        <v>3</v>
      </c>
      <c r="M1317" s="23"/>
      <c r="N1317" s="23"/>
      <c r="O1317" s="23"/>
    </row>
    <row r="1318" customFormat="false" ht="15" hidden="false" customHeight="true" outlineLevel="0" collapsed="false">
      <c r="H1318" s="30"/>
      <c r="I1318" s="31" t="n">
        <f aca="false">ROUND(SUM(H1317:H1317),2)</f>
        <v>3</v>
      </c>
      <c r="J1318" s="32" t="n">
        <v>1.4</v>
      </c>
      <c r="K1318" s="31" t="n">
        <f aca="false">ROUND(I1318*J1318,2)</f>
        <v>4.2</v>
      </c>
      <c r="L1318" s="33" t="s">
        <v>122</v>
      </c>
      <c r="M1318" s="23" t="s">
        <v>123</v>
      </c>
      <c r="N1318" s="23" t="s">
        <v>75</v>
      </c>
      <c r="O1318" s="23" t="s">
        <v>1080</v>
      </c>
    </row>
    <row r="1319" customFormat="false" ht="15" hidden="false" customHeight="true" outlineLevel="0" collapsed="false">
      <c r="A1319" s="3" t="s">
        <v>1172</v>
      </c>
      <c r="B1319" s="3" t="s">
        <v>103</v>
      </c>
      <c r="C1319" s="3" t="s">
        <v>1173</v>
      </c>
      <c r="M1319" s="23"/>
      <c r="N1319" s="23"/>
      <c r="O1319" s="23"/>
    </row>
    <row r="1320" customFormat="false" ht="36" hidden="false" customHeight="true" outlineLevel="0" collapsed="false">
      <c r="C1320" s="26" t="s">
        <v>1174</v>
      </c>
      <c r="M1320" s="23"/>
      <c r="N1320" s="23"/>
      <c r="O1320" s="23"/>
    </row>
    <row r="1321" customFormat="false" ht="15" hidden="false" customHeight="true" outlineLevel="0" collapsed="false">
      <c r="C1321" s="27" t="s">
        <v>987</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3.47</v>
      </c>
      <c r="K1322" s="31" t="n">
        <f aca="false">ROUND(I1322*J1322,2)</f>
        <v>10.41</v>
      </c>
      <c r="L1322" s="33" t="s">
        <v>122</v>
      </c>
      <c r="M1322" s="23" t="s">
        <v>123</v>
      </c>
      <c r="N1322" s="23" t="s">
        <v>75</v>
      </c>
      <c r="O1322" s="23" t="s">
        <v>1080</v>
      </c>
    </row>
    <row r="1323" customFormat="false" ht="15" hidden="false" customHeight="true" outlineLevel="0" collapsed="false">
      <c r="A1323" s="3" t="s">
        <v>1175</v>
      </c>
      <c r="B1323" s="3" t="s">
        <v>103</v>
      </c>
      <c r="C1323" s="3" t="s">
        <v>1176</v>
      </c>
      <c r="M1323" s="23"/>
      <c r="N1323" s="23"/>
      <c r="O1323" s="23"/>
    </row>
    <row r="1324" customFormat="false" ht="36" hidden="false" customHeight="true" outlineLevel="0" collapsed="false">
      <c r="C1324" s="26" t="s">
        <v>1177</v>
      </c>
      <c r="M1324" s="23"/>
      <c r="N1324" s="23"/>
      <c r="O1324" s="23"/>
    </row>
    <row r="1325" customFormat="false" ht="15" hidden="false" customHeight="true" outlineLevel="0" collapsed="false">
      <c r="C1325" s="27" t="s">
        <v>987</v>
      </c>
      <c r="D1325" s="28" t="n">
        <v>6</v>
      </c>
      <c r="H1325" s="29" t="n">
        <f aca="false">IF(COUNT(D1325:G1325)=0,0,D1325*IF(E1325="",1,E1325)*IF(F1325="",1,F1325)*IF(G1325="",1,G1325))</f>
        <v>6</v>
      </c>
      <c r="M1325" s="23"/>
      <c r="N1325" s="23"/>
      <c r="O1325" s="23"/>
    </row>
    <row r="1326" customFormat="false" ht="15" hidden="false" customHeight="true" outlineLevel="0" collapsed="false">
      <c r="H1326" s="30"/>
      <c r="I1326" s="31" t="n">
        <f aca="false">ROUND(SUM(H1325:H1325),2)</f>
        <v>6</v>
      </c>
      <c r="J1326" s="32" t="n">
        <v>2.1</v>
      </c>
      <c r="K1326" s="31" t="n">
        <f aca="false">ROUND(I1326*J1326,2)</f>
        <v>12.6</v>
      </c>
      <c r="L1326" s="33" t="s">
        <v>122</v>
      </c>
      <c r="M1326" s="23" t="s">
        <v>123</v>
      </c>
      <c r="N1326" s="23" t="s">
        <v>75</v>
      </c>
      <c r="O1326" s="23" t="s">
        <v>1080</v>
      </c>
    </row>
    <row r="1327" customFormat="false" ht="15" hidden="false" customHeight="true" outlineLevel="0" collapsed="false">
      <c r="A1327" s="3" t="s">
        <v>1178</v>
      </c>
      <c r="B1327" s="3" t="s">
        <v>103</v>
      </c>
      <c r="C1327" s="3" t="s">
        <v>1179</v>
      </c>
      <c r="M1327" s="23"/>
      <c r="N1327" s="23"/>
      <c r="O1327" s="23"/>
    </row>
    <row r="1328" customFormat="false" ht="36" hidden="false" customHeight="true" outlineLevel="0" collapsed="false">
      <c r="C1328" s="26" t="s">
        <v>1180</v>
      </c>
      <c r="M1328" s="23"/>
      <c r="N1328" s="23"/>
      <c r="O1328" s="23"/>
    </row>
    <row r="1329" customFormat="false" ht="15" hidden="false" customHeight="true" outlineLevel="0" collapsed="false">
      <c r="C1329" s="27" t="s">
        <v>987</v>
      </c>
      <c r="D1329" s="28" t="n">
        <v>3</v>
      </c>
      <c r="H1329" s="29" t="n">
        <f aca="false">IF(COUNT(D1329:G1329)=0,0,D1329*IF(E1329="",1,E1329)*IF(F1329="",1,F1329)*IF(G1329="",1,G1329))</f>
        <v>3</v>
      </c>
      <c r="M1329" s="23"/>
      <c r="N1329" s="23"/>
      <c r="O1329" s="23"/>
    </row>
    <row r="1330" customFormat="false" ht="15" hidden="false" customHeight="true" outlineLevel="0" collapsed="false">
      <c r="H1330" s="30"/>
      <c r="I1330" s="31" t="n">
        <f aca="false">ROUND(SUM(H1329:H1329),2)</f>
        <v>3</v>
      </c>
      <c r="J1330" s="32" t="n">
        <v>4.21</v>
      </c>
      <c r="K1330" s="31" t="n">
        <f aca="false">ROUND(I1330*J1330,2)</f>
        <v>12.63</v>
      </c>
      <c r="L1330" s="33" t="s">
        <v>122</v>
      </c>
      <c r="M1330" s="23" t="s">
        <v>123</v>
      </c>
      <c r="N1330" s="23" t="s">
        <v>75</v>
      </c>
      <c r="O1330" s="23" t="s">
        <v>1080</v>
      </c>
    </row>
    <row r="1331" customFormat="false" ht="15" hidden="false" customHeight="true" outlineLevel="0" collapsed="false">
      <c r="A1331" s="3" t="s">
        <v>1181</v>
      </c>
      <c r="B1331" s="3" t="s">
        <v>103</v>
      </c>
      <c r="C1331" s="3" t="s">
        <v>1182</v>
      </c>
      <c r="M1331" s="23"/>
      <c r="N1331" s="23"/>
      <c r="O1331" s="23"/>
    </row>
    <row r="1332" customFormat="false" ht="36" hidden="false" customHeight="true" outlineLevel="0" collapsed="false">
      <c r="C1332" s="26" t="s">
        <v>1183</v>
      </c>
      <c r="M1332" s="23"/>
      <c r="N1332" s="23"/>
      <c r="O1332" s="23"/>
    </row>
    <row r="1333" customFormat="false" ht="15" hidden="false" customHeight="true" outlineLevel="0" collapsed="false">
      <c r="C1333" s="27" t="s">
        <v>987</v>
      </c>
      <c r="D1333" s="28" t="n">
        <v>1</v>
      </c>
      <c r="H1333" s="29" t="n">
        <f aca="false">IF(COUNT(D1333:G1333)=0,0,D1333*IF(E1333="",1,E1333)*IF(F1333="",1,F1333)*IF(G1333="",1,G1333))</f>
        <v>1</v>
      </c>
      <c r="M1333" s="23"/>
      <c r="N1333" s="23"/>
      <c r="O1333" s="23"/>
    </row>
    <row r="1334" customFormat="false" ht="15" hidden="false" customHeight="true" outlineLevel="0" collapsed="false">
      <c r="H1334" s="30"/>
      <c r="I1334" s="31" t="n">
        <f aca="false">ROUND(SUM(H1333:H1333),2)</f>
        <v>1</v>
      </c>
      <c r="J1334" s="32" t="n">
        <v>3.26</v>
      </c>
      <c r="K1334" s="31" t="n">
        <f aca="false">ROUND(I1334*J1334,2)</f>
        <v>3.26</v>
      </c>
      <c r="L1334" s="33" t="s">
        <v>122</v>
      </c>
      <c r="M1334" s="23" t="s">
        <v>123</v>
      </c>
      <c r="N1334" s="23" t="s">
        <v>75</v>
      </c>
      <c r="O1334" s="23" t="s">
        <v>1080</v>
      </c>
    </row>
    <row r="1335" customFormat="false" ht="15" hidden="false" customHeight="true" outlineLevel="0" collapsed="false">
      <c r="A1335" s="3" t="s">
        <v>1184</v>
      </c>
      <c r="B1335" s="3" t="s">
        <v>103</v>
      </c>
      <c r="C1335" s="3" t="s">
        <v>1185</v>
      </c>
      <c r="M1335" s="23"/>
      <c r="N1335" s="23"/>
      <c r="O1335" s="23"/>
    </row>
    <row r="1336" customFormat="false" ht="36" hidden="false" customHeight="true" outlineLevel="0" collapsed="false">
      <c r="C1336" s="26" t="s">
        <v>1186</v>
      </c>
      <c r="M1336" s="23"/>
      <c r="N1336" s="23"/>
      <c r="O1336" s="23"/>
    </row>
    <row r="1337" customFormat="false" ht="15" hidden="false" customHeight="true" outlineLevel="0" collapsed="false">
      <c r="C1337" s="27" t="s">
        <v>987</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10.06</v>
      </c>
      <c r="K1338" s="31" t="n">
        <f aca="false">ROUND(I1338*J1338,2)</f>
        <v>10.06</v>
      </c>
      <c r="L1338" s="33" t="s">
        <v>122</v>
      </c>
      <c r="M1338" s="23" t="s">
        <v>123</v>
      </c>
      <c r="N1338" s="23" t="s">
        <v>75</v>
      </c>
      <c r="O1338" s="23" t="s">
        <v>1080</v>
      </c>
    </row>
    <row r="1339" customFormat="false" ht="15" hidden="false" customHeight="true" outlineLevel="0" collapsed="false">
      <c r="A1339" s="3" t="s">
        <v>1187</v>
      </c>
      <c r="B1339" s="3" t="s">
        <v>103</v>
      </c>
      <c r="C1339" s="3" t="s">
        <v>1188</v>
      </c>
      <c r="M1339" s="23"/>
      <c r="N1339" s="23"/>
      <c r="O1339" s="23"/>
    </row>
    <row r="1340" customFormat="false" ht="36" hidden="false" customHeight="true" outlineLevel="0" collapsed="false">
      <c r="C1340" s="26" t="s">
        <v>1189</v>
      </c>
      <c r="M1340" s="23"/>
      <c r="N1340" s="23"/>
      <c r="O1340" s="23"/>
    </row>
    <row r="1341" customFormat="false" ht="15" hidden="false" customHeight="true" outlineLevel="0" collapsed="false">
      <c r="C1341" s="27" t="s">
        <v>987</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0.49</v>
      </c>
      <c r="K1342" s="31" t="n">
        <f aca="false">ROUND(I1342*J1342,2)</f>
        <v>0.49</v>
      </c>
      <c r="L1342" s="33" t="s">
        <v>122</v>
      </c>
      <c r="M1342" s="23" t="s">
        <v>123</v>
      </c>
      <c r="N1342" s="23" t="s">
        <v>75</v>
      </c>
      <c r="O1342" s="23" t="s">
        <v>1080</v>
      </c>
    </row>
    <row r="1343" customFormat="false" ht="15" hidden="false" customHeight="true" outlineLevel="0" collapsed="false">
      <c r="A1343" s="3" t="s">
        <v>1190</v>
      </c>
      <c r="B1343" s="3" t="s">
        <v>103</v>
      </c>
      <c r="C1343" s="3" t="s">
        <v>1191</v>
      </c>
      <c r="M1343" s="23"/>
      <c r="N1343" s="23"/>
      <c r="O1343" s="23"/>
    </row>
    <row r="1344" customFormat="false" ht="36" hidden="false" customHeight="true" outlineLevel="0" collapsed="false">
      <c r="C1344" s="26" t="s">
        <v>1192</v>
      </c>
      <c r="M1344" s="23"/>
      <c r="N1344" s="23"/>
      <c r="O1344" s="23"/>
    </row>
    <row r="1345" customFormat="false" ht="15" hidden="false" customHeight="true" outlineLevel="0" collapsed="false">
      <c r="C1345" s="27" t="s">
        <v>987</v>
      </c>
      <c r="D1345" s="28" t="n">
        <v>2</v>
      </c>
      <c r="H1345" s="29" t="n">
        <f aca="false">IF(COUNT(D1345:G1345)=0,0,D1345*IF(E1345="",1,E1345)*IF(F1345="",1,F1345)*IF(G1345="",1,G1345))</f>
        <v>2</v>
      </c>
      <c r="M1345" s="23"/>
      <c r="N1345" s="23"/>
      <c r="O1345" s="23"/>
    </row>
    <row r="1346" customFormat="false" ht="15" hidden="false" customHeight="true" outlineLevel="0" collapsed="false">
      <c r="H1346" s="30"/>
      <c r="I1346" s="31" t="n">
        <f aca="false">ROUND(SUM(H1345:H1345),2)</f>
        <v>2</v>
      </c>
      <c r="J1346" s="32" t="n">
        <v>4.62</v>
      </c>
      <c r="K1346" s="31" t="n">
        <f aca="false">ROUND(I1346*J1346,2)</f>
        <v>9.24</v>
      </c>
      <c r="L1346" s="33" t="s">
        <v>122</v>
      </c>
      <c r="M1346" s="23" t="s">
        <v>123</v>
      </c>
      <c r="N1346" s="23" t="s">
        <v>75</v>
      </c>
      <c r="O1346" s="23" t="s">
        <v>1080</v>
      </c>
    </row>
    <row r="1347" customFormat="false" ht="15" hidden="false" customHeight="true" outlineLevel="0" collapsed="false">
      <c r="A1347" s="3" t="s">
        <v>1193</v>
      </c>
      <c r="B1347" s="3" t="s">
        <v>103</v>
      </c>
      <c r="C1347" s="3" t="s">
        <v>1194</v>
      </c>
      <c r="M1347" s="23"/>
      <c r="N1347" s="23"/>
      <c r="O1347" s="23"/>
    </row>
    <row r="1348" customFormat="false" ht="36" hidden="false" customHeight="true" outlineLevel="0" collapsed="false">
      <c r="C1348" s="26" t="s">
        <v>1195</v>
      </c>
      <c r="M1348" s="23"/>
      <c r="N1348" s="23"/>
      <c r="O1348" s="23"/>
    </row>
    <row r="1349" customFormat="false" ht="15" hidden="false" customHeight="true" outlineLevel="0" collapsed="false">
      <c r="C1349" s="27" t="s">
        <v>987</v>
      </c>
      <c r="D1349" s="28" t="n">
        <v>5</v>
      </c>
      <c r="H1349" s="29" t="n">
        <f aca="false">IF(COUNT(D1349:G1349)=0,0,D1349*IF(E1349="",1,E1349)*IF(F1349="",1,F1349)*IF(G1349="",1,G1349))</f>
        <v>5</v>
      </c>
      <c r="M1349" s="23"/>
      <c r="N1349" s="23"/>
      <c r="O1349" s="23"/>
    </row>
    <row r="1350" customFormat="false" ht="15" hidden="false" customHeight="true" outlineLevel="0" collapsed="false">
      <c r="H1350" s="30"/>
      <c r="I1350" s="31" t="n">
        <f aca="false">ROUND(SUM(H1349:H1349),2)</f>
        <v>5</v>
      </c>
      <c r="J1350" s="32" t="n">
        <v>4.14</v>
      </c>
      <c r="K1350" s="31" t="n">
        <f aca="false">ROUND(I1350*J1350,2)</f>
        <v>20.7</v>
      </c>
      <c r="L1350" s="33" t="s">
        <v>122</v>
      </c>
      <c r="M1350" s="23" t="s">
        <v>123</v>
      </c>
      <c r="N1350" s="23" t="s">
        <v>75</v>
      </c>
      <c r="O1350" s="23" t="s">
        <v>1080</v>
      </c>
    </row>
    <row r="1351" customFormat="false" ht="15" hidden="false" customHeight="true" outlineLevel="0" collapsed="false">
      <c r="A1351" s="3" t="s">
        <v>1196</v>
      </c>
      <c r="B1351" s="3" t="s">
        <v>103</v>
      </c>
      <c r="C1351" s="3" t="s">
        <v>1197</v>
      </c>
      <c r="M1351" s="23"/>
      <c r="N1351" s="23"/>
      <c r="O1351" s="23"/>
    </row>
    <row r="1352" customFormat="false" ht="36" hidden="false" customHeight="true" outlineLevel="0" collapsed="false">
      <c r="C1352" s="26" t="s">
        <v>1198</v>
      </c>
      <c r="M1352" s="23"/>
      <c r="N1352" s="23"/>
      <c r="O1352" s="23"/>
    </row>
    <row r="1353" customFormat="false" ht="15" hidden="false" customHeight="true" outlineLevel="0" collapsed="false">
      <c r="C1353" s="27" t="s">
        <v>987</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3.58</v>
      </c>
      <c r="K1354" s="31" t="n">
        <f aca="false">ROUND(I1354*J1354,2)</f>
        <v>17.9</v>
      </c>
      <c r="L1354" s="33" t="s">
        <v>122</v>
      </c>
      <c r="M1354" s="23" t="s">
        <v>123</v>
      </c>
      <c r="N1354" s="23" t="s">
        <v>75</v>
      </c>
      <c r="O1354" s="23" t="s">
        <v>1080</v>
      </c>
    </row>
    <row r="1355" customFormat="false" ht="15" hidden="false" customHeight="true" outlineLevel="0" collapsed="false">
      <c r="A1355" s="3" t="s">
        <v>1199</v>
      </c>
      <c r="B1355" s="3" t="s">
        <v>103</v>
      </c>
      <c r="C1355" s="3" t="s">
        <v>1200</v>
      </c>
      <c r="M1355" s="23"/>
      <c r="N1355" s="23"/>
      <c r="O1355" s="23"/>
    </row>
    <row r="1356" customFormat="false" ht="36" hidden="false" customHeight="true" outlineLevel="0" collapsed="false">
      <c r="C1356" s="26" t="s">
        <v>1201</v>
      </c>
      <c r="M1356" s="23"/>
      <c r="N1356" s="23"/>
      <c r="O1356" s="23"/>
    </row>
    <row r="1357" customFormat="false" ht="15" hidden="false" customHeight="true" outlineLevel="0" collapsed="false">
      <c r="C1357" s="27" t="s">
        <v>987</v>
      </c>
      <c r="D1357" s="28" t="n">
        <v>1</v>
      </c>
      <c r="H1357" s="29" t="n">
        <f aca="false">IF(COUNT(D1357:G1357)=0,0,D1357*IF(E1357="",1,E1357)*IF(F1357="",1,F1357)*IF(G1357="",1,G1357))</f>
        <v>1</v>
      </c>
      <c r="M1357" s="23"/>
      <c r="N1357" s="23"/>
      <c r="O1357" s="23"/>
    </row>
    <row r="1358" customFormat="false" ht="15" hidden="false" customHeight="true" outlineLevel="0" collapsed="false">
      <c r="H1358" s="30"/>
      <c r="I1358" s="31" t="n">
        <f aca="false">ROUND(SUM(H1357:H1357),2)</f>
        <v>1</v>
      </c>
      <c r="J1358" s="32" t="n">
        <v>1.72</v>
      </c>
      <c r="K1358" s="31" t="n">
        <f aca="false">ROUND(I1358*J1358,2)</f>
        <v>1.72</v>
      </c>
      <c r="L1358" s="33" t="s">
        <v>122</v>
      </c>
      <c r="M1358" s="23" t="s">
        <v>123</v>
      </c>
      <c r="N1358" s="23" t="s">
        <v>75</v>
      </c>
      <c r="O1358" s="23" t="s">
        <v>1080</v>
      </c>
    </row>
    <row r="1359" customFormat="false" ht="15" hidden="false" customHeight="true" outlineLevel="0" collapsed="false">
      <c r="A1359" s="3" t="s">
        <v>1202</v>
      </c>
      <c r="B1359" s="3" t="s">
        <v>103</v>
      </c>
      <c r="C1359" s="3" t="s">
        <v>1203</v>
      </c>
      <c r="M1359" s="23"/>
      <c r="N1359" s="23"/>
      <c r="O1359" s="23"/>
    </row>
    <row r="1360" customFormat="false" ht="36" hidden="false" customHeight="true" outlineLevel="0" collapsed="false">
      <c r="C1360" s="26" t="s">
        <v>1204</v>
      </c>
      <c r="M1360" s="23"/>
      <c r="N1360" s="23"/>
      <c r="O1360" s="23"/>
    </row>
    <row r="1361" customFormat="false" ht="15" hidden="false" customHeight="true" outlineLevel="0" collapsed="false">
      <c r="C1361" s="27" t="s">
        <v>987</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3.04</v>
      </c>
      <c r="K1362" s="31" t="n">
        <f aca="false">ROUND(I1362*J1362,2)</f>
        <v>3.04</v>
      </c>
      <c r="L1362" s="33" t="s">
        <v>122</v>
      </c>
      <c r="M1362" s="23" t="s">
        <v>123</v>
      </c>
      <c r="N1362" s="23" t="s">
        <v>75</v>
      </c>
      <c r="O1362" s="23" t="s">
        <v>1080</v>
      </c>
    </row>
    <row r="1363" customFormat="false" ht="15" hidden="false" customHeight="true" outlineLevel="0" collapsed="false">
      <c r="A1363" s="3" t="s">
        <v>1205</v>
      </c>
      <c r="B1363" s="3" t="s">
        <v>103</v>
      </c>
      <c r="C1363" s="3" t="s">
        <v>1206</v>
      </c>
      <c r="M1363" s="23"/>
      <c r="N1363" s="23"/>
      <c r="O1363" s="23"/>
    </row>
    <row r="1364" customFormat="false" ht="36" hidden="false" customHeight="true" outlineLevel="0" collapsed="false">
      <c r="C1364" s="26" t="s">
        <v>1207</v>
      </c>
      <c r="M1364" s="23"/>
      <c r="N1364" s="23"/>
      <c r="O1364" s="23"/>
    </row>
    <row r="1365" customFormat="false" ht="15" hidden="false" customHeight="true" outlineLevel="0" collapsed="false">
      <c r="C1365" s="27" t="s">
        <v>987</v>
      </c>
      <c r="D1365" s="28" t="n">
        <v>6</v>
      </c>
      <c r="H1365" s="29" t="n">
        <f aca="false">IF(COUNT(D1365:G1365)=0,0,D1365*IF(E1365="",1,E1365)*IF(F1365="",1,F1365)*IF(G1365="",1,G1365))</f>
        <v>6</v>
      </c>
      <c r="M1365" s="23"/>
      <c r="N1365" s="23"/>
      <c r="O1365" s="23"/>
    </row>
    <row r="1366" customFormat="false" ht="15" hidden="false" customHeight="true" outlineLevel="0" collapsed="false">
      <c r="H1366" s="30"/>
      <c r="I1366" s="31" t="n">
        <f aca="false">ROUND(SUM(H1365:H1365),2)</f>
        <v>6</v>
      </c>
      <c r="J1366" s="32" t="n">
        <v>0.18</v>
      </c>
      <c r="K1366" s="31" t="n">
        <f aca="false">ROUND(I1366*J1366,2)</f>
        <v>1.08</v>
      </c>
      <c r="L1366" s="33" t="s">
        <v>122</v>
      </c>
      <c r="M1366" s="23" t="s">
        <v>123</v>
      </c>
      <c r="N1366" s="23" t="s">
        <v>75</v>
      </c>
      <c r="O1366" s="23" t="s">
        <v>1080</v>
      </c>
    </row>
    <row r="1367" customFormat="false" ht="15" hidden="false" customHeight="true" outlineLevel="0" collapsed="false">
      <c r="A1367" s="3" t="s">
        <v>1208</v>
      </c>
      <c r="B1367" s="3" t="s">
        <v>103</v>
      </c>
      <c r="C1367" s="3" t="s">
        <v>1209</v>
      </c>
      <c r="M1367" s="23"/>
      <c r="N1367" s="23"/>
      <c r="O1367" s="23"/>
    </row>
    <row r="1368" customFormat="false" ht="36" hidden="false" customHeight="true" outlineLevel="0" collapsed="false">
      <c r="C1368" s="26" t="s">
        <v>1210</v>
      </c>
      <c r="M1368" s="23"/>
      <c r="N1368" s="23"/>
      <c r="O1368" s="23"/>
    </row>
    <row r="1369" customFormat="false" ht="15" hidden="false" customHeight="true" outlineLevel="0" collapsed="false">
      <c r="C1369" s="27" t="s">
        <v>987</v>
      </c>
      <c r="D1369" s="28" t="n">
        <v>1</v>
      </c>
      <c r="H1369" s="29" t="n">
        <f aca="false">IF(COUNT(D1369:G1369)=0,0,D1369*IF(E1369="",1,E1369)*IF(F1369="",1,F1369)*IF(G1369="",1,G1369))</f>
        <v>1</v>
      </c>
      <c r="M1369" s="23"/>
      <c r="N1369" s="23"/>
      <c r="O1369" s="23"/>
    </row>
    <row r="1370" customFormat="false" ht="15" hidden="false" customHeight="true" outlineLevel="0" collapsed="false">
      <c r="H1370" s="30"/>
      <c r="I1370" s="31" t="n">
        <f aca="false">ROUND(SUM(H1369:H1369),2)</f>
        <v>1</v>
      </c>
      <c r="J1370" s="32" t="n">
        <v>0.26</v>
      </c>
      <c r="K1370" s="31" t="n">
        <f aca="false">ROUND(I1370*J1370,2)</f>
        <v>0.26</v>
      </c>
      <c r="L1370" s="33" t="s">
        <v>122</v>
      </c>
      <c r="M1370" s="23" t="s">
        <v>123</v>
      </c>
      <c r="N1370" s="23" t="s">
        <v>75</v>
      </c>
      <c r="O1370" s="23" t="s">
        <v>1080</v>
      </c>
    </row>
    <row r="1371" customFormat="false" ht="15" hidden="false" customHeight="true" outlineLevel="0" collapsed="false">
      <c r="A1371" s="3" t="s">
        <v>1211</v>
      </c>
      <c r="C1371" s="3" t="s">
        <v>1212</v>
      </c>
      <c r="M1371" s="23" t="s">
        <v>291</v>
      </c>
      <c r="N1371" s="23" t="s">
        <v>75</v>
      </c>
      <c r="O1371" s="23" t="s">
        <v>1211</v>
      </c>
    </row>
    <row r="1372" customFormat="false" ht="15" hidden="false" customHeight="true" outlineLevel="0" collapsed="false">
      <c r="A1372" s="3" t="s">
        <v>1213</v>
      </c>
      <c r="B1372" s="3" t="s">
        <v>103</v>
      </c>
      <c r="C1372" s="3" t="s">
        <v>1214</v>
      </c>
      <c r="M1372" s="23"/>
      <c r="N1372" s="23"/>
      <c r="O1372" s="23"/>
    </row>
    <row r="1373" customFormat="false" ht="72" hidden="false" customHeight="true" outlineLevel="0" collapsed="false">
      <c r="C1373" s="26" t="s">
        <v>1215</v>
      </c>
      <c r="M1373" s="23"/>
      <c r="N1373" s="23"/>
      <c r="O1373" s="23"/>
    </row>
    <row r="1374" customFormat="false" ht="15" hidden="false" customHeight="true" outlineLevel="0" collapsed="false">
      <c r="C1374" s="27" t="s">
        <v>987</v>
      </c>
      <c r="D1374" s="28" t="n">
        <v>1</v>
      </c>
      <c r="H1374" s="29" t="n">
        <f aca="false">IF(COUNT(D1374:G1374)=0,0,D1374*IF(E1374="",1,E1374)*IF(F1374="",1,F1374)*IF(G1374="",1,G1374))</f>
        <v>1</v>
      </c>
      <c r="M1374" s="23"/>
      <c r="N1374" s="23"/>
      <c r="O1374" s="23"/>
    </row>
    <row r="1375" customFormat="false" ht="15" hidden="false" customHeight="true" outlineLevel="0" collapsed="false">
      <c r="H1375" s="30"/>
      <c r="I1375" s="31" t="n">
        <f aca="false">ROUND(SUM(H1374:H1374),2)</f>
        <v>1</v>
      </c>
      <c r="J1375" s="32" t="n">
        <v>27.62</v>
      </c>
      <c r="K1375" s="31" t="n">
        <f aca="false">ROUND(I1375*J1375,2)</f>
        <v>27.62</v>
      </c>
      <c r="L1375" s="33" t="s">
        <v>122</v>
      </c>
      <c r="M1375" s="23" t="s">
        <v>123</v>
      </c>
      <c r="N1375" s="23" t="s">
        <v>75</v>
      </c>
      <c r="O1375" s="23" t="s">
        <v>1211</v>
      </c>
    </row>
    <row r="1376" customFormat="false" ht="15" hidden="false" customHeight="true" outlineLevel="0" collapsed="false">
      <c r="A1376" s="3" t="s">
        <v>1216</v>
      </c>
      <c r="B1376" s="3" t="s">
        <v>103</v>
      </c>
      <c r="C1376" s="3" t="s">
        <v>1217</v>
      </c>
      <c r="M1376" s="23"/>
      <c r="N1376" s="23"/>
      <c r="O1376" s="23"/>
    </row>
    <row r="1377" customFormat="false" ht="60" hidden="false" customHeight="true" outlineLevel="0" collapsed="false">
      <c r="C1377" s="26" t="s">
        <v>1218</v>
      </c>
      <c r="M1377" s="23"/>
      <c r="N1377" s="23"/>
      <c r="O1377" s="23"/>
    </row>
    <row r="1378" customFormat="false" ht="15" hidden="false" customHeight="true" outlineLevel="0" collapsed="false">
      <c r="C1378" s="27" t="s">
        <v>987</v>
      </c>
      <c r="D1378" s="28" t="n">
        <v>3</v>
      </c>
      <c r="H1378" s="29" t="n">
        <f aca="false">IF(COUNT(D1378:G1378)=0,0,D1378*IF(E1378="",1,E1378)*IF(F1378="",1,F1378)*IF(G1378="",1,G1378))</f>
        <v>3</v>
      </c>
      <c r="M1378" s="23"/>
      <c r="N1378" s="23"/>
      <c r="O1378" s="23"/>
    </row>
    <row r="1379" customFormat="false" ht="15" hidden="false" customHeight="true" outlineLevel="0" collapsed="false">
      <c r="H1379" s="30"/>
      <c r="I1379" s="31" t="n">
        <f aca="false">ROUND(SUM(H1378:H1378),2)</f>
        <v>3</v>
      </c>
      <c r="J1379" s="32" t="n">
        <v>31.56</v>
      </c>
      <c r="K1379" s="31" t="n">
        <f aca="false">ROUND(I1379*J1379,2)</f>
        <v>94.68</v>
      </c>
      <c r="L1379" s="33" t="s">
        <v>122</v>
      </c>
      <c r="M1379" s="23" t="s">
        <v>123</v>
      </c>
      <c r="N1379" s="23" t="s">
        <v>75</v>
      </c>
      <c r="O1379" s="23" t="s">
        <v>1211</v>
      </c>
    </row>
    <row r="1380" customFormat="false" ht="15" hidden="false" customHeight="true" outlineLevel="0" collapsed="false">
      <c r="A1380" s="3" t="s">
        <v>1219</v>
      </c>
      <c r="C1380" s="3" t="s">
        <v>1220</v>
      </c>
      <c r="M1380" s="23" t="s">
        <v>291</v>
      </c>
      <c r="N1380" s="23" t="s">
        <v>75</v>
      </c>
      <c r="O1380" s="23" t="s">
        <v>1219</v>
      </c>
    </row>
    <row r="1381" customFormat="false" ht="15" hidden="false" customHeight="true" outlineLevel="0" collapsed="false">
      <c r="A1381" s="3" t="s">
        <v>1221</v>
      </c>
      <c r="B1381" s="3" t="s">
        <v>140</v>
      </c>
      <c r="C1381" s="3" t="s">
        <v>1222</v>
      </c>
      <c r="M1381" s="23"/>
      <c r="N1381" s="23"/>
      <c r="O1381" s="23"/>
    </row>
    <row r="1382" customFormat="false" ht="48" hidden="false" customHeight="true" outlineLevel="0" collapsed="false">
      <c r="C1382" s="26" t="s">
        <v>1223</v>
      </c>
      <c r="M1382" s="23"/>
      <c r="N1382" s="23"/>
      <c r="O1382" s="23"/>
    </row>
    <row r="1383" customFormat="false" ht="15" hidden="false" customHeight="true" outlineLevel="0" collapsed="false">
      <c r="C1383" s="27" t="s">
        <v>987</v>
      </c>
      <c r="D1383" s="28" t="n">
        <v>20</v>
      </c>
      <c r="H1383" s="29" t="n">
        <f aca="false">IF(COUNT(D1383:G1383)=0,0,D1383*IF(E1383="",1,E1383)*IF(F1383="",1,F1383)*IF(G1383="",1,G1383))</f>
        <v>20</v>
      </c>
      <c r="M1383" s="23"/>
      <c r="N1383" s="23"/>
      <c r="O1383" s="23"/>
    </row>
    <row r="1384" customFormat="false" ht="15" hidden="false" customHeight="true" outlineLevel="0" collapsed="false">
      <c r="H1384" s="30"/>
      <c r="I1384" s="31" t="n">
        <f aca="false">ROUND(SUM(H1383:H1383),2)</f>
        <v>20</v>
      </c>
      <c r="J1384" s="32" t="n">
        <v>0.95</v>
      </c>
      <c r="K1384" s="31" t="n">
        <f aca="false">ROUND(I1384*J1384,2)</f>
        <v>19</v>
      </c>
      <c r="L1384" s="33" t="s">
        <v>122</v>
      </c>
      <c r="M1384" s="23" t="s">
        <v>123</v>
      </c>
      <c r="N1384" s="23" t="s">
        <v>75</v>
      </c>
      <c r="O1384" s="23" t="s">
        <v>1219</v>
      </c>
    </row>
    <row r="1385" customFormat="false" ht="15" hidden="false" customHeight="true" outlineLevel="0" collapsed="false">
      <c r="A1385" s="3" t="s">
        <v>1224</v>
      </c>
      <c r="B1385" s="3" t="s">
        <v>140</v>
      </c>
      <c r="C1385" s="3" t="s">
        <v>1225</v>
      </c>
      <c r="M1385" s="23"/>
      <c r="N1385" s="23"/>
      <c r="O1385" s="23"/>
    </row>
    <row r="1386" customFormat="false" ht="108" hidden="false" customHeight="true" outlineLevel="0" collapsed="false">
      <c r="C1386" s="26" t="s">
        <v>1226</v>
      </c>
      <c r="M1386" s="23"/>
      <c r="N1386" s="23"/>
      <c r="O1386" s="23"/>
    </row>
    <row r="1387" customFormat="false" ht="15" hidden="false" customHeight="true" outlineLevel="0" collapsed="false">
      <c r="C1387" s="27" t="s">
        <v>987</v>
      </c>
      <c r="D1387" s="28" t="n">
        <v>12</v>
      </c>
      <c r="H1387" s="29" t="n">
        <f aca="false">IF(COUNT(D1387:G1387)=0,0,D1387*IF(E1387="",1,E1387)*IF(F1387="",1,F1387)*IF(G1387="",1,G1387))</f>
        <v>12</v>
      </c>
      <c r="M1387" s="23"/>
      <c r="N1387" s="23"/>
      <c r="O1387" s="23"/>
    </row>
    <row r="1388" customFormat="false" ht="15" hidden="false" customHeight="true" outlineLevel="0" collapsed="false">
      <c r="H1388" s="30"/>
      <c r="I1388" s="31" t="n">
        <f aca="false">ROUND(SUM(H1387:H1387),2)</f>
        <v>12</v>
      </c>
      <c r="J1388" s="32" t="n">
        <v>11.84</v>
      </c>
      <c r="K1388" s="31" t="n">
        <f aca="false">ROUND(I1388*J1388,2)</f>
        <v>142.08</v>
      </c>
      <c r="L1388" s="33" t="s">
        <v>122</v>
      </c>
      <c r="M1388" s="23" t="s">
        <v>123</v>
      </c>
      <c r="N1388" s="23" t="s">
        <v>75</v>
      </c>
      <c r="O1388" s="23" t="s">
        <v>1219</v>
      </c>
    </row>
    <row r="1389" customFormat="false" ht="15" hidden="false" customHeight="true" outlineLevel="0" collapsed="false">
      <c r="A1389" s="3" t="s">
        <v>1227</v>
      </c>
      <c r="B1389" s="3" t="s">
        <v>103</v>
      </c>
      <c r="C1389" s="3" t="s">
        <v>1228</v>
      </c>
      <c r="M1389" s="23"/>
      <c r="N1389" s="23"/>
      <c r="O1389" s="23"/>
    </row>
    <row r="1390" customFormat="false" ht="60" hidden="false" customHeight="true" outlineLevel="0" collapsed="false">
      <c r="C1390" s="26" t="s">
        <v>1229</v>
      </c>
      <c r="M1390" s="23"/>
      <c r="N1390" s="23"/>
      <c r="O1390" s="23"/>
    </row>
    <row r="1391" customFormat="false" ht="15" hidden="false" customHeight="true" outlineLevel="0" collapsed="false">
      <c r="C1391" s="27" t="s">
        <v>987</v>
      </c>
      <c r="D1391" s="28" t="n">
        <v>1</v>
      </c>
      <c r="H1391" s="29" t="n">
        <f aca="false">IF(COUNT(D1391:G1391)=0,0,D1391*IF(E1391="",1,E1391)*IF(F1391="",1,F1391)*IF(G1391="",1,G1391))</f>
        <v>1</v>
      </c>
      <c r="M1391" s="23"/>
      <c r="N1391" s="23"/>
      <c r="O1391" s="23"/>
    </row>
    <row r="1392" customFormat="false" ht="15" hidden="false" customHeight="true" outlineLevel="0" collapsed="false">
      <c r="H1392" s="30"/>
      <c r="I1392" s="31" t="n">
        <f aca="false">ROUND(SUM(H1391:H1391),2)</f>
        <v>1</v>
      </c>
      <c r="J1392" s="32" t="n">
        <v>18.91</v>
      </c>
      <c r="K1392" s="31" t="n">
        <f aca="false">ROUND(I1392*J1392,2)</f>
        <v>18.91</v>
      </c>
      <c r="L1392" s="33" t="s">
        <v>122</v>
      </c>
      <c r="M1392" s="23" t="s">
        <v>123</v>
      </c>
      <c r="N1392" s="23" t="s">
        <v>75</v>
      </c>
      <c r="O1392" s="23" t="s">
        <v>1219</v>
      </c>
    </row>
    <row r="1393" customFormat="false" ht="15" hidden="false" customHeight="true" outlineLevel="0" collapsed="false">
      <c r="C1393" s="34" t="s">
        <v>1230</v>
      </c>
      <c r="K1393" s="14" t="n">
        <f aca="false">SUMIFS($K$5:$K$1392,$M$5:$M$1392,"P",$N$5:$N$1392,"20")</f>
        <v>4095.6</v>
      </c>
      <c r="M1393" s="23"/>
      <c r="N1393" s="23"/>
      <c r="O1393" s="23"/>
    </row>
    <row r="1394" customFormat="false" ht="15" hidden="false" customHeight="true" outlineLevel="0" collapsed="false">
      <c r="M1394" s="23"/>
      <c r="N1394" s="23"/>
      <c r="O1394" s="23"/>
    </row>
    <row r="1395" customFormat="false" ht="15" hidden="false" customHeight="true" outlineLevel="0" collapsed="false">
      <c r="M1395" s="23"/>
      <c r="N1395" s="23"/>
      <c r="O1395" s="23"/>
    </row>
    <row r="1396" customFormat="false" ht="15" hidden="false" customHeight="true" outlineLevel="0" collapsed="false"/>
    <row r="1397" customFormat="false" ht="15" hidden="false" customHeight="true" outlineLevel="0" collapsed="false"/>
    <row r="1398" customFormat="false" ht="15" hidden="false" customHeight="true" outlineLevel="0" collapsed="false"/>
    <row r="1399" customFormat="false" ht="15" hidden="false" customHeight="true" outlineLevel="0" collapsed="false"/>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1231</v>
      </c>
    </row>
    <row r="3" customFormat="false" ht="42" hidden="false" customHeight="true" outlineLevel="0" collapsed="false">
      <c r="A3" s="37" t="s">
        <v>1232</v>
      </c>
      <c r="B3" s="26" t="s">
        <v>1233</v>
      </c>
    </row>
    <row r="4" customFormat="false" ht="13.5" hidden="false" customHeight="true" outlineLevel="0" collapsed="false">
      <c r="A4" s="37" t="s">
        <v>1234</v>
      </c>
      <c r="B4" s="26" t="s">
        <v>1235</v>
      </c>
    </row>
    <row r="5" customFormat="false" ht="27.75" hidden="false" customHeight="true" outlineLevel="0" collapsed="false">
      <c r="A5" s="37" t="s">
        <v>1236</v>
      </c>
      <c r="B5" s="26" t="s">
        <v>1237</v>
      </c>
    </row>
    <row r="6" customFormat="false" ht="42" hidden="false" customHeight="true" outlineLevel="0" collapsed="false">
      <c r="A6" s="37" t="s">
        <v>1238</v>
      </c>
      <c r="B6" s="26" t="s">
        <v>1239</v>
      </c>
    </row>
    <row r="7" customFormat="false" ht="13.5" hidden="false" customHeight="true" outlineLevel="0" collapsed="false">
      <c r="A7" s="37" t="s">
        <v>1240</v>
      </c>
      <c r="B7" s="26" t="s">
        <v>1241</v>
      </c>
    </row>
    <row r="8" customFormat="false" ht="63.75" hidden="false" customHeight="true" outlineLevel="0" collapsed="false">
      <c r="A8" s="37" t="s">
        <v>1242</v>
      </c>
      <c r="B8" s="26" t="s">
        <v>1243</v>
      </c>
    </row>
    <row r="9" customFormat="false" ht="63.75" hidden="false" customHeight="true" outlineLevel="0" collapsed="false">
      <c r="A9" s="37" t="s">
        <v>1244</v>
      </c>
      <c r="B9" s="26" t="s">
        <v>1245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8" t="s">
        <v>1246</v>
      </c>
    </row>
    <row r="2" customFormat="false" ht="15" hidden="false" customHeight="true" outlineLevel="0" collapsed="false">
      <c r="A2" s="11" t="s">
        <v>1247</v>
      </c>
    </row>
    <row r="3" customFormat="false" ht="15" hidden="false" customHeight="true" outlineLevel="0" collapsed="false">
      <c r="A3" s="11" t="s">
        <v>1248</v>
      </c>
    </row>
    <row r="5" customFormat="false" ht="21.75" hidden="false" customHeight="true" outlineLevel="0" collapsed="false">
      <c r="A5" s="39" t="s">
        <v>102</v>
      </c>
      <c r="B5" s="39" t="s">
        <v>103</v>
      </c>
      <c r="C5" s="39" t="s">
        <v>4</v>
      </c>
      <c r="D5" s="39" t="s">
        <v>1249</v>
      </c>
      <c r="E5" s="39" t="s">
        <v>1250</v>
      </c>
      <c r="F5" s="39" t="s">
        <v>1251</v>
      </c>
      <c r="G5" s="39" t="s">
        <v>1252</v>
      </c>
      <c r="H5" s="39" t="s">
        <v>110</v>
      </c>
      <c r="I5" s="39" t="s">
        <v>1253</v>
      </c>
      <c r="J5" s="39" t="s">
        <v>1254</v>
      </c>
      <c r="K5" s="39" t="s">
        <v>1255</v>
      </c>
      <c r="L5" s="39" t="s">
        <v>1256</v>
      </c>
    </row>
    <row r="6" customFormat="false" ht="32.25" hidden="false" customHeight="true" outlineLevel="0" collapsed="false">
      <c r="A6" s="40" t="str">
        <f aca="false">Presupuesto!A224</f>
        <v>05.01.03</v>
      </c>
      <c r="B6" s="40" t="str">
        <f aca="false">Presupuesto!B224</f>
        <v>m3</v>
      </c>
      <c r="C6" s="40" t="str">
        <f aca="false">Presupuesto!C224</f>
        <v>ZÓCALO DE HORMIGÓN ARMADO HA-25 DE 0,90 M</v>
      </c>
      <c r="D6" s="41" t="n">
        <v>20.07</v>
      </c>
      <c r="E6" s="41" t="n">
        <v>13.34</v>
      </c>
      <c r="F6" s="29" t="n">
        <f aca="false">E6-D6</f>
        <v>-6.73</v>
      </c>
      <c r="G6" s="42" t="n">
        <f aca="false">IF(D6=0,"-",F6/D6)</f>
        <v>-0.335326357747882</v>
      </c>
      <c r="H6" s="43" t="n">
        <f aca="false">Presupuesto!J227</f>
        <v>365.9</v>
      </c>
      <c r="I6" s="29" t="n">
        <f aca="false">ROUND(D6*H6,2)</f>
        <v>7343.61</v>
      </c>
      <c r="J6" s="43" t="n">
        <f aca="false">Presupuesto!K227</f>
        <v>4881.11</v>
      </c>
      <c r="K6" s="29" t="n">
        <f aca="false">J6-I6</f>
        <v>-2462.5</v>
      </c>
      <c r="L6" s="26" t="s">
        <v>1257</v>
      </c>
    </row>
    <row r="7" customFormat="false" ht="15" hidden="false" customHeight="true" outlineLevel="0" collapsed="false">
      <c r="A7" s="40" t="str">
        <f aca="false">Presupuesto!A232</f>
        <v>05.01.05</v>
      </c>
      <c r="B7" s="40" t="str">
        <f aca="false">Presupuesto!B232</f>
        <v>m2</v>
      </c>
      <c r="C7" s="40" t="str">
        <f aca="false">Presupuesto!C232</f>
        <v>FORJADO SANITARIO CUPOLEX CON CAPA DE COMPRESIÓN</v>
      </c>
      <c r="D7" s="41" t="n">
        <v>111</v>
      </c>
      <c r="E7" s="41" t="n">
        <v>109.44</v>
      </c>
      <c r="F7" s="29" t="n">
        <f aca="false">E7-D7</f>
        <v>-1.56</v>
      </c>
      <c r="G7" s="42" t="n">
        <f aca="false">IF(D7=0,"-",F7/D7)</f>
        <v>-0.0140540540540541</v>
      </c>
      <c r="H7" s="43" t="n">
        <f aca="false">Presupuesto!J235</f>
        <v>60.2</v>
      </c>
      <c r="I7" s="29" t="n">
        <f aca="false">ROUND(D7*H7,2)</f>
        <v>6682.2</v>
      </c>
      <c r="J7" s="43" t="n">
        <f aca="false">Presupuesto!K235</f>
        <v>6588.29</v>
      </c>
      <c r="K7" s="29" t="n">
        <f aca="false">J7-I7</f>
        <v>-93.9099999999999</v>
      </c>
      <c r="L7" s="26" t="s">
        <v>1258</v>
      </c>
    </row>
    <row r="8" customFormat="false" ht="53.25" hidden="false" customHeight="true" outlineLevel="0" collapsed="false">
      <c r="A8" s="40" t="str">
        <f aca="false">Presupuesto!A237</f>
        <v>05.02.01</v>
      </c>
      <c r="B8" s="40" t="str">
        <f aca="false">Presupuesto!B237</f>
        <v>m2</v>
      </c>
      <c r="C8" s="40" t="str">
        <f aca="false">Presupuesto!C237</f>
        <v>FORJADO UNIDIRECCIONAL DE VIGUETAS Y BOVEDILLAS DE EPS 20+5</v>
      </c>
      <c r="D8" s="41" t="n">
        <v>238</v>
      </c>
      <c r="E8" s="41" t="n">
        <v>261.19</v>
      </c>
      <c r="F8" s="29" t="n">
        <f aca="false">E8-D8</f>
        <v>23.19</v>
      </c>
      <c r="G8" s="42" t="n">
        <f aca="false">IF(D8=0,"-",F8/D8)</f>
        <v>0.097436974789916</v>
      </c>
      <c r="H8" s="43" t="n">
        <f aca="false">Presupuesto!J242</f>
        <v>74</v>
      </c>
      <c r="I8" s="29" t="n">
        <f aca="false">ROUND(D8*H8,2)</f>
        <v>17612</v>
      </c>
      <c r="J8" s="43" t="n">
        <f aca="false">Presupuesto!K242</f>
        <v>19328.06</v>
      </c>
      <c r="K8" s="29" t="n">
        <f aca="false">J8-I8</f>
        <v>1716.06</v>
      </c>
      <c r="L8" s="26" t="s">
        <v>1259</v>
      </c>
    </row>
    <row r="9" customFormat="false" ht="21.75" hidden="false" customHeight="true" outlineLevel="0" collapsed="false">
      <c r="A9" s="40" t="str">
        <f aca="false">Presupuesto!A243</f>
        <v>05.02.02</v>
      </c>
      <c r="B9" s="40" t="str">
        <f aca="false">Presupuesto!B243</f>
        <v>m2</v>
      </c>
      <c r="C9" s="40" t="str">
        <f aca="false">Presupuesto!C243</f>
        <v>LOSA MACIZA HA-25 DE 30 CM CON VIGA PLANA (TECHO DEL GARAJE)</v>
      </c>
      <c r="D9" s="41" t="n">
        <v>50</v>
      </c>
      <c r="E9" s="41" t="n">
        <v>0</v>
      </c>
      <c r="F9" s="29" t="n">
        <f aca="false">E9-D9</f>
        <v>-50</v>
      </c>
      <c r="G9" s="42" t="n">
        <f aca="false">IF(D9=0,"-",F9/D9)</f>
        <v>-1</v>
      </c>
      <c r="H9" s="43" t="n">
        <f aca="false">Presupuesto!J246</f>
        <v>138</v>
      </c>
      <c r="I9" s="29" t="n">
        <f aca="false">ROUND(D9*H9,2)</f>
        <v>6900</v>
      </c>
      <c r="J9" s="43" t="n">
        <f aca="false">Presupuesto!K246</f>
        <v>0</v>
      </c>
      <c r="K9" s="29" t="n">
        <f aca="false">J9-I9</f>
        <v>-6900</v>
      </c>
      <c r="L9" s="26" t="s">
        <v>1260</v>
      </c>
    </row>
    <row r="10" customFormat="false" ht="21.75" hidden="false" customHeight="true" outlineLevel="0" collapsed="false">
      <c r="A10" s="40" t="str">
        <f aca="false">Presupuesto!A251</f>
        <v>05.02.04</v>
      </c>
      <c r="B10" s="40" t="str">
        <f aca="false">Presupuesto!B251</f>
        <v>m</v>
      </c>
      <c r="C10" s="40" t="str">
        <f aca="false">Presupuesto!C251</f>
        <v>ZUNCHO DE CORONACIÓN Y DINTEL EN PIEZA U DE YTONG</v>
      </c>
      <c r="D10" s="41" t="n">
        <v>198</v>
      </c>
      <c r="E10" s="41" t="n">
        <v>217.99</v>
      </c>
      <c r="F10" s="29" t="n">
        <f aca="false">E10-D10</f>
        <v>19.99</v>
      </c>
      <c r="G10" s="42" t="n">
        <f aca="false">IF(D10=0,"-",F10/D10)</f>
        <v>0.100959595959596</v>
      </c>
      <c r="H10" s="43" t="n">
        <f aca="false">Presupuesto!J256</f>
        <v>46</v>
      </c>
      <c r="I10" s="29" t="n">
        <f aca="false">ROUND(D10*H10,2)</f>
        <v>9108</v>
      </c>
      <c r="J10" s="43" t="n">
        <f aca="false">Presupuesto!K256</f>
        <v>10027.54</v>
      </c>
      <c r="K10" s="29" t="n">
        <f aca="false">J10-I10</f>
        <v>919.540000000001</v>
      </c>
      <c r="L10" s="26" t="s">
        <v>1261</v>
      </c>
    </row>
    <row r="11" customFormat="false" ht="15" hidden="false" customHeight="true" outlineLevel="0" collapsed="false">
      <c r="A11" s="40" t="str">
        <f aca="false">Presupuesto!A265</f>
        <v>05.02.07</v>
      </c>
      <c r="B11" s="40" t="str">
        <f aca="false">Presupuesto!B265</f>
        <v>m2</v>
      </c>
      <c r="C11" s="40" t="str">
        <f aca="false">Presupuesto!C265</f>
        <v>LOSA ARMADA DE HORMIGÓN CELULAR YTONG PARA CUBIERTA, 25 CM</v>
      </c>
      <c r="D11" s="41" t="n">
        <v>70</v>
      </c>
      <c r="E11" s="41" t="n">
        <v>83.29</v>
      </c>
      <c r="F11" s="29" t="n">
        <f aca="false">E11-D11</f>
        <v>13.29</v>
      </c>
      <c r="G11" s="42" t="n">
        <f aca="false">IF(D11=0,"-",F11/D11)</f>
        <v>0.189857142857143</v>
      </c>
      <c r="H11" s="43" t="n">
        <f aca="false">Presupuesto!J268</f>
        <v>108</v>
      </c>
      <c r="I11" s="29" t="n">
        <f aca="false">ROUND(D11*H11,2)</f>
        <v>7560</v>
      </c>
      <c r="J11" s="43" t="n">
        <f aca="false">Presupuesto!K268</f>
        <v>8995.32</v>
      </c>
      <c r="K11" s="29" t="n">
        <f aca="false">J11-I11</f>
        <v>1435.32</v>
      </c>
      <c r="L11" s="26" t="s">
        <v>1262</v>
      </c>
    </row>
    <row r="12" customFormat="false" ht="21.75" hidden="false" customHeight="true" outlineLevel="0" collapsed="false">
      <c r="A12" s="40" t="str">
        <f aca="false">Presupuesto!A278</f>
        <v>05.02.10</v>
      </c>
      <c r="B12" s="40" t="str">
        <f aca="false">Presupuesto!B278</f>
        <v>m3</v>
      </c>
      <c r="C12" s="40" t="str">
        <f aca="false">Presupuesto!C278</f>
        <v>PILAR DE HORMIGÓN ARMADO JUNTO A LA ESCALERA</v>
      </c>
      <c r="D12" s="41" t="n">
        <v>0</v>
      </c>
      <c r="E12" s="41" t="n">
        <v>1.87</v>
      </c>
      <c r="F12" s="29" t="n">
        <f aca="false">E12-D12</f>
        <v>1.87</v>
      </c>
      <c r="G12" s="42" t="str">
        <f aca="false">IF(D12=0,"-",F12/D12)</f>
        <v>-</v>
      </c>
      <c r="H12" s="43" t="n">
        <f aca="false">Presupuesto!J281</f>
        <v>560</v>
      </c>
      <c r="I12" s="29" t="n">
        <f aca="false">ROUND(D12*H12,2)</f>
        <v>0</v>
      </c>
      <c r="J12" s="43" t="n">
        <f aca="false">Presupuesto!K281</f>
        <v>1047.2</v>
      </c>
      <c r="K12" s="29" t="n">
        <f aca="false">J12-I12</f>
        <v>1047.2</v>
      </c>
      <c r="L12" s="26" t="s">
        <v>1263</v>
      </c>
    </row>
    <row r="13" customFormat="false" ht="15" hidden="false" customHeight="true" outlineLevel="0" collapsed="false">
      <c r="A13" s="40" t="str">
        <f aca="false">Presupuesto!A282</f>
        <v>05.02.11</v>
      </c>
      <c r="B13" s="40" t="str">
        <f aca="false">Presupuesto!B282</f>
        <v>m2</v>
      </c>
      <c r="C13" s="40" t="str">
        <f aca="false">Presupuesto!C282</f>
        <v>FORJADO UNIDIRECCIONAL DE VIGUETAS Y BOVEDILLAS DE EPS 15+5 (TERRAZA DE PLANTA SEGUNDA)</v>
      </c>
      <c r="D13" s="41" t="n">
        <v>0</v>
      </c>
      <c r="E13" s="41" t="n">
        <v>11.06</v>
      </c>
      <c r="F13" s="29" t="n">
        <f aca="false">E13-D13</f>
        <v>11.06</v>
      </c>
      <c r="G13" s="42" t="str">
        <f aca="false">IF(D13=0,"-",F13/D13)</f>
        <v>-</v>
      </c>
      <c r="H13" s="43" t="n">
        <f aca="false">Presupuesto!J285</f>
        <v>68</v>
      </c>
      <c r="I13" s="29" t="n">
        <f aca="false">ROUND(D13*H13,2)</f>
        <v>0</v>
      </c>
      <c r="J13" s="43" t="n">
        <f aca="false">Presupuesto!K285</f>
        <v>752.08</v>
      </c>
      <c r="K13" s="29" t="n">
        <f aca="false">J13-I13</f>
        <v>752.08</v>
      </c>
      <c r="L13" s="26" t="s">
        <v>1264</v>
      </c>
    </row>
    <row r="14" customFormat="false" ht="15" hidden="false" customHeight="true" outlineLevel="0" collapsed="false">
      <c r="A14" s="40" t="str">
        <f aca="false">Presupuesto!A289</f>
        <v>06.01</v>
      </c>
      <c r="B14" s="40" t="str">
        <f aca="false">Presupuesto!B289</f>
        <v>m2</v>
      </c>
      <c r="C14" s="40" t="str">
        <f aca="false">Presupuesto!C289</f>
        <v>FÁBRICA DE HORMIGÓN CELULAR YTONG 30 CM, D350 (FACHADAS)</v>
      </c>
      <c r="D14" s="41" t="n">
        <v>85.85</v>
      </c>
      <c r="E14" s="41" t="n">
        <v>81.8</v>
      </c>
      <c r="F14" s="29" t="n">
        <f aca="false">E14-D14</f>
        <v>-4.05</v>
      </c>
      <c r="G14" s="42" t="n">
        <f aca="false">IF(D14=0,"-",F14/D14)</f>
        <v>-0.0471753057658707</v>
      </c>
      <c r="H14" s="43" t="n">
        <f aca="false">Presupuesto!J299</f>
        <v>82</v>
      </c>
      <c r="I14" s="29" t="n">
        <f aca="false">ROUND(D14*H14,2)</f>
        <v>7039.7</v>
      </c>
      <c r="J14" s="43" t="n">
        <f aca="false">Presupuesto!K299</f>
        <v>6707.6</v>
      </c>
      <c r="K14" s="29" t="n">
        <f aca="false">J14-I14</f>
        <v>-332.099999999999</v>
      </c>
      <c r="L14" s="26" t="s">
        <v>1265</v>
      </c>
    </row>
    <row r="15" customFormat="false" ht="15" hidden="false" customHeight="true" outlineLevel="0" collapsed="false">
      <c r="A15" s="40" t="str">
        <f aca="false">Presupuesto!A300</f>
        <v>06.02</v>
      </c>
      <c r="B15" s="40" t="str">
        <f aca="false">Presupuesto!B300</f>
        <v>m2</v>
      </c>
      <c r="C15" s="40" t="str">
        <f aca="false">Presupuesto!C300</f>
        <v>FÁBRICA DE HORMIGÓN CELULAR YTONG 20 CM, D350 (MUROS A PATIO)</v>
      </c>
      <c r="D15" s="41" t="n">
        <v>70.54</v>
      </c>
      <c r="E15" s="41" t="n">
        <v>93.83</v>
      </c>
      <c r="F15" s="29" t="n">
        <f aca="false">E15-D15</f>
        <v>23.29</v>
      </c>
      <c r="G15" s="42" t="n">
        <f aca="false">IF(D15=0,"-",F15/D15)</f>
        <v>0.330167280975333</v>
      </c>
      <c r="H15" s="43" t="n">
        <f aca="false">Presupuesto!J306</f>
        <v>58</v>
      </c>
      <c r="I15" s="29" t="n">
        <f aca="false">ROUND(D15*H15,2)</f>
        <v>4091.32</v>
      </c>
      <c r="J15" s="43" t="n">
        <f aca="false">Presupuesto!K306</f>
        <v>5442.14</v>
      </c>
      <c r="K15" s="29" t="n">
        <f aca="false">J15-I15</f>
        <v>1350.82</v>
      </c>
      <c r="L15" s="26" t="s">
        <v>1266</v>
      </c>
    </row>
    <row r="16" customFormat="false" ht="15" hidden="false" customHeight="true" outlineLevel="0" collapsed="false">
      <c r="A16" s="40" t="str">
        <f aca="false">Presupuesto!A307</f>
        <v>06.03</v>
      </c>
      <c r="B16" s="40" t="str">
        <f aca="false">Presupuesto!B307</f>
        <v>m2</v>
      </c>
      <c r="C16" s="40" t="str">
        <f aca="false">Presupuesto!C307</f>
        <v>FÁBRICA DE HORMIGÓN CELULAR YTONG 20 CM (MEDIANERAS Y MUROS DE CARGA)</v>
      </c>
      <c r="D16" s="41" t="n">
        <v>327.98</v>
      </c>
      <c r="E16" s="41" t="n">
        <v>366.79</v>
      </c>
      <c r="F16" s="29" t="n">
        <f aca="false">E16-D16</f>
        <v>38.81</v>
      </c>
      <c r="G16" s="42" t="n">
        <f aca="false">IF(D16=0,"-",F16/D16)</f>
        <v>0.118330385999146</v>
      </c>
      <c r="H16" s="43" t="n">
        <f aca="false">Presupuesto!J314</f>
        <v>54</v>
      </c>
      <c r="I16" s="29" t="n">
        <f aca="false">ROUND(D16*H16,2)</f>
        <v>17710.92</v>
      </c>
      <c r="J16" s="43" t="n">
        <f aca="false">Presupuesto!K314</f>
        <v>19806.66</v>
      </c>
      <c r="K16" s="29" t="n">
        <f aca="false">J16-I16</f>
        <v>2095.74</v>
      </c>
      <c r="L16" s="26" t="s">
        <v>1267</v>
      </c>
    </row>
    <row r="17" customFormat="false" ht="15" hidden="false" customHeight="true" outlineLevel="0" collapsed="false">
      <c r="A17" s="40" t="str">
        <f aca="false">Presupuesto!A315</f>
        <v>06.04</v>
      </c>
      <c r="B17" s="40" t="str">
        <f aca="false">Presupuesto!B315</f>
        <v>m2</v>
      </c>
      <c r="C17" s="40" t="str">
        <f aca="false">Presupuesto!C315</f>
        <v>JUNTA DE POLIESTIRENO EXPANDIDO 10 MM CONTRA MEDIANERA</v>
      </c>
      <c r="D17" s="41" t="n">
        <v>350.03</v>
      </c>
      <c r="E17" s="41" t="n">
        <v>360.25</v>
      </c>
      <c r="F17" s="29" t="n">
        <f aca="false">E17-D17</f>
        <v>10.22</v>
      </c>
      <c r="G17" s="42" t="n">
        <f aca="false">IF(D17=0,"-",F17/D17)</f>
        <v>0.0291974973573695</v>
      </c>
      <c r="H17" s="43" t="n">
        <f aca="false">Presupuesto!J320</f>
        <v>4.8</v>
      </c>
      <c r="I17" s="29" t="n">
        <f aca="false">ROUND(D17*H17,2)</f>
        <v>1680.14</v>
      </c>
      <c r="J17" s="43" t="n">
        <f aca="false">Presupuesto!K320</f>
        <v>1729.2</v>
      </c>
      <c r="K17" s="29" t="n">
        <f aca="false">J17-I17</f>
        <v>49.0599999999999</v>
      </c>
      <c r="L17" s="26" t="s">
        <v>1268</v>
      </c>
    </row>
    <row r="18" customFormat="false" ht="15" hidden="false" customHeight="true" outlineLevel="0" collapsed="false">
      <c r="A18" s="40" t="str">
        <f aca="false">Presupuesto!A321</f>
        <v>06.05</v>
      </c>
      <c r="B18" s="40" t="str">
        <f aca="false">Presupuesto!B321</f>
        <v>m2</v>
      </c>
      <c r="C18" s="40" t="str">
        <f aca="false">Presupuesto!C321</f>
        <v>TRASDOSADO DE HORMIGÓN CELULAR YTONG 7 CM CON CÁMARA</v>
      </c>
      <c r="D18" s="41" t="n">
        <v>83.01</v>
      </c>
      <c r="E18" s="41" t="n">
        <v>97.96</v>
      </c>
      <c r="F18" s="29" t="n">
        <f aca="false">E18-D18</f>
        <v>14.95</v>
      </c>
      <c r="G18" s="42" t="n">
        <f aca="false">IF(D18=0,"-",F18/D18)</f>
        <v>0.180098783279123</v>
      </c>
      <c r="H18" s="43" t="n">
        <f aca="false">Presupuesto!J326</f>
        <v>34</v>
      </c>
      <c r="I18" s="29" t="n">
        <f aca="false">ROUND(D18*H18,2)</f>
        <v>2822.34</v>
      </c>
      <c r="J18" s="43" t="n">
        <f aca="false">Presupuesto!K326</f>
        <v>3330.64</v>
      </c>
      <c r="K18" s="29" t="n">
        <f aca="false">J18-I18</f>
        <v>508.3</v>
      </c>
      <c r="L18" s="26" t="s">
        <v>1269</v>
      </c>
    </row>
    <row r="19" customFormat="false" ht="15" hidden="false" customHeight="true" outlineLevel="0" collapsed="false">
      <c r="A19" s="40" t="str">
        <f aca="false">Presupuesto!A327</f>
        <v>06.06</v>
      </c>
      <c r="B19" s="40" t="str">
        <f aca="false">Presupuesto!B327</f>
        <v>m2</v>
      </c>
      <c r="C19" s="40" t="str">
        <f aca="false">Presupuesto!C327</f>
        <v>TABIQUE DE HORMIGÓN CELULAR YTONG 7 CM</v>
      </c>
      <c r="D19" s="41" t="n">
        <v>77.47</v>
      </c>
      <c r="E19" s="41" t="n">
        <v>110.38</v>
      </c>
      <c r="F19" s="29" t="n">
        <f aca="false">E19-D19</f>
        <v>32.91</v>
      </c>
      <c r="G19" s="42" t="n">
        <f aca="false">IF(D19=0,"-",F19/D19)</f>
        <v>0.424809603717568</v>
      </c>
      <c r="H19" s="43" t="n">
        <f aca="false">Presupuesto!J332</f>
        <v>33</v>
      </c>
      <c r="I19" s="29" t="n">
        <f aca="false">ROUND(D19*H19,2)</f>
        <v>2556.51</v>
      </c>
      <c r="J19" s="43" t="n">
        <f aca="false">Presupuesto!K332</f>
        <v>3642.54</v>
      </c>
      <c r="K19" s="29" t="n">
        <f aca="false">J19-I19</f>
        <v>1086.03</v>
      </c>
      <c r="L19" s="26" t="s">
        <v>1270</v>
      </c>
    </row>
    <row r="20" customFormat="false" ht="15" hidden="false" customHeight="true" outlineLevel="0" collapsed="false">
      <c r="A20" s="40" t="str">
        <f aca="false">Presupuesto!A340</f>
        <v>06.08</v>
      </c>
      <c r="B20" s="40" t="str">
        <f aca="false">Presupuesto!B340</f>
        <v>m</v>
      </c>
      <c r="C20" s="40" t="str">
        <f aca="false">Presupuesto!C340</f>
        <v>FRENTE DE FORJADO CON PLAQUETA YTONG Y XPS 4 CM</v>
      </c>
      <c r="D20" s="41" t="n">
        <v>62.72</v>
      </c>
      <c r="E20" s="41" t="n">
        <v>50.34</v>
      </c>
      <c r="F20" s="29" t="n">
        <f aca="false">E20-D20</f>
        <v>-12.38</v>
      </c>
      <c r="G20" s="42" t="n">
        <f aca="false">IF(D20=0,"-",F20/D20)</f>
        <v>-0.197385204081633</v>
      </c>
      <c r="H20" s="43" t="n">
        <f aca="false">Presupuesto!J344</f>
        <v>29</v>
      </c>
      <c r="I20" s="29" t="n">
        <f aca="false">ROUND(D20*H20,2)</f>
        <v>1818.88</v>
      </c>
      <c r="J20" s="43" t="n">
        <f aca="false">Presupuesto!K344</f>
        <v>1459.86</v>
      </c>
      <c r="K20" s="29" t="n">
        <f aca="false">J20-I20</f>
        <v>-359.02</v>
      </c>
      <c r="L20" s="26" t="s">
        <v>1271</v>
      </c>
    </row>
    <row r="21" customFormat="false" ht="15" hidden="false" customHeight="true" outlineLevel="0" collapsed="false">
      <c r="A21" s="40" t="str">
        <f aca="false">Presupuesto!A368</f>
        <v>07.01</v>
      </c>
      <c r="B21" s="40" t="str">
        <f aca="false">Presupuesto!B368</f>
        <v>m2</v>
      </c>
      <c r="C21" s="40" t="str">
        <f aca="false">Presupuesto!C368</f>
        <v>AISLAMIENTO XPS 10 CM SOBRE LOSA DE CUBIERTA</v>
      </c>
      <c r="D21" s="41" t="n">
        <v>70</v>
      </c>
      <c r="E21" s="41" t="n">
        <v>83.29</v>
      </c>
      <c r="F21" s="29" t="n">
        <f aca="false">E21-D21</f>
        <v>13.29</v>
      </c>
      <c r="G21" s="42" t="n">
        <f aca="false">IF(D21=0,"-",F21/D21)</f>
        <v>0.189857142857143</v>
      </c>
      <c r="H21" s="43" t="n">
        <f aca="false">Presupuesto!J371</f>
        <v>17.5</v>
      </c>
      <c r="I21" s="29" t="n">
        <f aca="false">ROUND(D21*H21,2)</f>
        <v>1225</v>
      </c>
      <c r="J21" s="43" t="n">
        <f aca="false">Presupuesto!K371</f>
        <v>1457.58</v>
      </c>
      <c r="K21" s="29" t="n">
        <f aca="false">J21-I21</f>
        <v>232.58</v>
      </c>
      <c r="L21" s="26" t="s">
        <v>1272</v>
      </c>
    </row>
    <row r="22" customFormat="false" ht="15" hidden="false" customHeight="true" outlineLevel="0" collapsed="false">
      <c r="A22" s="40" t="str">
        <f aca="false">Presupuesto!A384</f>
        <v>07.05</v>
      </c>
      <c r="B22" s="40" t="str">
        <f aca="false">Presupuesto!B384</f>
        <v>m²</v>
      </c>
      <c r="C22" s="40" t="str">
        <f aca="false">Presupuesto!C384</f>
        <v>COBERTURA DE TEJA CERÁMICA MIXTA</v>
      </c>
      <c r="D22" s="41" t="n">
        <v>70</v>
      </c>
      <c r="E22" s="41" t="n">
        <v>83.29</v>
      </c>
      <c r="F22" s="29" t="n">
        <f aca="false">E22-D22</f>
        <v>13.29</v>
      </c>
      <c r="G22" s="42" t="n">
        <f aca="false">IF(D22=0,"-",F22/D22)</f>
        <v>0.189857142857143</v>
      </c>
      <c r="H22" s="43" t="n">
        <f aca="false">Presupuesto!J387</f>
        <v>36.12</v>
      </c>
      <c r="I22" s="29" t="n">
        <f aca="false">ROUND(D22*H22,2)</f>
        <v>2528.4</v>
      </c>
      <c r="J22" s="43" t="n">
        <f aca="false">Presupuesto!K387</f>
        <v>3008.43</v>
      </c>
      <c r="K22" s="29" t="n">
        <f aca="false">J22-I22</f>
        <v>480.03</v>
      </c>
      <c r="L22" s="26" t="s">
        <v>1273</v>
      </c>
    </row>
    <row r="23" customFormat="false" ht="53.25" hidden="false" customHeight="true" outlineLevel="0" collapsed="false">
      <c r="A23" s="40" t="str">
        <f aca="false">Presupuesto!A402</f>
        <v>07.09</v>
      </c>
      <c r="B23" s="40" t="str">
        <f aca="false">Presupuesto!B402</f>
        <v>m2</v>
      </c>
      <c r="C23" s="40" t="str">
        <f aca="false">Presupuesto!C402</f>
        <v>AISLAMIENTO XPS 14 CM EN CUBIERTA PLANA</v>
      </c>
      <c r="D23" s="41" t="n">
        <v>77.3</v>
      </c>
      <c r="E23" s="41" t="n">
        <v>29.32</v>
      </c>
      <c r="F23" s="29" t="n">
        <f aca="false">E23-D23</f>
        <v>-47.98</v>
      </c>
      <c r="G23" s="42" t="n">
        <f aca="false">IF(D23=0,"-",F23/D23)</f>
        <v>-0.620698576972833</v>
      </c>
      <c r="H23" s="43" t="n">
        <f aca="false">Presupuesto!J405</f>
        <v>24.5</v>
      </c>
      <c r="I23" s="41" t="n">
        <v>5720.2</v>
      </c>
      <c r="J23" s="43" t="n">
        <f aca="false">Presupuesto!K405</f>
        <v>718.34</v>
      </c>
      <c r="K23" s="29" t="n">
        <f aca="false">J23-I23</f>
        <v>-5001.86</v>
      </c>
      <c r="L23" s="26" t="s">
        <v>1274</v>
      </c>
    </row>
    <row r="24" customFormat="false" ht="15" hidden="false" customHeight="true" outlineLevel="0" collapsed="false">
      <c r="A24" s="40" t="str">
        <f aca="false">Presupuesto!A414</f>
        <v>07.12</v>
      </c>
      <c r="B24" s="40" t="str">
        <f aca="false">Presupuesto!B414</f>
        <v>m2</v>
      </c>
      <c r="C24" s="40" t="str">
        <f aca="false">Presupuesto!C414</f>
        <v>FORMACIÓN DE PENDIENTES CON MORTERO (1–2 %) EN PATIO, PORCHE, TERRAZA Y CUBIERTA PLANA</v>
      </c>
      <c r="D24" s="41" t="n">
        <v>0</v>
      </c>
      <c r="E24" s="41" t="n">
        <v>70.02</v>
      </c>
      <c r="F24" s="29" t="n">
        <f aca="false">E24-D24</f>
        <v>70.02</v>
      </c>
      <c r="G24" s="42" t="str">
        <f aca="false">IF(D24=0,"-",F24/D24)</f>
        <v>-</v>
      </c>
      <c r="H24" s="43" t="n">
        <f aca="false">Presupuesto!J417</f>
        <v>13</v>
      </c>
      <c r="I24" s="29" t="n">
        <f aca="false">ROUND(D24*H24,2)</f>
        <v>0</v>
      </c>
      <c r="J24" s="43" t="n">
        <f aca="false">Presupuesto!K417</f>
        <v>910.26</v>
      </c>
      <c r="K24" s="29" t="n">
        <f aca="false">J24-I24</f>
        <v>910.26</v>
      </c>
      <c r="L24" s="26" t="s">
        <v>1275</v>
      </c>
    </row>
    <row r="25" customFormat="false" ht="15" hidden="false" customHeight="true" outlineLevel="0" collapsed="false">
      <c r="A25" s="40" t="str">
        <f aca="false">Presupuesto!A418</f>
        <v>07.13</v>
      </c>
      <c r="B25" s="40" t="str">
        <f aca="false">Presupuesto!B418</f>
        <v>m2</v>
      </c>
      <c r="C25" s="40" t="str">
        <f aca="false">Presupuesto!C418</f>
        <v>BARRERA DE VAPOR BAJO EL AISLAMIENTO EN CUBIERTA PLANA, PATIO Y PORCHE</v>
      </c>
      <c r="D25" s="41" t="n">
        <v>0</v>
      </c>
      <c r="E25" s="41" t="n">
        <v>58.97</v>
      </c>
      <c r="F25" s="29" t="n">
        <f aca="false">E25-D25</f>
        <v>58.97</v>
      </c>
      <c r="G25" s="42" t="str">
        <f aca="false">IF(D25=0,"-",F25/D25)</f>
        <v>-</v>
      </c>
      <c r="H25" s="43" t="n">
        <f aca="false">Presupuesto!J421</f>
        <v>3.8</v>
      </c>
      <c r="I25" s="29" t="n">
        <f aca="false">ROUND(D25*H25,2)</f>
        <v>0</v>
      </c>
      <c r="J25" s="43" t="n">
        <f aca="false">Presupuesto!K421</f>
        <v>224.09</v>
      </c>
      <c r="K25" s="29" t="n">
        <f aca="false">J25-I25</f>
        <v>224.09</v>
      </c>
      <c r="L25" s="26" t="s">
        <v>1276</v>
      </c>
    </row>
    <row r="26" customFormat="false" ht="15" hidden="false" customHeight="true" outlineLevel="0" collapsed="false">
      <c r="A26" s="40" t="str">
        <f aca="false">Presupuesto!A425</f>
        <v>08.01</v>
      </c>
      <c r="B26" s="40" t="str">
        <f aca="false">Presupuesto!B425</f>
        <v>m2</v>
      </c>
      <c r="C26" s="40" t="str">
        <f aca="false">Presupuesto!C425</f>
        <v>AISLAMIENTO XPS 10 CM SOBRE FORJADO SANITARIO</v>
      </c>
      <c r="D26" s="41" t="n">
        <v>60</v>
      </c>
      <c r="E26" s="41" t="n">
        <v>59.92</v>
      </c>
      <c r="F26" s="29" t="n">
        <f aca="false">E26-D26</f>
        <v>-0.0799999999999983</v>
      </c>
      <c r="G26" s="42" t="n">
        <f aca="false">IF(D26=0,"-",F26/D26)</f>
        <v>-0.0013333333333333</v>
      </c>
      <c r="H26" s="43" t="n">
        <f aca="false">Presupuesto!J428</f>
        <v>16.5</v>
      </c>
      <c r="I26" s="29" t="n">
        <f aca="false">ROUND(D26*H26,2)</f>
        <v>990</v>
      </c>
      <c r="J26" s="43" t="n">
        <f aca="false">Presupuesto!K428</f>
        <v>988.68</v>
      </c>
      <c r="K26" s="29" t="n">
        <f aca="false">J26-I26</f>
        <v>-1.32000000000005</v>
      </c>
      <c r="L26" s="26" t="s">
        <v>1277</v>
      </c>
    </row>
    <row r="27" customFormat="false" ht="21.75" hidden="false" customHeight="true" outlineLevel="0" collapsed="false">
      <c r="A27" s="40" t="str">
        <f aca="false">Presupuesto!A429</f>
        <v>08.02</v>
      </c>
      <c r="B27" s="40" t="str">
        <f aca="false">Presupuesto!B429</f>
        <v>m2</v>
      </c>
      <c r="C27" s="40" t="str">
        <f aca="false">Presupuesto!C429</f>
        <v>XPS 4 CM SOBRE FORJADOS (PASO DE INSTALACIONES)</v>
      </c>
      <c r="D27" s="41" t="n">
        <v>163</v>
      </c>
      <c r="E27" s="41" t="n">
        <v>191.09</v>
      </c>
      <c r="F27" s="29" t="n">
        <f aca="false">E27-D27</f>
        <v>28.09</v>
      </c>
      <c r="G27" s="42" t="n">
        <f aca="false">IF(D27=0,"-",F27/D27)</f>
        <v>0.172331288343558</v>
      </c>
      <c r="H27" s="43" t="n">
        <f aca="false">Presupuesto!J433</f>
        <v>7.47</v>
      </c>
      <c r="I27" s="29" t="n">
        <f aca="false">ROUND(D27*H27,2)</f>
        <v>1217.61</v>
      </c>
      <c r="J27" s="43" t="n">
        <f aca="false">Presupuesto!K433</f>
        <v>1427.44</v>
      </c>
      <c r="K27" s="29" t="n">
        <f aca="false">J27-I27</f>
        <v>209.83</v>
      </c>
      <c r="L27" s="26" t="s">
        <v>1278</v>
      </c>
    </row>
    <row r="28" customFormat="false" ht="21.75" hidden="false" customHeight="true" outlineLevel="0" collapsed="false">
      <c r="A28" s="40" t="str">
        <f aca="false">Presupuesto!A434</f>
        <v>08.03</v>
      </c>
      <c r="B28" s="40" t="str">
        <f aca="false">Presupuesto!B434</f>
        <v>m2</v>
      </c>
      <c r="C28" s="40" t="str">
        <f aca="false">Presupuesto!C434</f>
        <v>LÁMINA ANTIIMPACTO 5 MM Y BANDA PERIMETRAL</v>
      </c>
      <c r="D28" s="41" t="n">
        <v>163</v>
      </c>
      <c r="E28" s="41" t="n">
        <v>220.42</v>
      </c>
      <c r="F28" s="29" t="n">
        <f aca="false">E28-D28</f>
        <v>57.42</v>
      </c>
      <c r="G28" s="42" t="n">
        <f aca="false">IF(D28=0,"-",F28/D28)</f>
        <v>0.352269938650307</v>
      </c>
      <c r="H28" s="43" t="n">
        <f aca="false">Presupuesto!J437</f>
        <v>4.6</v>
      </c>
      <c r="I28" s="29" t="n">
        <f aca="false">ROUND(D28*H28,2)</f>
        <v>749.8</v>
      </c>
      <c r="J28" s="43" t="n">
        <f aca="false">Presupuesto!K437</f>
        <v>1013.93</v>
      </c>
      <c r="K28" s="29" t="n">
        <f aca="false">J28-I28</f>
        <v>264.13</v>
      </c>
      <c r="L28" s="26" t="s">
        <v>1279</v>
      </c>
    </row>
    <row r="29" customFormat="false" ht="21.75" hidden="false" customHeight="true" outlineLevel="0" collapsed="false">
      <c r="A29" s="40" t="str">
        <f aca="false">Presupuesto!A454</f>
        <v>08.08</v>
      </c>
      <c r="B29" s="40" t="str">
        <f aca="false">Presupuesto!B454</f>
        <v>m2</v>
      </c>
      <c r="C29" s="40" t="str">
        <f aca="false">Presupuesto!C454</f>
        <v>IMPERMEABILIZACIÓN CON LÁMINA DE BETÚN MODIFICADO EN PATIO, PORCHE, TERRAZA Y CUBIERTA PLANA</v>
      </c>
      <c r="D29" s="41" t="n">
        <v>0</v>
      </c>
      <c r="E29" s="41" t="n">
        <v>70.02</v>
      </c>
      <c r="F29" s="29" t="n">
        <f aca="false">E29-D29</f>
        <v>70.02</v>
      </c>
      <c r="G29" s="42" t="str">
        <f aca="false">IF(D29=0,"-",F29/D29)</f>
        <v>-</v>
      </c>
      <c r="H29" s="43" t="n">
        <f aca="false">Presupuesto!J457</f>
        <v>22</v>
      </c>
      <c r="I29" s="29" t="n">
        <f aca="false">ROUND(D29*H29,2)</f>
        <v>0</v>
      </c>
      <c r="J29" s="43" t="n">
        <f aca="false">Presupuesto!K457</f>
        <v>1540.44</v>
      </c>
      <c r="K29" s="29" t="n">
        <f aca="false">J29-I29</f>
        <v>1540.44</v>
      </c>
      <c r="L29" s="26" t="s">
        <v>1280</v>
      </c>
    </row>
    <row r="30" customFormat="false" ht="15" hidden="false" customHeight="true" outlineLevel="0" collapsed="false">
      <c r="A30" s="40" t="str">
        <f aca="false">Presupuesto!A461</f>
        <v>09.01</v>
      </c>
      <c r="B30" s="40" t="str">
        <f aca="false">Presupuesto!B461</f>
        <v>m2</v>
      </c>
      <c r="C30" s="40" t="str">
        <f aca="false">Presupuesto!C461</f>
        <v>FALSO TECHO DE PLACA DE YESO LAMINADO 15 MM</v>
      </c>
      <c r="D30" s="41" t="n">
        <v>99.35</v>
      </c>
      <c r="E30" s="41" t="n">
        <v>96.96</v>
      </c>
      <c r="F30" s="29" t="n">
        <f aca="false">E30-D30</f>
        <v>-2.39</v>
      </c>
      <c r="G30" s="42" t="n">
        <f aca="false">IF(D30=0,"-",F30/D30)</f>
        <v>-0.0240563663814796</v>
      </c>
      <c r="H30" s="43" t="n">
        <f aca="false">Presupuesto!J464</f>
        <v>27</v>
      </c>
      <c r="I30" s="29" t="n">
        <f aca="false">ROUND(D30*H30,2)</f>
        <v>2682.45</v>
      </c>
      <c r="J30" s="43" t="n">
        <f aca="false">Presupuesto!K464</f>
        <v>2617.92</v>
      </c>
      <c r="K30" s="29" t="n">
        <f aca="false">J30-I30</f>
        <v>-64.5299999999998</v>
      </c>
      <c r="L30" s="26" t="s">
        <v>1281</v>
      </c>
    </row>
    <row r="31" customFormat="false" ht="21.75" hidden="false" customHeight="true" outlineLevel="0" collapsed="false">
      <c r="A31" s="40" t="str">
        <f aca="false">Presupuesto!A469</f>
        <v>09.03</v>
      </c>
      <c r="B31" s="40" t="str">
        <f aca="false">Presupuesto!B469</f>
        <v>m2</v>
      </c>
      <c r="C31" s="40" t="str">
        <f aca="false">Presupuesto!C469</f>
        <v>TABICA DE PLACA DE YESO LAMINADO EN LOS BORDES DEL FALSO TECHO</v>
      </c>
      <c r="D31" s="41" t="n">
        <v>0</v>
      </c>
      <c r="E31" s="41" t="n">
        <v>22.3</v>
      </c>
      <c r="F31" s="29" t="n">
        <f aca="false">E31-D31</f>
        <v>22.3</v>
      </c>
      <c r="G31" s="42" t="str">
        <f aca="false">IF(D31=0,"-",F31/D31)</f>
        <v>-</v>
      </c>
      <c r="H31" s="43" t="n">
        <f aca="false">Presupuesto!J472</f>
        <v>34</v>
      </c>
      <c r="I31" s="29" t="n">
        <f aca="false">ROUND(D31*H31,2)</f>
        <v>0</v>
      </c>
      <c r="J31" s="43" t="n">
        <f aca="false">Presupuesto!K472</f>
        <v>758.2</v>
      </c>
      <c r="K31" s="29" t="n">
        <f aca="false">J31-I31</f>
        <v>758.2</v>
      </c>
      <c r="L31" s="26" t="s">
        <v>1282</v>
      </c>
    </row>
    <row r="32" customFormat="false" ht="15" hidden="false" customHeight="true" outlineLevel="0" collapsed="false">
      <c r="A32" s="40" t="str">
        <f aca="false">Presupuesto!A476</f>
        <v>10.01</v>
      </c>
      <c r="B32" s="40" t="str">
        <f aca="false">Presupuesto!B476</f>
        <v>m2</v>
      </c>
      <c r="C32" s="40" t="str">
        <f aca="false">Presupuesto!C476</f>
        <v>MORTERO AUTONIVELANTE DE 4 CM CON SUELO RADIANTE</v>
      </c>
      <c r="D32" s="41" t="n">
        <v>188.3</v>
      </c>
      <c r="E32" s="41" t="n">
        <v>210.32</v>
      </c>
      <c r="F32" s="29" t="n">
        <f aca="false">E32-D32</f>
        <v>22.02</v>
      </c>
      <c r="G32" s="42" t="n">
        <f aca="false">IF(D32=0,"-",F32/D32)</f>
        <v>0.116941051513542</v>
      </c>
      <c r="H32" s="43" t="n">
        <f aca="false">Presupuesto!J479</f>
        <v>15</v>
      </c>
      <c r="I32" s="29" t="n">
        <f aca="false">ROUND(D32*H32,2)</f>
        <v>2824.5</v>
      </c>
      <c r="J32" s="43" t="n">
        <f aca="false">Presupuesto!K479</f>
        <v>3154.8</v>
      </c>
      <c r="K32" s="29" t="n">
        <f aca="false">J32-I32</f>
        <v>330.3</v>
      </c>
      <c r="L32" s="26" t="s">
        <v>1283</v>
      </c>
    </row>
    <row r="33" customFormat="false" ht="15" hidden="false" customHeight="true" outlineLevel="0" collapsed="false">
      <c r="A33" s="40" t="str">
        <f aca="false">Presupuesto!A484</f>
        <v>10.03</v>
      </c>
      <c r="B33" s="40" t="str">
        <f aca="false">Presupuesto!B484</f>
        <v>m2</v>
      </c>
      <c r="C33" s="40" t="str">
        <f aca="false">Presupuesto!C484</f>
        <v>PAVIMENTO CONTINUO DE MICROCEMENTO PULIDO INTERIOR</v>
      </c>
      <c r="D33" s="41" t="n">
        <v>191.01</v>
      </c>
      <c r="E33" s="41" t="n">
        <v>192.65</v>
      </c>
      <c r="F33" s="29" t="n">
        <f aca="false">E33-D33</f>
        <v>1.64000000000001</v>
      </c>
      <c r="G33" s="42" t="n">
        <f aca="false">IF(D33=0,"-",F33/D33)</f>
        <v>0.00858593790901008</v>
      </c>
      <c r="H33" s="43" t="n">
        <f aca="false">Presupuesto!J488</f>
        <v>48</v>
      </c>
      <c r="I33" s="29" t="n">
        <f aca="false">ROUND(D33*H33,2)</f>
        <v>9168.48</v>
      </c>
      <c r="J33" s="43" t="n">
        <f aca="false">Presupuesto!K488</f>
        <v>9247.2</v>
      </c>
      <c r="K33" s="29" t="n">
        <f aca="false">J33-I33</f>
        <v>78.7200000000012</v>
      </c>
      <c r="L33" s="26" t="s">
        <v>1284</v>
      </c>
    </row>
    <row r="34" customFormat="false" ht="15" hidden="false" customHeight="true" outlineLevel="0" collapsed="false">
      <c r="A34" s="40" t="str">
        <f aca="false">Presupuesto!A489</f>
        <v>10.04</v>
      </c>
      <c r="B34" s="40" t="str">
        <f aca="false">Presupuesto!B489</f>
        <v>m2</v>
      </c>
      <c r="C34" s="40" t="str">
        <f aca="false">Presupuesto!C489</f>
        <v>PAVIMENTO CONTINUO DE MICROCEMENTO EXTERIOR</v>
      </c>
      <c r="D34" s="41" t="n">
        <v>91.93</v>
      </c>
      <c r="E34" s="41" t="n">
        <v>70.02</v>
      </c>
      <c r="F34" s="29" t="n">
        <f aca="false">E34-D34</f>
        <v>-21.91</v>
      </c>
      <c r="G34" s="42" t="n">
        <f aca="false">IF(D34=0,"-",F34/D34)</f>
        <v>-0.238333514630697</v>
      </c>
      <c r="H34" s="43" t="n">
        <f aca="false">Presupuesto!J493</f>
        <v>56</v>
      </c>
      <c r="I34" s="29" t="n">
        <f aca="false">ROUND(D34*H34,2)</f>
        <v>5148.08</v>
      </c>
      <c r="J34" s="43" t="n">
        <f aca="false">Presupuesto!K493</f>
        <v>3921.12</v>
      </c>
      <c r="K34" s="29" t="n">
        <f aca="false">J34-I34</f>
        <v>-1226.96</v>
      </c>
      <c r="L34" s="26" t="s">
        <v>1285</v>
      </c>
    </row>
    <row r="35" customFormat="false" ht="15" hidden="false" customHeight="true" outlineLevel="0" collapsed="false">
      <c r="A35" s="40" t="str">
        <f aca="false">Presupuesto!A494</f>
        <v>10.05</v>
      </c>
      <c r="B35" s="40" t="str">
        <f aca="false">Presupuesto!B494</f>
        <v>m2</v>
      </c>
      <c r="C35" s="40" t="str">
        <f aca="false">Presupuesto!C494</f>
        <v>PAVIMENTO DE GRES PORCELÁNICO EN BAÑOS Y ASEOS</v>
      </c>
      <c r="D35" s="41" t="n">
        <v>17.81</v>
      </c>
      <c r="E35" s="41" t="n">
        <v>17.67</v>
      </c>
      <c r="F35" s="29" t="n">
        <f aca="false">E35-D35</f>
        <v>-0.139999999999997</v>
      </c>
      <c r="G35" s="42" t="n">
        <f aca="false">IF(D35=0,"-",F35/D35)</f>
        <v>-0.00786075238629966</v>
      </c>
      <c r="H35" s="43" t="n">
        <f aca="false">Presupuesto!J497</f>
        <v>54</v>
      </c>
      <c r="I35" s="29" t="n">
        <f aca="false">ROUND(D35*H35,2)</f>
        <v>961.74</v>
      </c>
      <c r="J35" s="43" t="n">
        <f aca="false">Presupuesto!K497</f>
        <v>954.18</v>
      </c>
      <c r="K35" s="29" t="n">
        <f aca="false">J35-I35</f>
        <v>-7.56000000000006</v>
      </c>
      <c r="L35" s="26" t="s">
        <v>696</v>
      </c>
    </row>
    <row r="36" customFormat="false" ht="15" hidden="false" customHeight="true" outlineLevel="0" collapsed="false">
      <c r="A36" s="40" t="str">
        <f aca="false">Presupuesto!A498</f>
        <v>10.06</v>
      </c>
      <c r="B36" s="40" t="str">
        <f aca="false">Presupuesto!B498</f>
        <v>m2</v>
      </c>
      <c r="C36" s="40" t="str">
        <f aca="false">Presupuesto!C498</f>
        <v>PAVIMENTO CONTINUO DE CUARZO EN GARAJE</v>
      </c>
      <c r="D36" s="41" t="n">
        <v>49.52</v>
      </c>
      <c r="E36" s="41" t="n">
        <v>49.52</v>
      </c>
      <c r="F36" s="29" t="n">
        <f aca="false">E36-D36</f>
        <v>0</v>
      </c>
      <c r="G36" s="42" t="n">
        <f aca="false">IF(D36=0,"-",F36/D36)</f>
        <v>0</v>
      </c>
      <c r="H36" s="43" t="n">
        <f aca="false">Presupuesto!J501</f>
        <v>15.61</v>
      </c>
      <c r="I36" s="29" t="n">
        <f aca="false">ROUND(D36*H36,2)</f>
        <v>773.01</v>
      </c>
      <c r="J36" s="43" t="n">
        <f aca="false">Presupuesto!K501</f>
        <v>773.01</v>
      </c>
      <c r="K36" s="29" t="n">
        <f aca="false">J36-I36</f>
        <v>0</v>
      </c>
      <c r="L36" s="26" t="s">
        <v>324</v>
      </c>
    </row>
    <row r="37" customFormat="false" ht="15" hidden="false" customHeight="true" outlineLevel="0" collapsed="false">
      <c r="A37" s="40" t="str">
        <f aca="false">Presupuesto!A510</f>
        <v>10.09</v>
      </c>
      <c r="B37" s="40" t="str">
        <f aca="false">Presupuesto!B510</f>
        <v>m2</v>
      </c>
      <c r="C37" s="40" t="str">
        <f aca="false">Presupuesto!C510</f>
        <v>MORTERO DE PROTECCIÓN DE 4 CM SOBRE LA LÁMINA (PATIO, PORCHE, TERRAZA Y CUBIERTA PLANA)</v>
      </c>
      <c r="D37" s="41" t="n">
        <v>0</v>
      </c>
      <c r="E37" s="41" t="n">
        <v>70.02</v>
      </c>
      <c r="F37" s="29" t="n">
        <f aca="false">E37-D37</f>
        <v>70.02</v>
      </c>
      <c r="G37" s="42" t="str">
        <f aca="false">IF(D37=0,"-",F37/D37)</f>
        <v>-</v>
      </c>
      <c r="H37" s="43" t="n">
        <f aca="false">Presupuesto!J513</f>
        <v>15</v>
      </c>
      <c r="I37" s="29" t="n">
        <f aca="false">ROUND(D37*H37,2)</f>
        <v>0</v>
      </c>
      <c r="J37" s="43" t="n">
        <f aca="false">Presupuesto!K513</f>
        <v>1050.3</v>
      </c>
      <c r="K37" s="29" t="n">
        <f aca="false">J37-I37</f>
        <v>1050.3</v>
      </c>
      <c r="L37" s="26" t="s">
        <v>1275</v>
      </c>
    </row>
    <row r="38" customFormat="false" ht="15" hidden="false" customHeight="true" outlineLevel="0" collapsed="false">
      <c r="A38" s="40" t="str">
        <f aca="false">Presupuesto!A517</f>
        <v>11.01</v>
      </c>
      <c r="B38" s="40" t="str">
        <f aca="false">Presupuesto!B517</f>
        <v>m²</v>
      </c>
      <c r="C38" s="40" t="str">
        <f aca="false">Presupuesto!C517</f>
        <v>REVOCO DE CAL / MONOCAPA EN FACHADAS Y PATIOS</v>
      </c>
      <c r="D38" s="41" t="n">
        <v>196.3</v>
      </c>
      <c r="E38" s="41" t="n">
        <v>254.34</v>
      </c>
      <c r="F38" s="29" t="n">
        <f aca="false">E38-D38</f>
        <v>58.04</v>
      </c>
      <c r="G38" s="42" t="n">
        <f aca="false">IF(D38=0,"-",F38/D38)</f>
        <v>0.295669893020886</v>
      </c>
      <c r="H38" s="43" t="n">
        <f aca="false">Presupuesto!J522</f>
        <v>29.56</v>
      </c>
      <c r="I38" s="29" t="n">
        <f aca="false">ROUND(D38*H38,2)</f>
        <v>5802.63</v>
      </c>
      <c r="J38" s="43" t="n">
        <f aca="false">Presupuesto!K522</f>
        <v>7518.29</v>
      </c>
      <c r="K38" s="29" t="n">
        <f aca="false">J38-I38</f>
        <v>1715.66</v>
      </c>
      <c r="L38" s="26" t="s">
        <v>1286</v>
      </c>
    </row>
    <row r="39" customFormat="false" ht="21.75" hidden="false" customHeight="true" outlineLevel="0" collapsed="false">
      <c r="A39" s="40" t="str">
        <f aca="false">Presupuesto!A523</f>
        <v>11.02</v>
      </c>
      <c r="B39" s="40" t="str">
        <f aca="false">Presupuesto!B523</f>
        <v>m2</v>
      </c>
      <c r="C39" s="40" t="str">
        <f aca="false">Presupuesto!C523</f>
        <v>GUARNECIDO Y ENLUCIDO DE YESO EN PAREDES Y TECHOS</v>
      </c>
      <c r="D39" s="41" t="n">
        <v>701.6</v>
      </c>
      <c r="E39" s="41" t="n">
        <v>939.2</v>
      </c>
      <c r="F39" s="29" t="n">
        <f aca="false">E39-D39</f>
        <v>237.6</v>
      </c>
      <c r="G39" s="42" t="n">
        <f aca="false">IF(D39=0,"-",F39/D39)</f>
        <v>0.338654503990878</v>
      </c>
      <c r="H39" s="43" t="n">
        <f aca="false">Presupuesto!J532</f>
        <v>14</v>
      </c>
      <c r="I39" s="29" t="n">
        <f aca="false">ROUND(D39*H39,2)</f>
        <v>9822.4</v>
      </c>
      <c r="J39" s="43" t="n">
        <f aca="false">Presupuesto!K532</f>
        <v>13148.8</v>
      </c>
      <c r="K39" s="29" t="n">
        <f aca="false">J39-I39</f>
        <v>3326.4</v>
      </c>
      <c r="L39" s="26" t="s">
        <v>1287</v>
      </c>
    </row>
    <row r="40" customFormat="false" ht="15" hidden="false" customHeight="true" outlineLevel="0" collapsed="false">
      <c r="A40" s="40" t="str">
        <f aca="false">Presupuesto!A533</f>
        <v>11.03</v>
      </c>
      <c r="B40" s="40" t="str">
        <f aca="false">Presupuesto!B533</f>
        <v>m2</v>
      </c>
      <c r="C40" s="40" t="str">
        <f aca="false">Presupuesto!C533</f>
        <v>ALICATADO CERÁMICO 10 MM EN BAÑOS Y ASEOS</v>
      </c>
      <c r="D40" s="41" t="n">
        <v>67.81</v>
      </c>
      <c r="E40" s="41" t="n">
        <v>87.52</v>
      </c>
      <c r="F40" s="29" t="n">
        <f aca="false">E40-D40</f>
        <v>19.71</v>
      </c>
      <c r="G40" s="42" t="n">
        <f aca="false">IF(D40=0,"-",F40/D40)</f>
        <v>0.290665093644005</v>
      </c>
      <c r="H40" s="43" t="n">
        <f aca="false">Presupuesto!J540</f>
        <v>64</v>
      </c>
      <c r="I40" s="29" t="n">
        <f aca="false">ROUND(D40*H40,2)</f>
        <v>4339.84</v>
      </c>
      <c r="J40" s="43" t="n">
        <f aca="false">Presupuesto!K540</f>
        <v>5601.28</v>
      </c>
      <c r="K40" s="29" t="n">
        <f aca="false">J40-I40</f>
        <v>1261.44</v>
      </c>
      <c r="L40" s="26" t="s">
        <v>1288</v>
      </c>
    </row>
    <row r="41" customFormat="false" ht="15" hidden="false" customHeight="true" outlineLevel="0" collapsed="false">
      <c r="A41" s="40" t="str">
        <f aca="false">Presupuesto!A548</f>
        <v>12.01</v>
      </c>
      <c r="B41" s="40" t="str">
        <f aca="false">Presupuesto!B548</f>
        <v>ud</v>
      </c>
      <c r="C41" s="40" t="str">
        <f aca="false">Presupuesto!C548</f>
        <v>PUERTA DE PASO P2 ENRASADA 0,85 × 2,05</v>
      </c>
      <c r="D41" s="41" t="n">
        <v>7</v>
      </c>
      <c r="E41" s="41" t="n">
        <v>8</v>
      </c>
      <c r="F41" s="29" t="n">
        <f aca="false">E41-D41</f>
        <v>1</v>
      </c>
      <c r="G41" s="42" t="n">
        <f aca="false">IF(D41=0,"-",F41/D41)</f>
        <v>0.142857142857143</v>
      </c>
      <c r="H41" s="43" t="n">
        <f aca="false">Presupuesto!J551</f>
        <v>899.66</v>
      </c>
      <c r="I41" s="29" t="n">
        <f aca="false">ROUND(D41*H41,2)</f>
        <v>6297.62</v>
      </c>
      <c r="J41" s="43" t="n">
        <f aca="false">Presupuesto!K551</f>
        <v>7197.28</v>
      </c>
      <c r="K41" s="29" t="n">
        <f aca="false">J41-I41</f>
        <v>899.66</v>
      </c>
      <c r="L41" s="26" t="s">
        <v>1289</v>
      </c>
    </row>
    <row r="42" customFormat="false" ht="15" hidden="false" customHeight="true" outlineLevel="0" collapsed="false">
      <c r="A42" s="40" t="str">
        <f aca="false">Presupuesto!A552</f>
        <v>12.02</v>
      </c>
      <c r="B42" s="40" t="str">
        <f aca="false">Presupuesto!B552</f>
        <v>ud</v>
      </c>
      <c r="C42" s="40" t="str">
        <f aca="false">Presupuesto!C552</f>
        <v>PUERTA CORREDERA P3 OCULTA EN TABIQUE (VESTIDOR)</v>
      </c>
      <c r="D42" s="41" t="n">
        <v>1</v>
      </c>
      <c r="E42" s="41" t="n">
        <v>1</v>
      </c>
      <c r="F42" s="29" t="n">
        <f aca="false">E42-D42</f>
        <v>0</v>
      </c>
      <c r="G42" s="42" t="n">
        <f aca="false">IF(D42=0,"-",F42/D42)</f>
        <v>0</v>
      </c>
      <c r="H42" s="43" t="n">
        <f aca="false">Presupuesto!J555</f>
        <v>1650</v>
      </c>
      <c r="I42" s="29" t="n">
        <f aca="false">ROUND(D42*H42,2)</f>
        <v>1650</v>
      </c>
      <c r="J42" s="43" t="n">
        <f aca="false">Presupuesto!K555</f>
        <v>1650</v>
      </c>
      <c r="K42" s="29" t="n">
        <f aca="false">J42-I42</f>
        <v>0</v>
      </c>
      <c r="L42" s="26" t="s">
        <v>1290</v>
      </c>
    </row>
    <row r="43" customFormat="false" ht="15" hidden="false" customHeight="true" outlineLevel="0" collapsed="false">
      <c r="A43" s="40" t="str">
        <f aca="false">Presupuesto!A556</f>
        <v>12.03</v>
      </c>
      <c r="B43" s="40" t="str">
        <f aca="false">Presupuesto!B556</f>
        <v>ud</v>
      </c>
      <c r="C43" s="40" t="str">
        <f aca="false">Presupuesto!C556</f>
        <v>PUERTA P4 EI2 45-C5 GARAJE–ALMACÉN</v>
      </c>
      <c r="D43" s="41" t="n">
        <v>1</v>
      </c>
      <c r="E43" s="41" t="n">
        <v>1</v>
      </c>
      <c r="F43" s="29" t="n">
        <f aca="false">E43-D43</f>
        <v>0</v>
      </c>
      <c r="G43" s="42" t="n">
        <f aca="false">IF(D43=0,"-",F43/D43)</f>
        <v>0</v>
      </c>
      <c r="H43" s="43" t="n">
        <f aca="false">Presupuesto!J559</f>
        <v>1250</v>
      </c>
      <c r="I43" s="29" t="n">
        <f aca="false">ROUND(D43*H43,2)</f>
        <v>1250</v>
      </c>
      <c r="J43" s="43" t="n">
        <f aca="false">Presupuesto!K559</f>
        <v>1250</v>
      </c>
      <c r="K43" s="29" t="n">
        <f aca="false">J43-I43</f>
        <v>0</v>
      </c>
      <c r="L43" s="26" t="s">
        <v>1291</v>
      </c>
    </row>
    <row r="44" customFormat="false" ht="15" hidden="false" customHeight="true" outlineLevel="0" collapsed="false">
      <c r="A44" s="40" t="str">
        <f aca="false">Presupuesto!A567</f>
        <v>13.01</v>
      </c>
      <c r="B44" s="40" t="str">
        <f aca="false">Presupuesto!B567</f>
        <v>ud</v>
      </c>
      <c r="C44" s="40" t="str">
        <f aca="false">Presupuesto!C567</f>
        <v>CARPINTERÍA V1 · 1,15 × 2,28, FACHADA C. ANCHA</v>
      </c>
      <c r="D44" s="41" t="n">
        <v>4</v>
      </c>
      <c r="E44" s="41" t="n">
        <v>4</v>
      </c>
      <c r="F44" s="29" t="n">
        <f aca="false">E44-D44</f>
        <v>0</v>
      </c>
      <c r="G44" s="42" t="n">
        <f aca="false">IF(D44=0,"-",F44/D44)</f>
        <v>0</v>
      </c>
      <c r="H44" s="43" t="n">
        <f aca="false">Presupuesto!J570</f>
        <v>1809.53</v>
      </c>
      <c r="I44" s="29" t="n">
        <f aca="false">ROUND(D44*H44,2)</f>
        <v>7238.12</v>
      </c>
      <c r="J44" s="43" t="n">
        <f aca="false">Presupuesto!K570</f>
        <v>7238.12</v>
      </c>
      <c r="K44" s="29" t="n">
        <f aca="false">J44-I44</f>
        <v>0</v>
      </c>
      <c r="L44" s="26" t="s">
        <v>379</v>
      </c>
    </row>
    <row r="45" customFormat="false" ht="15" hidden="false" customHeight="true" outlineLevel="0" collapsed="false">
      <c r="A45" s="40" t="str">
        <f aca="false">Presupuesto!A571</f>
        <v>13.02</v>
      </c>
      <c r="B45" s="40" t="str">
        <f aca="false">Presupuesto!B571</f>
        <v>ud</v>
      </c>
      <c r="C45" s="40" t="str">
        <f aca="false">Presupuesto!C571</f>
        <v>CARPINTERÍA V2 / V3 · FACHADA C. DEL PESO</v>
      </c>
      <c r="D45" s="41" t="n">
        <v>3</v>
      </c>
      <c r="E45" s="41" t="n">
        <v>3</v>
      </c>
      <c r="F45" s="29" t="n">
        <f aca="false">E45-D45</f>
        <v>0</v>
      </c>
      <c r="G45" s="42" t="n">
        <f aca="false">IF(D45=0,"-",F45/D45)</f>
        <v>0</v>
      </c>
      <c r="H45" s="43" t="n">
        <f aca="false">Presupuesto!J574</f>
        <v>2097.6</v>
      </c>
      <c r="I45" s="29" t="n">
        <f aca="false">ROUND(D45*H45,2)</f>
        <v>6292.8</v>
      </c>
      <c r="J45" s="43" t="n">
        <f aca="false">Presupuesto!K574</f>
        <v>6292.8</v>
      </c>
      <c r="K45" s="29" t="n">
        <f aca="false">J45-I45</f>
        <v>0</v>
      </c>
      <c r="L45" s="26" t="s">
        <v>1292</v>
      </c>
    </row>
    <row r="46" customFormat="false" ht="15" hidden="false" customHeight="true" outlineLevel="0" collapsed="false">
      <c r="A46" s="40" t="str">
        <f aca="false">Presupuesto!A575</f>
        <v>13.03</v>
      </c>
      <c r="B46" s="40" t="str">
        <f aca="false">Presupuesto!B575</f>
        <v>ud</v>
      </c>
      <c r="C46" s="40" t="str">
        <f aca="false">Presupuesto!C575</f>
        <v>CARPINTERÍA V4 · PLANTA BAJA, C. ANCHA</v>
      </c>
      <c r="D46" s="41" t="n">
        <v>1</v>
      </c>
      <c r="E46" s="41" t="n">
        <v>1</v>
      </c>
      <c r="F46" s="29" t="n">
        <f aca="false">E46-D46</f>
        <v>0</v>
      </c>
      <c r="G46" s="42" t="n">
        <f aca="false">IF(D46=0,"-",F46/D46)</f>
        <v>0</v>
      </c>
      <c r="H46" s="43" t="n">
        <f aca="false">Presupuesto!J578</f>
        <v>631.56</v>
      </c>
      <c r="I46" s="29" t="n">
        <f aca="false">ROUND(D46*H46,2)</f>
        <v>631.56</v>
      </c>
      <c r="J46" s="43" t="n">
        <f aca="false">Presupuesto!K578</f>
        <v>631.56</v>
      </c>
      <c r="K46" s="29" t="n">
        <f aca="false">J46-I46</f>
        <v>0</v>
      </c>
      <c r="L46" s="26" t="s">
        <v>1293</v>
      </c>
    </row>
    <row r="47" customFormat="false" ht="21.75" hidden="false" customHeight="true" outlineLevel="0" collapsed="false">
      <c r="A47" s="40" t="str">
        <f aca="false">Presupuesto!A579</f>
        <v>13.04</v>
      </c>
      <c r="B47" s="40" t="str">
        <f aca="false">Presupuesto!B579</f>
        <v>ud</v>
      </c>
      <c r="C47" s="40" t="str">
        <f aca="false">Presupuesto!C579</f>
        <v>CARPINTERÍA V5 · FIJO EN ESQUINA AL PATIO PEQUEÑO (PLANTAS 1ª Y 2ª)</v>
      </c>
      <c r="D47" s="41" t="n">
        <v>2</v>
      </c>
      <c r="E47" s="41" t="n">
        <v>2</v>
      </c>
      <c r="F47" s="29" t="n">
        <f aca="false">E47-D47</f>
        <v>0</v>
      </c>
      <c r="G47" s="42" t="n">
        <f aca="false">IF(D47=0,"-",F47/D47)</f>
        <v>0</v>
      </c>
      <c r="H47" s="43" t="n">
        <f aca="false">Presupuesto!J582</f>
        <v>3281.6</v>
      </c>
      <c r="I47" s="29" t="n">
        <f aca="false">ROUND(D47*H47,2)</f>
        <v>6563.2</v>
      </c>
      <c r="J47" s="43" t="n">
        <f aca="false">Presupuesto!K582</f>
        <v>6563.2</v>
      </c>
      <c r="K47" s="29" t="n">
        <f aca="false">J47-I47</f>
        <v>0</v>
      </c>
      <c r="L47" s="26" t="s">
        <v>1294</v>
      </c>
    </row>
    <row r="48" customFormat="false" ht="15" hidden="false" customHeight="true" outlineLevel="0" collapsed="false">
      <c r="A48" s="40" t="str">
        <f aca="false">Presupuesto!A583</f>
        <v>13.05</v>
      </c>
      <c r="B48" s="40" t="str">
        <f aca="false">Presupuesto!B583</f>
        <v>ud</v>
      </c>
      <c r="C48" s="40" t="str">
        <f aca="false">Presupuesto!C583</f>
        <v>CARPINTERÍA V5b · FIJO EN ESQUINA AL PATIO PEQUEÑO (PLANTA BAJA)</v>
      </c>
      <c r="D48" s="41" t="n">
        <v>1</v>
      </c>
      <c r="E48" s="41" t="n">
        <v>1</v>
      </c>
      <c r="F48" s="29" t="n">
        <f aca="false">E48-D48</f>
        <v>0</v>
      </c>
      <c r="G48" s="42" t="n">
        <f aca="false">IF(D48=0,"-",F48/D48)</f>
        <v>0</v>
      </c>
      <c r="H48" s="43" t="n">
        <f aca="false">Presupuesto!J586</f>
        <v>3528</v>
      </c>
      <c r="I48" s="29" t="n">
        <f aca="false">ROUND(D48*H48,2)</f>
        <v>3528</v>
      </c>
      <c r="J48" s="43" t="n">
        <f aca="false">Presupuesto!K586</f>
        <v>3528</v>
      </c>
      <c r="K48" s="29" t="n">
        <f aca="false">J48-I48</f>
        <v>0</v>
      </c>
      <c r="L48" s="26" t="s">
        <v>1295</v>
      </c>
    </row>
    <row r="49" customFormat="false" ht="15" hidden="false" customHeight="true" outlineLevel="0" collapsed="false">
      <c r="A49" s="40" t="str">
        <f aca="false">Presupuesto!A587</f>
        <v>13.06</v>
      </c>
      <c r="B49" s="40" t="str">
        <f aca="false">Presupuesto!B587</f>
        <v>ud</v>
      </c>
      <c r="C49" s="40" t="str">
        <f aca="false">Presupuesto!C587</f>
        <v>CARPINTERÍA V6 · ASEO AL PATIO PEQUEÑO (PLANTAS 1ª Y 2ª)</v>
      </c>
      <c r="D49" s="41" t="n">
        <v>2</v>
      </c>
      <c r="E49" s="41" t="n">
        <v>2</v>
      </c>
      <c r="F49" s="29" t="n">
        <f aca="false">E49-D49</f>
        <v>0</v>
      </c>
      <c r="G49" s="42" t="n">
        <f aca="false">IF(D49=0,"-",F49/D49)</f>
        <v>0</v>
      </c>
      <c r="H49" s="43" t="n">
        <f aca="false">Presupuesto!J590</f>
        <v>483.41</v>
      </c>
      <c r="I49" s="29" t="n">
        <f aca="false">ROUND(D49*H49,2)</f>
        <v>966.82</v>
      </c>
      <c r="J49" s="43" t="n">
        <f aca="false">Presupuesto!K590</f>
        <v>966.82</v>
      </c>
      <c r="K49" s="29" t="n">
        <f aca="false">J49-I49</f>
        <v>0</v>
      </c>
      <c r="L49" s="26" t="s">
        <v>1296</v>
      </c>
    </row>
    <row r="50" customFormat="false" ht="15" hidden="false" customHeight="true" outlineLevel="0" collapsed="false">
      <c r="A50" s="40" t="str">
        <f aca="false">Presupuesto!A591</f>
        <v>13.07</v>
      </c>
      <c r="B50" s="40" t="str">
        <f aca="false">Presupuesto!B591</f>
        <v>ud</v>
      </c>
      <c r="C50" s="40" t="str">
        <f aca="false">Presupuesto!C591</f>
        <v>CARPINTERÍA V6b · ASEO AL PATIO PEQUEÑO (PLANTA BAJA)</v>
      </c>
      <c r="D50" s="41" t="n">
        <v>1</v>
      </c>
      <c r="E50" s="41" t="n">
        <v>1</v>
      </c>
      <c r="F50" s="29" t="n">
        <f aca="false">E50-D50</f>
        <v>0</v>
      </c>
      <c r="G50" s="42" t="n">
        <f aca="false">IF(D50=0,"-",F50/D50)</f>
        <v>0</v>
      </c>
      <c r="H50" s="43" t="n">
        <f aca="false">Presupuesto!J594</f>
        <v>545.79</v>
      </c>
      <c r="I50" s="29" t="n">
        <f aca="false">ROUND(D50*H50,2)</f>
        <v>545.79</v>
      </c>
      <c r="J50" s="43" t="n">
        <f aca="false">Presupuesto!K594</f>
        <v>545.79</v>
      </c>
      <c r="K50" s="29" t="n">
        <f aca="false">J50-I50</f>
        <v>0</v>
      </c>
      <c r="L50" s="26" t="s">
        <v>1297</v>
      </c>
    </row>
    <row r="51" customFormat="false" ht="15" hidden="false" customHeight="true" outlineLevel="0" collapsed="false">
      <c r="A51" s="40" t="str">
        <f aca="false">Presupuesto!A595</f>
        <v>13.08</v>
      </c>
      <c r="B51" s="40" t="str">
        <f aca="false">Presupuesto!B595</f>
        <v>ud</v>
      </c>
      <c r="C51" s="40" t="str">
        <f aca="false">Presupuesto!C595</f>
        <v>CARPINTERÍA V7 · COCINA A PATIO</v>
      </c>
      <c r="D51" s="41" t="n">
        <v>1</v>
      </c>
      <c r="E51" s="41" t="n">
        <v>1</v>
      </c>
      <c r="F51" s="29" t="n">
        <f aca="false">E51-D51</f>
        <v>0</v>
      </c>
      <c r="G51" s="42" t="n">
        <f aca="false">IF(D51=0,"-",F51/D51)</f>
        <v>0</v>
      </c>
      <c r="H51" s="43" t="n">
        <f aca="false">Presupuesto!J598</f>
        <v>1787.1</v>
      </c>
      <c r="I51" s="29" t="n">
        <f aca="false">ROUND(D51*H51,2)</f>
        <v>1787.1</v>
      </c>
      <c r="J51" s="43" t="n">
        <f aca="false">Presupuesto!K598</f>
        <v>1787.1</v>
      </c>
      <c r="K51" s="29" t="n">
        <f aca="false">J51-I51</f>
        <v>0</v>
      </c>
      <c r="L51" s="26" t="s">
        <v>611</v>
      </c>
    </row>
    <row r="52" customFormat="false" ht="15" hidden="false" customHeight="true" outlineLevel="0" collapsed="false">
      <c r="A52" s="40" t="str">
        <f aca="false">Presupuesto!A599</f>
        <v>13.09</v>
      </c>
      <c r="B52" s="40" t="str">
        <f aca="false">Presupuesto!B599</f>
        <v>ud</v>
      </c>
      <c r="C52" s="40" t="str">
        <f aca="false">Presupuesto!C599</f>
        <v>CARPINTERÍA V8 · COCINA, BAJO EL FORJADO</v>
      </c>
      <c r="D52" s="41" t="n">
        <v>1</v>
      </c>
      <c r="E52" s="41" t="n">
        <v>1</v>
      </c>
      <c r="F52" s="29" t="n">
        <f aca="false">E52-D52</f>
        <v>0</v>
      </c>
      <c r="G52" s="42" t="n">
        <f aca="false">IF(D52=0,"-",F52/D52)</f>
        <v>0</v>
      </c>
      <c r="H52" s="43" t="n">
        <f aca="false">Presupuesto!J602</f>
        <v>4092</v>
      </c>
      <c r="I52" s="29" t="n">
        <f aca="false">ROUND(D52*H52,2)</f>
        <v>4092</v>
      </c>
      <c r="J52" s="43" t="n">
        <f aca="false">Presupuesto!K602</f>
        <v>4092</v>
      </c>
      <c r="K52" s="29" t="n">
        <f aca="false">J52-I52</f>
        <v>0</v>
      </c>
      <c r="L52" s="26" t="s">
        <v>1298</v>
      </c>
    </row>
    <row r="53" customFormat="false" ht="15" hidden="false" customHeight="true" outlineLevel="0" collapsed="false">
      <c r="A53" s="40" t="str">
        <f aca="false">Presupuesto!A603</f>
        <v>13.10</v>
      </c>
      <c r="B53" s="40" t="str">
        <f aca="false">Presupuesto!B603</f>
        <v>ud</v>
      </c>
      <c r="C53" s="40" t="str">
        <f aca="false">Presupuesto!C603</f>
        <v>CARPINTERÍA V9 · LAVANDERÍA, CON PANEL OPACO</v>
      </c>
      <c r="D53" s="41" t="n">
        <v>1</v>
      </c>
      <c r="E53" s="41" t="n">
        <v>1</v>
      </c>
      <c r="F53" s="29" t="n">
        <f aca="false">E53-D53</f>
        <v>0</v>
      </c>
      <c r="G53" s="42" t="n">
        <f aca="false">IF(D53=0,"-",F53/D53)</f>
        <v>0</v>
      </c>
      <c r="H53" s="43" t="n">
        <f aca="false">Presupuesto!J606</f>
        <v>2660</v>
      </c>
      <c r="I53" s="29" t="n">
        <f aca="false">ROUND(D53*H53,2)</f>
        <v>2660</v>
      </c>
      <c r="J53" s="43" t="n">
        <f aca="false">Presupuesto!K606</f>
        <v>2660</v>
      </c>
      <c r="K53" s="29" t="n">
        <f aca="false">J53-I53</f>
        <v>0</v>
      </c>
      <c r="L53" s="26" t="s">
        <v>1299</v>
      </c>
    </row>
    <row r="54" customFormat="false" ht="15" hidden="false" customHeight="true" outlineLevel="0" collapsed="false">
      <c r="A54" s="40" t="str">
        <f aca="false">Presupuesto!A607</f>
        <v>13.11</v>
      </c>
      <c r="B54" s="40" t="str">
        <f aca="false">Presupuesto!B607</f>
        <v>ud</v>
      </c>
      <c r="C54" s="40" t="str">
        <f aca="false">Presupuesto!C607</f>
        <v>CARPINTERÍA V11 · BAÑO PRINCIPAL A PATIO</v>
      </c>
      <c r="D54" s="41" t="n">
        <v>1</v>
      </c>
      <c r="E54" s="41" t="n">
        <v>1</v>
      </c>
      <c r="F54" s="29" t="n">
        <f aca="false">E54-D54</f>
        <v>0</v>
      </c>
      <c r="G54" s="42" t="n">
        <f aca="false">IF(D54=0,"-",F54/D54)</f>
        <v>0</v>
      </c>
      <c r="H54" s="43" t="n">
        <f aca="false">Presupuesto!J610</f>
        <v>1428.3</v>
      </c>
      <c r="I54" s="29" t="n">
        <f aca="false">ROUND(D54*H54,2)</f>
        <v>1428.3</v>
      </c>
      <c r="J54" s="43" t="n">
        <f aca="false">Presupuesto!K610</f>
        <v>1428.3</v>
      </c>
      <c r="K54" s="29" t="n">
        <f aca="false">J54-I54</f>
        <v>0</v>
      </c>
      <c r="L54" s="26" t="s">
        <v>1300</v>
      </c>
    </row>
    <row r="55" customFormat="false" ht="42.75" hidden="false" customHeight="true" outlineLevel="0" collapsed="false">
      <c r="A55" s="40" t="str">
        <f aca="false">Presupuesto!A646</f>
        <v>14.03</v>
      </c>
      <c r="B55" s="40" t="str">
        <f aca="false">Presupuesto!B646</f>
        <v>m</v>
      </c>
      <c r="C55" s="40" t="str">
        <f aca="false">Presupuesto!C646</f>
        <v>BARANDILLA DE ACERO LACADO DE BARROTES REDONDOS</v>
      </c>
      <c r="D55" s="41" t="n">
        <v>26</v>
      </c>
      <c r="E55" s="41" t="n">
        <v>27.08</v>
      </c>
      <c r="F55" s="29" t="n">
        <f aca="false">E55-D55</f>
        <v>1.08</v>
      </c>
      <c r="G55" s="42" t="n">
        <f aca="false">IF(D55=0,"-",F55/D55)</f>
        <v>0.0415384615384615</v>
      </c>
      <c r="H55" s="43" t="n">
        <f aca="false">Presupuesto!J651</f>
        <v>215</v>
      </c>
      <c r="I55" s="29" t="n">
        <f aca="false">ROUND(D55*H55,2)</f>
        <v>5590</v>
      </c>
      <c r="J55" s="43" t="n">
        <f aca="false">Presupuesto!K651</f>
        <v>5822.2</v>
      </c>
      <c r="K55" s="29" t="n">
        <f aca="false">J55-I55</f>
        <v>232.2</v>
      </c>
      <c r="L55" s="26" t="s">
        <v>1301</v>
      </c>
    </row>
    <row r="56" customFormat="false" ht="15" hidden="false" customHeight="true" outlineLevel="0" collapsed="false">
      <c r="A56" s="40" t="str">
        <f aca="false">Presupuesto!A652</f>
        <v>14.04</v>
      </c>
      <c r="B56" s="40" t="str">
        <f aca="false">Presupuesto!B652</f>
        <v>ud</v>
      </c>
      <c r="C56" s="40" t="str">
        <f aca="false">Presupuesto!C652</f>
        <v>MINI-BALCÓN DE CHAPA DE ACERO EN VENTANA DE FACHADA</v>
      </c>
      <c r="D56" s="41" t="n">
        <v>7</v>
      </c>
      <c r="E56" s="41" t="n">
        <v>7</v>
      </c>
      <c r="F56" s="29" t="n">
        <f aca="false">E56-D56</f>
        <v>0</v>
      </c>
      <c r="G56" s="42" t="n">
        <f aca="false">IF(D56=0,"-",F56/D56)</f>
        <v>0</v>
      </c>
      <c r="H56" s="43" t="n">
        <f aca="false">Presupuesto!J655</f>
        <v>480</v>
      </c>
      <c r="I56" s="29" t="n">
        <f aca="false">ROUND(D56*H56,2)</f>
        <v>3360</v>
      </c>
      <c r="J56" s="43" t="n">
        <f aca="false">Presupuesto!K655</f>
        <v>3360</v>
      </c>
      <c r="K56" s="29" t="n">
        <f aca="false">J56-I56</f>
        <v>0</v>
      </c>
      <c r="L56" s="26" t="s">
        <v>1302</v>
      </c>
    </row>
    <row r="57" customFormat="false" ht="15" hidden="false" customHeight="true" outlineLevel="0" collapsed="false">
      <c r="A57" s="40" t="str">
        <f aca="false">Presupuesto!A663</f>
        <v>15.01</v>
      </c>
      <c r="B57" s="40" t="str">
        <f aca="false">Presupuesto!B663</f>
        <v>m2</v>
      </c>
      <c r="C57" s="40" t="str">
        <f aca="false">Presupuesto!C663</f>
        <v>PINTURA PLÁSTICA LISA EN PAREDES Y TECHOS</v>
      </c>
      <c r="D57" s="41" t="n">
        <v>818.95</v>
      </c>
      <c r="E57" s="41" t="n">
        <v>1036.16</v>
      </c>
      <c r="F57" s="29" t="n">
        <f aca="false">E57-D57</f>
        <v>217.21</v>
      </c>
      <c r="G57" s="42" t="n">
        <f aca="false">IF(D57=0,"-",F57/D57)</f>
        <v>0.265229867513279</v>
      </c>
      <c r="H57" s="43" t="n">
        <f aca="false">Presupuesto!J667</f>
        <v>6.37</v>
      </c>
      <c r="I57" s="29" t="n">
        <f aca="false">ROUND(D57*H57,2)</f>
        <v>5216.71</v>
      </c>
      <c r="J57" s="43" t="n">
        <f aca="false">Presupuesto!K667</f>
        <v>6600.34</v>
      </c>
      <c r="K57" s="29" t="n">
        <f aca="false">J57-I57</f>
        <v>1383.63</v>
      </c>
      <c r="L57" s="26" t="s">
        <v>1303</v>
      </c>
    </row>
    <row r="58" customFormat="false" ht="15" hidden="false" customHeight="true" outlineLevel="0" collapsed="false">
      <c r="A58" s="40" t="str">
        <f aca="false">Presupuesto!A668</f>
        <v>15.02</v>
      </c>
      <c r="B58" s="40" t="str">
        <f aca="false">Presupuesto!B668</f>
        <v>m²</v>
      </c>
      <c r="C58" s="40" t="str">
        <f aca="false">Presupuesto!C668</f>
        <v>PINTURA AL SILICATO EN EXTERIORES (SI EL REVOCO NO VA COLOREADO)</v>
      </c>
      <c r="D58" s="41" t="n">
        <v>196.3</v>
      </c>
      <c r="E58" s="41" t="n">
        <v>254.34</v>
      </c>
      <c r="F58" s="29" t="n">
        <f aca="false">E58-D58</f>
        <v>58.04</v>
      </c>
      <c r="G58" s="42" t="n">
        <f aca="false">IF(D58=0,"-",F58/D58)</f>
        <v>0.295669893020886</v>
      </c>
      <c r="H58" s="43" t="n">
        <f aca="false">Presupuesto!J671</f>
        <v>7.55</v>
      </c>
      <c r="I58" s="29" t="n">
        <f aca="false">ROUND(D58*H58,2)</f>
        <v>1482.07</v>
      </c>
      <c r="J58" s="43" t="n">
        <f aca="false">Presupuesto!K671</f>
        <v>1920.27</v>
      </c>
      <c r="K58" s="29" t="n">
        <f aca="false">J58-I58</f>
        <v>438.2</v>
      </c>
      <c r="L58" s="26" t="s">
        <v>1304</v>
      </c>
    </row>
    <row r="60" customFormat="false" ht="15" hidden="false" customHeight="true" outlineLevel="0" collapsed="false">
      <c r="C60" s="3" t="s">
        <v>1305</v>
      </c>
      <c r="I60" s="44" t="n">
        <f aca="false">SUM(I6:I58)</f>
        <v>207459.85</v>
      </c>
      <c r="J60" s="44" t="n">
        <f aca="false">SUM(J6:J58)</f>
        <v>217306.31</v>
      </c>
      <c r="K60" s="44" t="n">
        <f aca="false">SUM(K6:K58)</f>
        <v>9846.46000000001</v>
      </c>
    </row>
    <row r="62" customFormat="false" ht="15" hidden="false" customHeight="true" outlineLevel="0" collapsed="false">
      <c r="C62" s="11" t="s">
        <v>1306</v>
      </c>
      <c r="J62" s="41" t="n">
        <v>359203.02</v>
      </c>
    </row>
    <row r="63" customFormat="false" ht="15" hidden="false" customHeight="true" outlineLevel="0" collapsed="false">
      <c r="C63" s="11" t="s">
        <v>1307</v>
      </c>
      <c r="J63" s="43" t="n">
        <f aca="false">Resumen!C48</f>
        <v>361845.25</v>
      </c>
    </row>
    <row r="64" customFormat="false" ht="15" hidden="false" customHeight="true" outlineLevel="0" collapsed="false">
      <c r="C64" s="3" t="s">
        <v>1251</v>
      </c>
      <c r="J64" s="44" t="n">
        <f aca="false">J63-J62</f>
        <v>2642.22999999992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2026-10-16T14:34:29Z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