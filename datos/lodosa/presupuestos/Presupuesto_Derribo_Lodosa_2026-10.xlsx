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Presupuesto" sheetId="2" state="visible" r:id="rId4"/>
    <sheet name="Criterios" sheetId="3" state="visible" r:id="rId5"/>
  </sheets>
  <definedNames>
    <definedName function="false" hidden="false" localSheetId="1" name="_xlnm.Print_Titles" vbProcedure="false">Presupuesto!$4:$4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<sst xmlns="http://schemas.openxmlformats.org/spreadsheetml/2006/main" count="263" uniqueCount="148">
  <si>
    <t xml:space="preserve">RESUMEN DE PRESUPUESTO</t>
  </si>
  <si>
    <t xml:space="preserve">PROYECTO DE DERRIBO · C. ANCHA 34, LODOSA</t>
  </si>
  <si>
    <t xml:space="preserve">Presupuesto del documento 11 · octubre de 2026</t>
  </si>
  <si>
    <t xml:space="preserve">Capítulo</t>
  </si>
  <si>
    <t xml:space="preserve">Resumen</t>
  </si>
  <si>
    <t xml:space="preserve">Importe</t>
  </si>
  <si>
    <t xml:space="preserve">%</t>
  </si>
  <si>
    <t xml:space="preserve">D01</t>
  </si>
  <si>
    <t xml:space="preserve">ACTUACIONES PREVIAS, PROTECCIÓN Y APEO DE MEDIANERAS</t>
  </si>
  <si>
    <t xml:space="preserve">D02</t>
  </si>
  <si>
    <t xml:space="preserve">DEMOLICIONES</t>
  </si>
  <si>
    <t xml:space="preserve">D03</t>
  </si>
  <si>
    <t xml:space="preserve">GESTIÓN DE RESIDUOS</t>
  </si>
  <si>
    <t xml:space="preserve">D04</t>
  </si>
  <si>
    <t xml:space="preserve">SEGURIDAD Y SALUD</t>
  </si>
  <si>
    <t xml:space="preserve">PRESUPUESTO DE EJECUCIÓN MATERIAL (PEM)</t>
  </si>
  <si>
    <t xml:space="preserve">Gastos generales (%)</t>
  </si>
  <si>
    <t xml:space="preserve">Beneficio industrial (%)</t>
  </si>
  <si>
    <t xml:space="preserve">PRESUPUESTO BASE DE LICITACIÓN SIN IVA</t>
  </si>
  <si>
    <t xml:space="preserve">IVA (%)</t>
  </si>
  <si>
    <t xml:space="preserve">PRESUPUESTO BASE DE LICITACIÓN</t>
  </si>
  <si>
    <t xml:space="preserve">Ratios y referencias</t>
  </si>
  <si>
    <t xml:space="preserve">Superficie construida del estado actual, LO-B1 (m²)</t>
  </si>
  <si>
    <t xml:space="preserve">PEM por m² demolido (€/m²)</t>
  </si>
  <si>
    <t xml:space="preserve">Azul: datos de entrada (mediciones, precios y porcentajes). Negro: fórmulas. Verde: enlaces a la hoja Presupuesto.</t>
  </si>
  <si>
    <t xml:space="preserve">GG 5 % + BI 5 % e IVA 21 %: mismo criterio que el Proyecto de Derribo (documento 11).</t>
  </si>
  <si>
    <t xml:space="preserve">PRESUPUESTO Y MEDICIONES</t>
  </si>
  <si>
    <t xml:space="preserve">PROYECTO DE DERRIBO · C. ANCHA 34, LODOSA · Presupuesto del documento 11 · octubre de 2026</t>
  </si>
  <si>
    <t xml:space="preserve">Código</t>
  </si>
  <si>
    <t xml:space="preserve">Ud</t>
  </si>
  <si>
    <t xml:space="preserve">Uds</t>
  </si>
  <si>
    <t xml:space="preserve">Longitud</t>
  </si>
  <si>
    <t xml:space="preserve">Anchura</t>
  </si>
  <si>
    <t xml:space="preserve">Altura</t>
  </si>
  <si>
    <t xml:space="preserve">Parcial</t>
  </si>
  <si>
    <t xml:space="preserve">Cantidad</t>
  </si>
  <si>
    <t xml:space="preserve">Precio</t>
  </si>
  <si>
    <t xml:space="preserve">Origen del precio / observaciones</t>
  </si>
  <si>
    <t xml:space="preserve">tipo</t>
  </si>
  <si>
    <t xml:space="preserve">cap</t>
  </si>
  <si>
    <t xml:space="preserve">sub</t>
  </si>
  <si>
    <t xml:space="preserve">C</t>
  </si>
  <si>
    <t xml:space="preserve">D01.01</t>
  </si>
  <si>
    <t xml:space="preserve">m2</t>
  </si>
  <si>
    <t xml:space="preserve">APEO DE ESTRUCTURA CON MADERA</t>
  </si>
  <si>
    <t xml:space="preserve">M². Apeo de estructura con sopandas, puntales y durmientes de madera, hasta una altura de 3 m, i/replanteo y p.P. De costes indirectos.</t>
  </si>
  <si>
    <t xml:space="preserve">Fachada norte</t>
  </si>
  <si>
    <t xml:space="preserve">Fachada sur</t>
  </si>
  <si>
    <t xml:space="preserve">Importe del documento del proyecto, sin cambios</t>
  </si>
  <si>
    <t xml:space="preserve">P</t>
  </si>
  <si>
    <t xml:space="preserve">D01.02</t>
  </si>
  <si>
    <t xml:space="preserve">APEOS DE FACHADA</t>
  </si>
  <si>
    <t xml:space="preserve">M2. Estructura superslim para estabilización de fachadas, de rmd kwikform iberica, s.A, consistente en formación de estructura superslim de vigas aligeradas con uniones atornilladas, dicha estructura se une a la fachada mediante las correas superslim exteriores e interiores. La finalidad del sistema es estabilizar la fachada frente a posibles cargas horizontales de viento y 1 % debido a posibles desplomes. Se incluye en el precio el montaje y desmontaje, alquiler, transporte, medios auxiliares, acometidas, hasta una altura máxima de 10 m., I/replanteo y p.P. De costes indirectos. Se incluyen vigas metálicas que pasen los muros y curuzen y den estabilidad a las fachadas. Según criteriorios arquitecto director. Según documentación de los planos de proyecto</t>
  </si>
  <si>
    <t xml:space="preserve">TOTAL D01 ACTUACIONES PREVIAS, PROTECCIÓN Y APEO DE MEDIANERAS</t>
  </si>
  <si>
    <t xml:space="preserve">D02.01</t>
  </si>
  <si>
    <t xml:space="preserve">ud</t>
  </si>
  <si>
    <t xml:space="preserve">DESMONTES Y DEMOLICIONES</t>
  </si>
  <si>
    <t xml:space="preserve">Desmontes y demoliciones realizados con medios manuales, mecánico-neumáticos y/o eléctricos, siempre que no afecten a la solidez de los elementos que se proyecta conservar, y siguiendo en todo momento las directrices, procesos, orden y disposiciones previstas en el proyecto, en los apartados correspondientes a desmontes y demoliciones, comprendiendo: - La preparación previa de la obra, vallados, desconexión de acometidas de servicios, retirada de depósitos de todo tipo, desinfección y desinsectación del edificio, montaje de los medios auxiliares, montaje de los elementos de seguridad que eviten la caída o proyección de materiales al exterior, etc., Estando incluido su costo en los gastos generales de la obra excepción hecha de lso que expresamente se consideren en el presente presupuesto; - Los apeos previos que se indican (en su caso) en los planos y memorias, los que se señalen en dirección de obra o los que la urgencia determinen, estando incluido su costo en los gastos generales de la obra excepción hecha de los que expresamente se consideren en el presente presupuesto; - La preparación de la unidad de obra para su demolición, tal como cortes de viguetas para producir la separación física de lo demolible con lo que permanece en pie, etc., - La demolición de la unidad o elemento de que se trate con todo tipo de instalaciones que albergue (tuberías, conductos eléctricos o de aire, entramados secundarios, etc.) Que soporte (radiadores, aparatos sanitarios,espejos, estanterías, armarios, rejillas, luminarias, regletas, accesorios, etc.) Orevestimientos adicionales como azulejos, zócales, molduras; - Los acarreos, contenedores, tolvas; - La carga, transporte a vertedero, descarga y canon de vertido en vertedero autorizado de la totalidad de los productos procedentes de los desmontes y demoliciones; - Los esponjamientos; - Todos cuantos medios auxiliares se necesiten (apeos, cintas continuas, andamiajes, grúas fijas o móviles, maquinaria pesada y colocación y retirada con grúa móvil de gran tonelaje, maquinaria ligera, herramienta, tableros de trabajo o de paso, etc.); - Cuantos medios de protección y seguridad se precisen, tanto los contemplados en el correspondiente estudio o plan de seguridad aprobado (que se abonarán según lo establecido en aquel) como los que se determinen a pie de tajo; - La completa y esmerada limpieza final de la zona de trabajo; - Lo que de concreto para cada unidad se refleja en cada una de las especificaciones que a continuación se desarrollan; - El precio abarcará también la recomposición de fábricas, mochetas o enlaces de los muros medianeros que permanecen ( en el supuesto de que sufrieran deterioros), así como la reposición de los elementos estructurales afectados. Esta nota previa general lo es para todo el presupuesto de desmontes y demoliciones en sus diferentes capítulos y partidas. El criterio de medición se expresa en cada partida, siendo la regla general medir la unidad de obra global de que se trata, según la unidad de medición establecida en cada caso, sin deducciones de huecos y sin incrementos por componentes. Se entiende que el costo total del derribo viene reflejado en las partidas del presupuesto, estando incluido en los gastos generales cualquier otra partida, mano de obra, medio auxiliar, maquinaria, herramienta, materiales, sistemas dea peo, protección y seguridad que fuesen precisos para llevar a cabo la total demolición de lo proyectado bien por el método previsto en el proyecto o bien por la alternativa que previamente se pudiera presentar por el adjudicatario y aprobar por la dirección facultativa.</t>
  </si>
  <si>
    <t xml:space="preserve">General</t>
  </si>
  <si>
    <t xml:space="preserve">D02.02</t>
  </si>
  <si>
    <t xml:space="preserve">NOTA PREVIA DE DERRIBO</t>
  </si>
  <si>
    <t xml:space="preserve">Todos los conceptos que a continuación se eneumeran se incluyen dentros los costos generales de la obra son: Señalización y marcaje de todos los tabiques y elementos de derribar, según instrucciones del d.E.O., Señalizaciones en general, replanteos, marcados, compartimentación de zonas, automatización sistemática de los procesos de protección antipolvo, pasos provisionales, cierres provisionales, limpieza diaria de las zonas de trabajo y medidas de seguridad complementarias, derivadas de la necesidad de realizar los trabajos con los pabellones y galerías prestando su función asistencial. Todas las operaciones descritas en este capítulo u otros resultantes por el proceso de obra, se entiende llevarán incorporado en su precio aquellas medidas de apeos, cierres de colindantes y protecciones necesarias para su seguridad y correcta ejecución. Se incluye en el precio de cada partida las medidas de seguridad descritas en el estudio de seguridad y aprobadas por el coordinador de seguridad.</t>
  </si>
  <si>
    <t xml:space="preserve">D02.03</t>
  </si>
  <si>
    <t xml:space="preserve">DESMONTAJE Y TRASLADO MOBILIARIO</t>
  </si>
  <si>
    <t xml:space="preserve">Desmontaje del mobiliario existente en la totalidad del edificio incluso armarios empotrados, de acuerdo a cada una de las fases previstas. Traslado del mismo a otras zonas del edificio tantas veces como sea necesario, i/traslado a vertedero de mobiliario que no se pueda reutilizar y canon de vertido. La medición es del total de las obras.</t>
  </si>
  <si>
    <t xml:space="preserve">D02.04</t>
  </si>
  <si>
    <t xml:space="preserve">m</t>
  </si>
  <si>
    <t xml:space="preserve">PROTECCION PERIMETRO</t>
  </si>
  <si>
    <t xml:space="preserve">Protección del edificio para evitar las proyecciones de materiales procedentes del desmonte o derribos hacia el exterior, a base de marquesina resistente abarcando el conjunto de piezas y elementos portantes (puntales, durmientes, jácenas, tornapuntas y jabalcones, etc) y el tablero o elemento suficientemente resistente para la formación de la marquesina. En ningún momento se permitirá la acumularción de escombro en tal cantidad que ponga el peligro la estabilidad y seguridad de la marquesina, para lo cual se desescombrará cuantas veces sean necesarias y como mínimo una vez al día (al acabar la jornada), previa inspección del personal responsable del adjudicatario adscrito a esta función. Se medirá la longitud de la fachada exterior.</t>
  </si>
  <si>
    <t xml:space="preserve">Perímetro</t>
  </si>
  <si>
    <t xml:space="preserve">D02.05</t>
  </si>
  <si>
    <t xml:space="preserve">EQUIPO EXTINCIÓN</t>
  </si>
  <si>
    <t xml:space="preserve">Conjunto de equipos de extinción que se citan a continuación, como presencias de los mismos en obra y su posible uso y desgaste o consumo en caso de necesidad a lo largo del proceso de derribos y desescombrado, según lo expresado en las notas previas. El conjunto abarca: Cuatro extintores de polvo seco, de 10 dm3 y dos extintores de co2. La presencia se entiende inexcusablemente obligatoria en los tajos abiertos de desmontes y/o demoliciones. Se aleccionará a todo el personal presente en la obra durante la ejecución de este tipo de trabajos sobre el manejo de los extintores, notificación de uso y de desgaste o deterioro, etc .</t>
  </si>
  <si>
    <t xml:space="preserve">D02.06</t>
  </si>
  <si>
    <t xml:space="preserve">DEMOLICIÓN DE CUBIERTAS Y EDIFICIO DE MADERA</t>
  </si>
  <si>
    <t xml:space="preserve">Desmontaje integral de la estructura de madera existente, con especial atencion en la cubierta, incluyendo la retirada manual y cuidadosa de todos los elementos estructurales constituyentes: Vigas, pilares, correas y demás componentes de madera, mediante procedimientos que garanticen su integridad y posibiliten su reutilización. Se contempla el aprovechamiento de todos aquellos elementos que se encuentren en estado adecuado para su reincorporación en la nueva estructura, debiendo ser clasificados, acopiados y almacenados en zona seca y protegida para asegurar su correcta conservación hasta el momento de su reinstalación. La intervención comprende la totalidad de la estructura portante de madera del edificio, afectando a todos los niveles o secciones en los que ésta esté presente. La empresa adjudicataria deberá elaborar un informe técnico de desmontaje exhaustivo, documentando la ubicación original de cada uno de los elementos estructurales mediante planos, croquis, esquemas u otros medios gráficos necesarios, con el objeto de permitir su correcta recolocación en la nueva estructura de clt (cross laminated timber) una vez ejecutada. Este informe formará parte de la documentación final de obra.</t>
  </si>
  <si>
    <t xml:space="preserve">Cubiertas y estructura de madera</t>
  </si>
  <si>
    <t xml:space="preserve">D02.07</t>
  </si>
  <si>
    <t xml:space="preserve">m3</t>
  </si>
  <si>
    <t xml:space="preserve">DEMOLICIÓN COMPLETA EDIFICIO A MÁQUINA</t>
  </si>
  <si>
    <t xml:space="preserve">M³. Demolición, sobre rasante, de elementos varios de un edificio estructuralmente aislado, mediante empuje de máquina hasta 2/3 de la altura de ataque de la misma, i/riego de escombros, carga mecánica de estos sobre camión, transporte a vertedero y p.P. De costes indirectos, según nte/add-20.</t>
  </si>
  <si>
    <t xml:space="preserve">Edificio pegado a viviendas</t>
  </si>
  <si>
    <t xml:space="preserve">D02.08</t>
  </si>
  <si>
    <t xml:space="preserve">DEMOLICIÓN DE PAVIMENTO.</t>
  </si>
  <si>
    <t xml:space="preserve">Demolición mecánica y manual en el caso que sea imposible su acceso en cualquier tipo de pavimento (hormigón en masa o armado, asfalto, piedra, baldosas, adoquín prefabricado), de espesores variables, incluso solera de hormigón i/p.P. Bordillo existente, instalaciones en parcela, e infraestructuras, carga y transporte a vertedero, canon de vertido y adecuación de éste. No se dañara nada del pavimento que no este dentro del ámbito. Todo gasto que se produzca fuera de la parcela de actuacion, correra a cargo del contratista.</t>
  </si>
  <si>
    <t xml:space="preserve">Planta baja</t>
  </si>
  <si>
    <t xml:space="preserve">D02.09</t>
  </si>
  <si>
    <t xml:space="preserve">DEMOLICIÓN DE ESTRUCTURA</t>
  </si>
  <si>
    <t xml:space="preserve">Demolición de la estructura existente (forjados y muros de adobe y mampostería) por fases y de arriba abajo, incluida en la partida D02.07; según el Proyecto de Derribo.</t>
  </si>
  <si>
    <t xml:space="preserve">D02.10</t>
  </si>
  <si>
    <t xml:space="preserve">DEMOLICIÓN DE MUROS Y TABIQUERÍAS</t>
  </si>
  <si>
    <t xml:space="preserve">Demolición de muros y tabiquerías interiores, incluida en la partida D02.07; según el Proyecto de Derribo.</t>
  </si>
  <si>
    <t xml:space="preserve">TOTAL D02 DEMOLICIONES</t>
  </si>
  <si>
    <t xml:space="preserve">D03.01</t>
  </si>
  <si>
    <t xml:space="preserve">t</t>
  </si>
  <si>
    <t xml:space="preserve">TRANSPORTE Y CANON DE PÉTREOS A PLANTA DE RCD</t>
  </si>
  <si>
    <t xml:space="preserve">Transporte y canon de residuos pétreos (piedra, adobe, cerámicos, morteros) a planta de RCD. Según el Estudio de Gestión de Residuos del Proyecto de Derribo (anexo 3), con entrega a gestor autorizado y certificados de gestión.</t>
  </si>
  <si>
    <t xml:space="preserve">Pétreos</t>
  </si>
  <si>
    <t xml:space="preserve">D03.02</t>
  </si>
  <si>
    <t xml:space="preserve">TRANSPORTE Y VALORIZACIÓN DE MADERA</t>
  </si>
  <si>
    <t xml:space="preserve">Transporte y valorización de la madera de la estructura y la cubierta. Según el Estudio de Gestión de Residuos del Proyecto de Derribo (anexo 3), con entrega a gestor autorizado y certificados de gestión.</t>
  </si>
  <si>
    <t xml:space="preserve">Madera</t>
  </si>
  <si>
    <t xml:space="preserve">D03.03</t>
  </si>
  <si>
    <t xml:space="preserve">TRANSPORTE Y GESTIÓN DE YESO</t>
  </si>
  <si>
    <t xml:space="preserve">Transporte y gestión de residuos de yeso separados. Según el Estudio de Gestión de Residuos del Proyecto de Derribo (anexo 3), con entrega a gestor autorizado y certificados de gestión.</t>
  </si>
  <si>
    <t xml:space="preserve">Yeso</t>
  </si>
  <si>
    <t xml:space="preserve">D03.04</t>
  </si>
  <si>
    <t xml:space="preserve">VIDRIO Y PLÁSTICOS (SACOS BIG BAG Y GESTOR)</t>
  </si>
  <si>
    <t xml:space="preserve">Recogida de vidrio y plásticos en sacos big bag y entrega a gestor. Los metales (≈ 0,9 t) se entregan con abono. Según el Estudio de Gestión de Residuos del Proyecto de Derribo (anexo 3), con entrega a gestor autorizado y certificados de gestión.</t>
  </si>
  <si>
    <t xml:space="preserve">Partida alzada</t>
  </si>
  <si>
    <t xml:space="preserve">D03.05</t>
  </si>
  <si>
    <t xml:space="preserve">INSPECCIÓN Y RETIRADA DE RESIDUOS PELIGROSOS (SIN AMIANTO)</t>
  </si>
  <si>
    <t xml:space="preserve">Inspección previa y retirada de residuos peligrosos por gestor autorizado. Si se detectara amianto, su retirada se valorará aparte. Según el Estudio de Gestión de Residuos del Proyecto de Derribo (anexo 3), con entrega a gestor autorizado y certificados de gestión.</t>
  </si>
  <si>
    <t xml:space="preserve">D03.06</t>
  </si>
  <si>
    <t xml:space="preserve">ALQUILER DE CUBAS, SACOS BIG BAG Y MEDIOS AUXILIARES</t>
  </si>
  <si>
    <t xml:space="preserve">Alquiler de cubas, sacos big bag y medios auxiliares para la separación en origen. Según el Estudio de Gestión de Residuos del Proyecto de Derribo (anexo 3), con entrega a gestor autorizado y certificados de gestión.</t>
  </si>
  <si>
    <t xml:space="preserve">TOTAL D03 GESTIÓN DE RESIDUOS</t>
  </si>
  <si>
    <t xml:space="preserve">D04.01</t>
  </si>
  <si>
    <t xml:space="preserve">VALLADO DE OBRA EN C. ANCHA Y C. DEL PESO</t>
  </si>
  <si>
    <t xml:space="preserve">Vallado trasladable de obra en los frentes de C. Ancha y C. del Peso, con puertas de acceso, durante la demolición. Según el Estudio Básico de Seguridad y Salud del Proyecto de Derribo (anexo 4).</t>
  </si>
  <si>
    <t xml:space="preserve">C. Ancha</t>
  </si>
  <si>
    <t xml:space="preserve">C. del Peso</t>
  </si>
  <si>
    <t xml:space="preserve">D04.02</t>
  </si>
  <si>
    <t xml:space="preserve">MARQUESINA O RED DE PROTECCIÓN EN C. ANCHA</t>
  </si>
  <si>
    <t xml:space="preserve">Marquesina de protección de viandantes o red vertical en la fachada de C. Ancha durante la demolición de la fachada, con acotado de la acera y autorización municipal. Según el Estudio Básico de Seguridad y Salud del Proyecto de Derribo (anexo 4).</t>
  </si>
  <si>
    <t xml:space="preserve">D04.03</t>
  </si>
  <si>
    <t xml:space="preserve">SEÑALIZACIÓN, BARANDILLAS Y TAPAS DE HUECOS</t>
  </si>
  <si>
    <t xml:space="preserve">Señalización de obra, barandillas y tapas de protección de huecos y bordes durante el derribo. Según el Estudio Básico de Seguridad y Salud del Proyecto de Derribo (anexo 4).</t>
  </si>
  <si>
    <t xml:space="preserve">D04.04</t>
  </si>
  <si>
    <t xml:space="preserve">EQUIPOS DE PROTECCIÓN INDIVIDUAL</t>
  </si>
  <si>
    <t xml:space="preserve">Equipos de protección individual para los trabajadores de la demolición (casco, guantes, botas, gafas, mascarillas, arneses). Según el Estudio Básico de Seguridad y Salud del Proyecto de Derribo (anexo 4).</t>
  </si>
  <si>
    <t xml:space="preserve">D04.05</t>
  </si>
  <si>
    <t xml:space="preserve">HIGIENE, BOTIQUÍN Y FORMACIÓN</t>
  </si>
  <si>
    <t xml:space="preserve">Instalaciones de higiene (aseo químico o local habilitado), botiquín y formación e información de los trabajadores. Según el Estudio Básico de Seguridad y Salud del Proyecto de Derribo (anexo 4).</t>
  </si>
  <si>
    <t xml:space="preserve">TOTAL D04 SEGURIDAD Y SALUD</t>
  </si>
  <si>
    <t xml:space="preserve">CRITERIOS</t>
  </si>
  <si>
    <t xml:space="preserve">Objeto</t>
  </si>
  <si>
    <t xml:space="preserve">Presupuesto del Proyecto de Derribo (documento 11) del edificio de C. Ancha 34, Lodosa, con la misma estructura y formato que la propuesta de presupuesto de la obra nueva.</t>
  </si>
  <si>
    <t xml:space="preserve">Importes</t>
  </si>
  <si>
    <t xml:space="preserve">Capítulos D01 y D02: partidas del capítulo 02 del presupuesto de 24/12/2024, con su medición y precio sin cambios (son los que cita el documento 11). D02.01, D02.02, D02.09 y D02.10 llevan un importe simbólico (0,86 €) porque su trabajo está incluido en la demolición completa D02.07.</t>
  </si>
  <si>
    <t xml:space="preserve">Residuos (D03)</t>
  </si>
  <si>
    <t xml:space="preserve">Toneladas del Estudio de Gestión de Residuos del documento 11 (anexo 3): pétreos 594,5 t, madera 12,3 t, yeso 15,5 t, a precios de gestor en Navarra. Total 9.643,50 €, igual que el documento.</t>
  </si>
  <si>
    <t xml:space="preserve">Seguridad y salud (D04)</t>
  </si>
  <si>
    <t xml:space="preserve">Total 1.450,00 €, igual que el documento 11; el reparto entre vallado, marquesina, señalización, EPI e higiene es estimado.</t>
  </si>
  <si>
    <t xml:space="preserve">Coeficientes</t>
  </si>
  <si>
    <t xml:space="preserve">GG 5 % + BI 5 % e IVA 21 %, como el resumen de presupuesto del documento 11.</t>
  </si>
  <si>
    <t xml:space="preserve">Presto</t>
  </si>
  <si>
    <t xml:space="preserve">Se entrega también el archivo .bc3 (FIEBDC-3), que Presto abre directamente con capítulos, partidas, textos, mediciones y precios.</t>
  </si>
</sst>
</file>

<file path=xl/styles.xml><?xml version="1.0" encoding="utf-8"?>
<styleSheet xmlns="http://schemas.openxmlformats.org/spreadsheetml/2006/main">
  <numFmts count="7">
    <numFmt numFmtId="164" formatCode="General"/>
    <numFmt numFmtId="165" formatCode="#,##0.00&quot; €&quot;;\-#,##0.00&quot; €&quot;;\-"/>
    <numFmt numFmtId="166" formatCode="0.00%;\-0.00%;\-"/>
    <numFmt numFmtId="167" formatCode="0.0%"/>
    <numFmt numFmtId="168" formatCode="#,##0.00"/>
    <numFmt numFmtId="169" formatCode="#,##0.00;\-#,##0.00"/>
    <numFmt numFmtId="170" formatCode="#,##0.00;\-#,##0.00;\-"/>
  </numFmts>
  <fonts count="1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9"/>
      <name val="Arial"/>
      <family val="0"/>
      <charset val="1"/>
    </font>
    <font>
      <sz val="8"/>
      <color rgb="FF808080"/>
      <name val="Arial"/>
      <family val="0"/>
      <charset val="1"/>
    </font>
    <font>
      <b val="true"/>
      <sz val="9"/>
      <color rgb="FF008000"/>
      <name val="Arial"/>
      <family val="0"/>
      <charset val="1"/>
    </font>
    <font>
      <sz val="9"/>
      <name val="Arial"/>
      <family val="0"/>
      <charset val="1"/>
    </font>
    <font>
      <b val="true"/>
      <sz val="10"/>
      <name val="Arial"/>
      <family val="0"/>
      <charset val="1"/>
    </font>
    <font>
      <sz val="9"/>
      <color rgb="FF0000FF"/>
      <name val="Arial"/>
      <family val="0"/>
      <charset val="1"/>
    </font>
    <font>
      <sz val="7"/>
      <color rgb="FFBFBFBF"/>
      <name val="Arial"/>
      <family val="0"/>
      <charset val="1"/>
    </font>
  </fonts>
  <fills count="3">
    <fill>
      <patternFill patternType="none"/>
    </fill>
    <fill>
      <patternFill patternType="gray125"/>
    </fill>
    <fill>
      <patternFill patternType="solid">
        <fgColor rgb="FFF2F2F2"/>
        <bgColor rgb="FFFFFFCC"/>
      </patternFill>
    </fill>
  </fills>
  <borders count="4">
    <border diagonalUp="false" diagonalDown="false">
      <left/>
      <right/>
      <top/>
      <bottom/>
      <diagonal/>
    </border>
    <border diagonalUp="false" diagonalDown="false">
      <left/>
      <right/>
      <top/>
      <bottom style="thin"/>
      <diagonal/>
    </border>
    <border diagonalUp="false" diagonalDown="false">
      <left/>
      <right/>
      <top style="thin"/>
      <bottom/>
      <diagonal/>
    </border>
    <border diagonalUp="false" diagonalDown="false">
      <left/>
      <right/>
      <top style="hair">
        <color rgb="FF999999"/>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2"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2"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70" fontId="5" fillId="0" borderId="3" xfId="0" applyFont="true" applyBorder="true" applyAlignment="false" applyProtection="false">
      <alignment horizontal="general" vertical="bottom" textRotation="0" wrapText="false" indent="0" shrinkToFit="false"/>
      <protection locked="true" hidden="false"/>
    </xf>
    <xf numFmtId="170" fontId="10" fillId="0" borderId="3"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2"/>
    <col collapsed="false" customWidth="true" hidden="false" outlineLevel="0" max="3" min="3" style="0" width="16"/>
    <col collapsed="false" customWidth="true" hidden="false" outlineLevel="0" max="4" min="4" style="0" width="9"/>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t="s">
        <v>4</v>
      </c>
      <c r="C5" s="4" t="s">
        <v>5</v>
      </c>
      <c r="D5" s="4" t="s">
        <v>6</v>
      </c>
    </row>
    <row r="6" customFormat="false" ht="15" hidden="false" customHeight="false" outlineLevel="0" collapsed="false">
      <c r="A6" s="2" t="s">
        <v>7</v>
      </c>
      <c r="B6" s="2" t="s">
        <v>8</v>
      </c>
      <c r="C6" s="5" t="n">
        <f aca="false">Presupuesto!K16</f>
        <v>953.2</v>
      </c>
      <c r="D6" s="6" t="n">
        <f aca="false">IF($C$11=0,0,C6/$C$11)</f>
        <v>0.044668798572398</v>
      </c>
    </row>
    <row r="7" customFormat="false" ht="15" hidden="false" customHeight="false" outlineLevel="0" collapsed="false">
      <c r="A7" s="2" t="s">
        <v>9</v>
      </c>
      <c r="B7" s="2" t="s">
        <v>10</v>
      </c>
      <c r="C7" s="5" t="n">
        <f aca="false">Presupuesto!K59</f>
        <v>9292.58</v>
      </c>
      <c r="D7" s="6" t="n">
        <f aca="false">IF($C$11=0,0,C7/$C$11)</f>
        <v>0.435468300711177</v>
      </c>
    </row>
    <row r="8" customFormat="false" ht="15" hidden="false" customHeight="false" outlineLevel="0" collapsed="false">
      <c r="A8" s="2" t="s">
        <v>11</v>
      </c>
      <c r="B8" s="2" t="s">
        <v>12</v>
      </c>
      <c r="C8" s="5" t="n">
        <f aca="false">Presupuesto!K86</f>
        <v>9643.5</v>
      </c>
      <c r="D8" s="6" t="n">
        <f aca="false">IF($C$11=0,0,C8/$C$11)</f>
        <v>0.451913091725682</v>
      </c>
    </row>
    <row r="9" customFormat="false" ht="15" hidden="false" customHeight="false" outlineLevel="0" collapsed="false">
      <c r="A9" s="2" t="s">
        <v>13</v>
      </c>
      <c r="B9" s="2" t="s">
        <v>14</v>
      </c>
      <c r="C9" s="5" t="n">
        <f aca="false">Presupuesto!K110</f>
        <v>1450</v>
      </c>
      <c r="D9" s="6" t="n">
        <f aca="false">IF($C$11=0,0,C9/$C$11)</f>
        <v>0.0679498089907438</v>
      </c>
    </row>
    <row r="11" customFormat="false" ht="15" hidden="false" customHeight="false" outlineLevel="0" collapsed="false">
      <c r="B11" s="7" t="s">
        <v>15</v>
      </c>
      <c r="C11" s="8" t="n">
        <f aca="false">C6+C7+C8+C9</f>
        <v>21339.28</v>
      </c>
    </row>
    <row r="13" customFormat="false" ht="15" hidden="false" customHeight="false" outlineLevel="0" collapsed="false">
      <c r="B13" s="9" t="s">
        <v>16</v>
      </c>
      <c r="C13" s="10" t="n">
        <f aca="false">ROUND(C11*D13,2)</f>
        <v>1066.96</v>
      </c>
      <c r="D13" s="11" t="n">
        <v>0.05</v>
      </c>
    </row>
    <row r="14" customFormat="false" ht="15" hidden="false" customHeight="false" outlineLevel="0" collapsed="false">
      <c r="B14" s="9" t="s">
        <v>17</v>
      </c>
      <c r="C14" s="10" t="n">
        <f aca="false">ROUND(C11*D14,2)</f>
        <v>1066.96</v>
      </c>
      <c r="D14" s="11" t="n">
        <v>0.05</v>
      </c>
    </row>
    <row r="15" customFormat="false" ht="15" hidden="false" customHeight="false" outlineLevel="0" collapsed="false">
      <c r="B15" s="2" t="s">
        <v>18</v>
      </c>
      <c r="C15" s="12" t="n">
        <f aca="false">C11+C13+C14</f>
        <v>23473.2</v>
      </c>
    </row>
    <row r="16" customFormat="false" ht="15" hidden="false" customHeight="false" outlineLevel="0" collapsed="false">
      <c r="B16" s="9" t="s">
        <v>19</v>
      </c>
      <c r="C16" s="10" t="n">
        <f aca="false">ROUND(C11*(1+$D$13+$D$14)*D16,2)</f>
        <v>4929.37</v>
      </c>
      <c r="D16" s="11" t="n">
        <v>0.21</v>
      </c>
    </row>
    <row r="17" customFormat="false" ht="15" hidden="false" customHeight="false" outlineLevel="0" collapsed="false">
      <c r="B17" s="7" t="s">
        <v>20</v>
      </c>
      <c r="C17" s="8" t="n">
        <f aca="false">C15+C16</f>
        <v>28402.57</v>
      </c>
    </row>
    <row r="19" customFormat="false" ht="15" hidden="false" customHeight="false" outlineLevel="0" collapsed="false">
      <c r="B19" s="2" t="s">
        <v>21</v>
      </c>
    </row>
    <row r="20" customFormat="false" ht="15" hidden="false" customHeight="false" outlineLevel="0" collapsed="false">
      <c r="B20" s="9" t="s">
        <v>22</v>
      </c>
      <c r="C20" s="13" t="n">
        <v>347.2</v>
      </c>
    </row>
    <row r="21" customFormat="false" ht="15" hidden="false" customHeight="false" outlineLevel="0" collapsed="false">
      <c r="B21" s="9" t="s">
        <v>23</v>
      </c>
      <c r="C21" s="10" t="n">
        <f aca="false">C11/C20</f>
        <v>61.4610599078341</v>
      </c>
    </row>
    <row r="23" customFormat="false" ht="15" hidden="false" customHeight="false" outlineLevel="0" collapsed="false">
      <c r="B23" s="3" t="s">
        <v>24</v>
      </c>
    </row>
    <row r="24" customFormat="false" ht="15" hidden="false" customHeight="false" outlineLevel="0" collapsed="false">
      <c r="B24" s="3" t="s">
        <v>25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
    <col collapsed="false" customWidth="true" hidden="false" outlineLevel="0" max="3" min="3" style="0" width="62"/>
    <col collapsed="false" customWidth="true" hidden="false" outlineLevel="0" max="4" min="4" style="0" width="6"/>
    <col collapsed="false" customWidth="true" hidden="false" outlineLevel="0" max="7" min="5" style="0" width="9"/>
    <col collapsed="false" customWidth="true" hidden="false" outlineLevel="0" max="10" min="8" style="0" width="10"/>
    <col collapsed="false" customWidth="true" hidden="false" outlineLevel="0" max="11" min="11" style="0" width="12"/>
    <col collapsed="false" customWidth="true" hidden="false" outlineLevel="0" max="12" min="12" style="0" width="44"/>
    <col collapsed="false" customWidth="true" hidden="true" outlineLevel="0" max="14" min="13" style="0" width="5"/>
    <col collapsed="false" customWidth="true" hidden="true" outlineLevel="0" max="15" min="15" style="0" width="8"/>
  </cols>
  <sheetData>
    <row r="1" customFormat="false" ht="15" hidden="false" customHeight="false" outlineLevel="0" collapsed="false">
      <c r="A1" s="1" t="s">
        <v>26</v>
      </c>
    </row>
    <row r="2" customFormat="false" ht="15" hidden="false" customHeight="false" outlineLevel="0" collapsed="false">
      <c r="A2" s="2" t="s">
        <v>27</v>
      </c>
    </row>
    <row r="4" customFormat="false" ht="15" hidden="false" customHeight="false" outlineLevel="0" collapsed="false">
      <c r="A4" s="14" t="s">
        <v>28</v>
      </c>
      <c r="B4" s="14" t="s">
        <v>29</v>
      </c>
      <c r="C4" s="14" t="s">
        <v>4</v>
      </c>
      <c r="D4" s="15" t="s">
        <v>30</v>
      </c>
      <c r="E4" s="15" t="s">
        <v>31</v>
      </c>
      <c r="F4" s="15" t="s">
        <v>32</v>
      </c>
      <c r="G4" s="15" t="s">
        <v>33</v>
      </c>
      <c r="H4" s="15" t="s">
        <v>34</v>
      </c>
      <c r="I4" s="15" t="s">
        <v>35</v>
      </c>
      <c r="J4" s="15" t="s">
        <v>36</v>
      </c>
      <c r="K4" s="15" t="s">
        <v>5</v>
      </c>
      <c r="L4" s="14" t="s">
        <v>37</v>
      </c>
      <c r="M4" s="15" t="s">
        <v>38</v>
      </c>
      <c r="N4" s="15" t="s">
        <v>39</v>
      </c>
      <c r="O4" s="15" t="s">
        <v>40</v>
      </c>
    </row>
    <row r="5" customFormat="false" ht="15" hidden="false" customHeight="false" outlineLevel="0" collapsed="false">
      <c r="A5" s="16" t="s">
        <v>7</v>
      </c>
      <c r="B5" s="17"/>
      <c r="C5" s="16" t="s">
        <v>8</v>
      </c>
      <c r="D5" s="17"/>
      <c r="E5" s="17"/>
      <c r="F5" s="17"/>
      <c r="G5" s="17"/>
      <c r="H5" s="17"/>
      <c r="I5" s="17"/>
      <c r="J5" s="17"/>
      <c r="K5" s="17"/>
      <c r="L5" s="17"/>
      <c r="M5" s="18" t="s">
        <v>41</v>
      </c>
      <c r="N5" s="18" t="s">
        <v>7</v>
      </c>
      <c r="O5" s="18"/>
    </row>
    <row r="6" customFormat="false" ht="15" hidden="false" customHeight="false" outlineLevel="0" collapsed="false">
      <c r="A6" s="2" t="s">
        <v>42</v>
      </c>
      <c r="B6" s="2" t="s">
        <v>43</v>
      </c>
      <c r="C6" s="2" t="s">
        <v>44</v>
      </c>
      <c r="M6" s="18"/>
      <c r="N6" s="18"/>
      <c r="O6" s="18"/>
    </row>
    <row r="7" customFormat="false" ht="24" hidden="false" customHeight="true" outlineLevel="0" collapsed="false">
      <c r="C7" s="19" t="s">
        <v>45</v>
      </c>
      <c r="M7" s="18"/>
      <c r="N7" s="18"/>
      <c r="O7" s="18"/>
    </row>
    <row r="8" customFormat="false" ht="15" hidden="false" customHeight="false" outlineLevel="0" collapsed="false">
      <c r="C8" s="20" t="s">
        <v>46</v>
      </c>
      <c r="D8" s="21" t="n">
        <v>1</v>
      </c>
      <c r="E8" s="21" t="n">
        <v>10</v>
      </c>
      <c r="H8" s="22" t="n">
        <f aca="false">IF(COUNT(D8:G8)=0,0,D8*IF(E8="",1,E8)*IF(F8="",1,F8)*IF(G8="",1,G8))</f>
        <v>10</v>
      </c>
      <c r="M8" s="18"/>
      <c r="N8" s="18"/>
      <c r="O8" s="18"/>
    </row>
    <row r="9" customFormat="false" ht="15" hidden="false" customHeight="false" outlineLevel="0" collapsed="false">
      <c r="C9" s="20" t="s">
        <v>47</v>
      </c>
      <c r="D9" s="21" t="n">
        <v>1</v>
      </c>
      <c r="E9" s="21" t="n">
        <v>10</v>
      </c>
      <c r="H9" s="22" t="n">
        <f aca="false">IF(COUNT(D9:G9)=0,0,D9*IF(E9="",1,E9)*IF(F9="",1,F9)*IF(G9="",1,G9))</f>
        <v>10</v>
      </c>
      <c r="M9" s="18"/>
      <c r="N9" s="18"/>
      <c r="O9" s="18"/>
    </row>
    <row r="10" customFormat="false" ht="15" hidden="false" customHeight="false" outlineLevel="0" collapsed="false">
      <c r="H10" s="23"/>
      <c r="I10" s="24" t="n">
        <f aca="false">ROUND(SUM(H8:H9),2)</f>
        <v>20</v>
      </c>
      <c r="J10" s="25" t="n">
        <v>2.63</v>
      </c>
      <c r="K10" s="24" t="n">
        <f aca="false">ROUND(I10*J10,2)</f>
        <v>52.6</v>
      </c>
      <c r="L10" s="26" t="s">
        <v>48</v>
      </c>
      <c r="M10" s="18" t="s">
        <v>49</v>
      </c>
      <c r="N10" s="18" t="s">
        <v>7</v>
      </c>
      <c r="O10" s="18"/>
    </row>
    <row r="11" customFormat="false" ht="15" hidden="false" customHeight="false" outlineLevel="0" collapsed="false">
      <c r="A11" s="2" t="s">
        <v>50</v>
      </c>
      <c r="B11" s="2" t="s">
        <v>43</v>
      </c>
      <c r="C11" s="2" t="s">
        <v>51</v>
      </c>
      <c r="M11" s="18"/>
      <c r="N11" s="18"/>
      <c r="O11" s="18"/>
    </row>
    <row r="12" customFormat="false" ht="108" hidden="false" customHeight="true" outlineLevel="0" collapsed="false">
      <c r="C12" s="19" t="s">
        <v>52</v>
      </c>
      <c r="M12" s="18"/>
      <c r="N12" s="18"/>
      <c r="O12" s="18"/>
    </row>
    <row r="13" customFormat="false" ht="15" hidden="false" customHeight="false" outlineLevel="0" collapsed="false">
      <c r="C13" s="20" t="s">
        <v>46</v>
      </c>
      <c r="D13" s="21" t="n">
        <v>1</v>
      </c>
      <c r="E13" s="21" t="n">
        <v>10</v>
      </c>
      <c r="H13" s="22" t="n">
        <f aca="false">IF(COUNT(D13:G13)=0,0,D13*IF(E13="",1,E13)*IF(F13="",1,F13)*IF(G13="",1,G13))</f>
        <v>10</v>
      </c>
      <c r="M13" s="18"/>
      <c r="N13" s="18"/>
      <c r="O13" s="18"/>
    </row>
    <row r="14" customFormat="false" ht="15" hidden="false" customHeight="false" outlineLevel="0" collapsed="false">
      <c r="C14" s="20" t="s">
        <v>47</v>
      </c>
      <c r="D14" s="21" t="n">
        <v>1</v>
      </c>
      <c r="E14" s="21" t="n">
        <v>10</v>
      </c>
      <c r="H14" s="22" t="n">
        <f aca="false">IF(COUNT(D14:G14)=0,0,D14*IF(E14="",1,E14)*IF(F14="",1,F14)*IF(G14="",1,G14))</f>
        <v>10</v>
      </c>
      <c r="M14" s="18"/>
      <c r="N14" s="18"/>
      <c r="O14" s="18"/>
    </row>
    <row r="15" customFormat="false" ht="15" hidden="false" customHeight="false" outlineLevel="0" collapsed="false">
      <c r="H15" s="23"/>
      <c r="I15" s="24" t="n">
        <f aca="false">ROUND(SUM(H13:H14),2)</f>
        <v>20</v>
      </c>
      <c r="J15" s="25" t="n">
        <v>45.03</v>
      </c>
      <c r="K15" s="24" t="n">
        <f aca="false">ROUND(I15*J15,2)</f>
        <v>900.6</v>
      </c>
      <c r="L15" s="26" t="s">
        <v>48</v>
      </c>
      <c r="M15" s="18" t="s">
        <v>49</v>
      </c>
      <c r="N15" s="18" t="s">
        <v>7</v>
      </c>
      <c r="O15" s="18"/>
    </row>
    <row r="16" customFormat="false" ht="15" hidden="false" customHeight="false" outlineLevel="0" collapsed="false">
      <c r="C16" s="27" t="s">
        <v>53</v>
      </c>
      <c r="K16" s="8" t="n">
        <f aca="false">SUMIFS($K$5:$K$112,$M$5:$M$112,"P",$N$5:$N$112,"D01")</f>
        <v>953.2</v>
      </c>
      <c r="M16" s="18"/>
      <c r="N16" s="18"/>
      <c r="O16" s="18"/>
    </row>
    <row r="17" customFormat="false" ht="15" hidden="false" customHeight="false" outlineLevel="0" collapsed="false">
      <c r="M17" s="18"/>
      <c r="N17" s="18"/>
      <c r="O17" s="18"/>
    </row>
    <row r="18" customFormat="false" ht="15" hidden="false" customHeight="false" outlineLevel="0" collapsed="false">
      <c r="A18" s="16" t="s">
        <v>9</v>
      </c>
      <c r="B18" s="17"/>
      <c r="C18" s="16" t="s">
        <v>10</v>
      </c>
      <c r="D18" s="17"/>
      <c r="E18" s="17"/>
      <c r="F18" s="17"/>
      <c r="G18" s="17"/>
      <c r="H18" s="17"/>
      <c r="I18" s="17"/>
      <c r="J18" s="17"/>
      <c r="K18" s="17"/>
      <c r="L18" s="17"/>
      <c r="M18" s="18" t="s">
        <v>41</v>
      </c>
      <c r="N18" s="18" t="s">
        <v>9</v>
      </c>
      <c r="O18" s="18"/>
    </row>
    <row r="19" customFormat="false" ht="15" hidden="false" customHeight="false" outlineLevel="0" collapsed="false">
      <c r="A19" s="2" t="s">
        <v>54</v>
      </c>
      <c r="B19" s="2" t="s">
        <v>55</v>
      </c>
      <c r="C19" s="2" t="s">
        <v>56</v>
      </c>
      <c r="M19" s="18"/>
      <c r="N19" s="18"/>
      <c r="O19" s="18"/>
    </row>
    <row r="20" customFormat="false" ht="468" hidden="false" customHeight="true" outlineLevel="0" collapsed="false">
      <c r="C20" s="19" t="s">
        <v>57</v>
      </c>
      <c r="M20" s="18"/>
      <c r="N20" s="18"/>
      <c r="O20" s="18"/>
    </row>
    <row r="21" customFormat="false" ht="15" hidden="false" customHeight="false" outlineLevel="0" collapsed="false">
      <c r="C21" s="20" t="s">
        <v>58</v>
      </c>
      <c r="D21" s="21" t="n">
        <v>1</v>
      </c>
      <c r="H21" s="22" t="n">
        <f aca="false">IF(COUNT(D21:G21)=0,0,D21*IF(E21="",1,E21)*IF(F21="",1,F21)*IF(G21="",1,G21))</f>
        <v>1</v>
      </c>
      <c r="M21" s="18"/>
      <c r="N21" s="18"/>
      <c r="O21" s="18"/>
    </row>
    <row r="22" customFormat="false" ht="15" hidden="false" customHeight="false" outlineLevel="0" collapsed="false">
      <c r="H22" s="23"/>
      <c r="I22" s="24" t="n">
        <f aca="false">ROUND(SUM(H21:H21),2)</f>
        <v>1</v>
      </c>
      <c r="J22" s="25" t="n">
        <v>0.86</v>
      </c>
      <c r="K22" s="24" t="n">
        <f aca="false">ROUND(I22*J22,2)</f>
        <v>0.86</v>
      </c>
      <c r="L22" s="26" t="s">
        <v>48</v>
      </c>
      <c r="M22" s="18" t="s">
        <v>49</v>
      </c>
      <c r="N22" s="18" t="s">
        <v>9</v>
      </c>
      <c r="O22" s="18"/>
    </row>
    <row r="23" customFormat="false" ht="15" hidden="false" customHeight="false" outlineLevel="0" collapsed="false">
      <c r="A23" s="2" t="s">
        <v>59</v>
      </c>
      <c r="B23" s="2" t="s">
        <v>55</v>
      </c>
      <c r="C23" s="2" t="s">
        <v>60</v>
      </c>
      <c r="M23" s="18"/>
      <c r="N23" s="18"/>
      <c r="O23" s="18"/>
    </row>
    <row r="24" customFormat="false" ht="132" hidden="false" customHeight="true" outlineLevel="0" collapsed="false">
      <c r="C24" s="19" t="s">
        <v>61</v>
      </c>
      <c r="M24" s="18"/>
      <c r="N24" s="18"/>
      <c r="O24" s="18"/>
    </row>
    <row r="25" customFormat="false" ht="15" hidden="false" customHeight="false" outlineLevel="0" collapsed="false">
      <c r="C25" s="20" t="s">
        <v>58</v>
      </c>
      <c r="D25" s="21" t="n">
        <v>1</v>
      </c>
      <c r="H25" s="22" t="n">
        <f aca="false">IF(COUNT(D25:G25)=0,0,D25*IF(E25="",1,E25)*IF(F25="",1,F25)*IF(G25="",1,G25))</f>
        <v>1</v>
      </c>
      <c r="M25" s="18"/>
      <c r="N25" s="18"/>
      <c r="O25" s="18"/>
    </row>
    <row r="26" customFormat="false" ht="15" hidden="false" customHeight="false" outlineLevel="0" collapsed="false">
      <c r="H26" s="23"/>
      <c r="I26" s="24" t="n">
        <f aca="false">ROUND(SUM(H25:H25),2)</f>
        <v>1</v>
      </c>
      <c r="J26" s="25" t="n">
        <v>0.86</v>
      </c>
      <c r="K26" s="24" t="n">
        <f aca="false">ROUND(I26*J26,2)</f>
        <v>0.86</v>
      </c>
      <c r="L26" s="26" t="s">
        <v>48</v>
      </c>
      <c r="M26" s="18" t="s">
        <v>49</v>
      </c>
      <c r="N26" s="18" t="s">
        <v>9</v>
      </c>
      <c r="O26" s="18"/>
    </row>
    <row r="27" customFormat="false" ht="15" hidden="false" customHeight="false" outlineLevel="0" collapsed="false">
      <c r="A27" s="2" t="s">
        <v>62</v>
      </c>
      <c r="B27" s="2" t="s">
        <v>55</v>
      </c>
      <c r="C27" s="2" t="s">
        <v>63</v>
      </c>
      <c r="M27" s="18"/>
      <c r="N27" s="18"/>
      <c r="O27" s="18"/>
    </row>
    <row r="28" customFormat="false" ht="48" hidden="false" customHeight="true" outlineLevel="0" collapsed="false">
      <c r="C28" s="19" t="s">
        <v>64</v>
      </c>
      <c r="M28" s="18"/>
      <c r="N28" s="18"/>
      <c r="O28" s="18"/>
    </row>
    <row r="29" customFormat="false" ht="15" hidden="false" customHeight="false" outlineLevel="0" collapsed="false">
      <c r="C29" s="20" t="s">
        <v>58</v>
      </c>
      <c r="D29" s="21" t="n">
        <v>1</v>
      </c>
      <c r="H29" s="22" t="n">
        <f aca="false">IF(COUNT(D29:G29)=0,0,D29*IF(E29="",1,E29)*IF(F29="",1,F29)*IF(G29="",1,G29))</f>
        <v>1</v>
      </c>
      <c r="M29" s="18"/>
      <c r="N29" s="18"/>
      <c r="O29" s="18"/>
    </row>
    <row r="30" customFormat="false" ht="15" hidden="false" customHeight="false" outlineLevel="0" collapsed="false">
      <c r="H30" s="23"/>
      <c r="I30" s="24" t="n">
        <f aca="false">ROUND(SUM(H29:H29),2)</f>
        <v>1</v>
      </c>
      <c r="J30" s="25" t="n">
        <v>607.9</v>
      </c>
      <c r="K30" s="24" t="n">
        <f aca="false">ROUND(I30*J30,2)</f>
        <v>607.9</v>
      </c>
      <c r="L30" s="26" t="s">
        <v>48</v>
      </c>
      <c r="M30" s="18" t="s">
        <v>49</v>
      </c>
      <c r="N30" s="18" t="s">
        <v>9</v>
      </c>
      <c r="O30" s="18"/>
    </row>
    <row r="31" customFormat="false" ht="15" hidden="false" customHeight="false" outlineLevel="0" collapsed="false">
      <c r="A31" s="2" t="s">
        <v>65</v>
      </c>
      <c r="B31" s="2" t="s">
        <v>66</v>
      </c>
      <c r="C31" s="2" t="s">
        <v>67</v>
      </c>
      <c r="M31" s="18"/>
      <c r="N31" s="18"/>
      <c r="O31" s="18"/>
    </row>
    <row r="32" customFormat="false" ht="96" hidden="false" customHeight="true" outlineLevel="0" collapsed="false">
      <c r="C32" s="19" t="s">
        <v>68</v>
      </c>
      <c r="M32" s="18"/>
      <c r="N32" s="18"/>
      <c r="O32" s="18"/>
    </row>
    <row r="33" customFormat="false" ht="15" hidden="false" customHeight="false" outlineLevel="0" collapsed="false">
      <c r="C33" s="20" t="s">
        <v>69</v>
      </c>
      <c r="D33" s="21" t="n">
        <v>1</v>
      </c>
      <c r="E33" s="21" t="n">
        <v>58.51</v>
      </c>
      <c r="H33" s="22" t="n">
        <f aca="false">IF(COUNT(D33:G33)=0,0,D33*IF(E33="",1,E33)*IF(F33="",1,F33)*IF(G33="",1,G33))</f>
        <v>58.51</v>
      </c>
      <c r="M33" s="18"/>
      <c r="N33" s="18"/>
      <c r="O33" s="18"/>
    </row>
    <row r="34" customFormat="false" ht="15" hidden="false" customHeight="false" outlineLevel="0" collapsed="false">
      <c r="H34" s="23"/>
      <c r="I34" s="24" t="n">
        <f aca="false">ROUND(SUM(H33:H33),2)</f>
        <v>58.51</v>
      </c>
      <c r="J34" s="25" t="n">
        <v>10.73</v>
      </c>
      <c r="K34" s="24" t="n">
        <f aca="false">ROUND(I34*J34,2)</f>
        <v>627.81</v>
      </c>
      <c r="L34" s="26" t="s">
        <v>48</v>
      </c>
      <c r="M34" s="18" t="s">
        <v>49</v>
      </c>
      <c r="N34" s="18" t="s">
        <v>9</v>
      </c>
      <c r="O34" s="18"/>
    </row>
    <row r="35" customFormat="false" ht="15" hidden="false" customHeight="false" outlineLevel="0" collapsed="false">
      <c r="A35" s="2" t="s">
        <v>70</v>
      </c>
      <c r="B35" s="2" t="s">
        <v>55</v>
      </c>
      <c r="C35" s="2" t="s">
        <v>71</v>
      </c>
      <c r="M35" s="18"/>
      <c r="N35" s="18"/>
      <c r="O35" s="18"/>
    </row>
    <row r="36" customFormat="false" ht="84" hidden="false" customHeight="true" outlineLevel="0" collapsed="false">
      <c r="C36" s="19" t="s">
        <v>72</v>
      </c>
      <c r="M36" s="18"/>
      <c r="N36" s="18"/>
      <c r="O36" s="18"/>
    </row>
    <row r="37" customFormat="false" ht="15" hidden="false" customHeight="false" outlineLevel="0" collapsed="false">
      <c r="C37" s="20" t="s">
        <v>58</v>
      </c>
      <c r="D37" s="21" t="n">
        <v>1</v>
      </c>
      <c r="H37" s="22" t="n">
        <f aca="false">IF(COUNT(D37:G37)=0,0,D37*IF(E37="",1,E37)*IF(F37="",1,F37)*IF(G37="",1,G37))</f>
        <v>1</v>
      </c>
      <c r="M37" s="18"/>
      <c r="N37" s="18"/>
      <c r="O37" s="18"/>
    </row>
    <row r="38" customFormat="false" ht="15" hidden="false" customHeight="false" outlineLevel="0" collapsed="false">
      <c r="H38" s="23"/>
      <c r="I38" s="24" t="n">
        <f aca="false">ROUND(SUM(H37:H37),2)</f>
        <v>1</v>
      </c>
      <c r="J38" s="25" t="n">
        <v>231.44</v>
      </c>
      <c r="K38" s="24" t="n">
        <f aca="false">ROUND(I38*J38,2)</f>
        <v>231.44</v>
      </c>
      <c r="L38" s="26" t="s">
        <v>48</v>
      </c>
      <c r="M38" s="18" t="s">
        <v>49</v>
      </c>
      <c r="N38" s="18" t="s">
        <v>9</v>
      </c>
      <c r="O38" s="18"/>
    </row>
    <row r="39" customFormat="false" ht="15" hidden="false" customHeight="false" outlineLevel="0" collapsed="false">
      <c r="A39" s="2" t="s">
        <v>73</v>
      </c>
      <c r="B39" s="2" t="s">
        <v>55</v>
      </c>
      <c r="C39" s="2" t="s">
        <v>74</v>
      </c>
      <c r="M39" s="18"/>
      <c r="N39" s="18"/>
      <c r="O39" s="18"/>
    </row>
    <row r="40" customFormat="false" ht="156" hidden="false" customHeight="true" outlineLevel="0" collapsed="false">
      <c r="C40" s="19" t="s">
        <v>75</v>
      </c>
      <c r="M40" s="18"/>
      <c r="N40" s="18"/>
      <c r="O40" s="18"/>
    </row>
    <row r="41" customFormat="false" ht="15" hidden="false" customHeight="false" outlineLevel="0" collapsed="false">
      <c r="C41" s="20" t="s">
        <v>76</v>
      </c>
      <c r="D41" s="21" t="n">
        <v>1</v>
      </c>
      <c r="H41" s="22" t="n">
        <f aca="false">IF(COUNT(D41:G41)=0,0,D41*IF(E41="",1,E41)*IF(F41="",1,F41)*IF(G41="",1,G41))</f>
        <v>1</v>
      </c>
      <c r="M41" s="18"/>
      <c r="N41" s="18"/>
      <c r="O41" s="18"/>
    </row>
    <row r="42" customFormat="false" ht="15" hidden="false" customHeight="false" outlineLevel="0" collapsed="false">
      <c r="H42" s="23"/>
      <c r="I42" s="24" t="n">
        <f aca="false">ROUND(SUM(H41:H41),2)</f>
        <v>1</v>
      </c>
      <c r="J42" s="25" t="n">
        <v>3500</v>
      </c>
      <c r="K42" s="24" t="n">
        <f aca="false">ROUND(I42*J42,2)</f>
        <v>3500</v>
      </c>
      <c r="L42" s="26" t="s">
        <v>48</v>
      </c>
      <c r="M42" s="18" t="s">
        <v>49</v>
      </c>
      <c r="N42" s="18" t="s">
        <v>9</v>
      </c>
      <c r="O42" s="18"/>
    </row>
    <row r="43" customFormat="false" ht="15" hidden="false" customHeight="false" outlineLevel="0" collapsed="false">
      <c r="A43" s="2" t="s">
        <v>77</v>
      </c>
      <c r="B43" s="2" t="s">
        <v>78</v>
      </c>
      <c r="C43" s="2" t="s">
        <v>79</v>
      </c>
      <c r="M43" s="18"/>
      <c r="N43" s="18"/>
      <c r="O43" s="18"/>
    </row>
    <row r="44" customFormat="false" ht="48" hidden="false" customHeight="true" outlineLevel="0" collapsed="false">
      <c r="C44" s="19" t="s">
        <v>80</v>
      </c>
      <c r="M44" s="18"/>
      <c r="N44" s="18"/>
      <c r="O44" s="18"/>
    </row>
    <row r="45" customFormat="false" ht="15" hidden="false" customHeight="false" outlineLevel="0" collapsed="false">
      <c r="C45" s="20" t="s">
        <v>81</v>
      </c>
      <c r="D45" s="21" t="n">
        <v>1</v>
      </c>
      <c r="E45" s="21" t="n">
        <v>134.39</v>
      </c>
      <c r="G45" s="21" t="n">
        <v>9</v>
      </c>
      <c r="H45" s="22" t="n">
        <f aca="false">IF(COUNT(D45:G45)=0,0,D45*IF(E45="",1,E45)*IF(F45="",1,F45)*IF(G45="",1,G45))</f>
        <v>1209.51</v>
      </c>
      <c r="M45" s="18"/>
      <c r="N45" s="18"/>
      <c r="O45" s="18"/>
    </row>
    <row r="46" customFormat="false" ht="15" hidden="false" customHeight="false" outlineLevel="0" collapsed="false">
      <c r="H46" s="23"/>
      <c r="I46" s="24" t="n">
        <f aca="false">ROUND(SUM(H45:H45),2)</f>
        <v>1209.51</v>
      </c>
      <c r="J46" s="25" t="n">
        <v>3.11</v>
      </c>
      <c r="K46" s="24" t="n">
        <f aca="false">ROUND(I46*J46,2)</f>
        <v>3761.58</v>
      </c>
      <c r="L46" s="26" t="s">
        <v>48</v>
      </c>
      <c r="M46" s="18" t="s">
        <v>49</v>
      </c>
      <c r="N46" s="18" t="s">
        <v>9</v>
      </c>
      <c r="O46" s="18"/>
    </row>
    <row r="47" customFormat="false" ht="15" hidden="false" customHeight="false" outlineLevel="0" collapsed="false">
      <c r="A47" s="2" t="s">
        <v>82</v>
      </c>
      <c r="B47" s="2" t="s">
        <v>43</v>
      </c>
      <c r="C47" s="2" t="s">
        <v>83</v>
      </c>
      <c r="M47" s="18"/>
      <c r="N47" s="18"/>
      <c r="O47" s="18"/>
    </row>
    <row r="48" customFormat="false" ht="72" hidden="false" customHeight="true" outlineLevel="0" collapsed="false">
      <c r="C48" s="19" t="s">
        <v>84</v>
      </c>
      <c r="M48" s="18"/>
      <c r="N48" s="18"/>
      <c r="O48" s="18"/>
    </row>
    <row r="49" customFormat="false" ht="15" hidden="false" customHeight="false" outlineLevel="0" collapsed="false">
      <c r="C49" s="20" t="s">
        <v>85</v>
      </c>
      <c r="D49" s="21" t="n">
        <v>1</v>
      </c>
      <c r="E49" s="21" t="n">
        <v>134.39</v>
      </c>
      <c r="H49" s="22" t="n">
        <f aca="false">IF(COUNT(D49:G49)=0,0,D49*IF(E49="",1,E49)*IF(F49="",1,F49)*IF(G49="",1,G49))</f>
        <v>134.39</v>
      </c>
      <c r="M49" s="18"/>
      <c r="N49" s="18"/>
      <c r="O49" s="18"/>
    </row>
    <row r="50" customFormat="false" ht="15" hidden="false" customHeight="false" outlineLevel="0" collapsed="false">
      <c r="H50" s="23"/>
      <c r="I50" s="24" t="n">
        <f aca="false">ROUND(SUM(H49:H49),2)</f>
        <v>134.39</v>
      </c>
      <c r="J50" s="25" t="n">
        <v>4.17</v>
      </c>
      <c r="K50" s="24" t="n">
        <f aca="false">ROUND(I50*J50,2)</f>
        <v>560.41</v>
      </c>
      <c r="L50" s="26" t="s">
        <v>48</v>
      </c>
      <c r="M50" s="18" t="s">
        <v>49</v>
      </c>
      <c r="N50" s="18" t="s">
        <v>9</v>
      </c>
      <c r="O50" s="18"/>
    </row>
    <row r="51" customFormat="false" ht="15" hidden="false" customHeight="false" outlineLevel="0" collapsed="false">
      <c r="A51" s="2" t="s">
        <v>86</v>
      </c>
      <c r="B51" s="2" t="s">
        <v>55</v>
      </c>
      <c r="C51" s="2" t="s">
        <v>87</v>
      </c>
      <c r="M51" s="18"/>
      <c r="N51" s="18"/>
      <c r="O51" s="18"/>
    </row>
    <row r="52" customFormat="false" ht="24" hidden="false" customHeight="true" outlineLevel="0" collapsed="false">
      <c r="C52" s="19" t="s">
        <v>88</v>
      </c>
      <c r="M52" s="18"/>
      <c r="N52" s="18"/>
      <c r="O52" s="18"/>
    </row>
    <row r="53" customFormat="false" ht="15" hidden="false" customHeight="false" outlineLevel="0" collapsed="false">
      <c r="C53" s="20" t="s">
        <v>58</v>
      </c>
      <c r="D53" s="21" t="n">
        <v>1</v>
      </c>
      <c r="H53" s="22" t="n">
        <f aca="false">IF(COUNT(D53:G53)=0,0,D53*IF(E53="",1,E53)*IF(F53="",1,F53)*IF(G53="",1,G53))</f>
        <v>1</v>
      </c>
      <c r="M53" s="18"/>
      <c r="N53" s="18"/>
      <c r="O53" s="18"/>
    </row>
    <row r="54" customFormat="false" ht="15" hidden="false" customHeight="false" outlineLevel="0" collapsed="false">
      <c r="H54" s="23"/>
      <c r="I54" s="24" t="n">
        <f aca="false">ROUND(SUM(H53:H53),2)</f>
        <v>1</v>
      </c>
      <c r="J54" s="25" t="n">
        <v>0.86</v>
      </c>
      <c r="K54" s="24" t="n">
        <f aca="false">ROUND(I54*J54,2)</f>
        <v>0.86</v>
      </c>
      <c r="L54" s="26" t="s">
        <v>48</v>
      </c>
      <c r="M54" s="18" t="s">
        <v>49</v>
      </c>
      <c r="N54" s="18" t="s">
        <v>9</v>
      </c>
      <c r="O54" s="18"/>
    </row>
    <row r="55" customFormat="false" ht="15" hidden="false" customHeight="false" outlineLevel="0" collapsed="false">
      <c r="A55" s="2" t="s">
        <v>89</v>
      </c>
      <c r="B55" s="2" t="s">
        <v>55</v>
      </c>
      <c r="C55" s="2" t="s">
        <v>90</v>
      </c>
      <c r="M55" s="18"/>
      <c r="N55" s="18"/>
      <c r="O55" s="18"/>
    </row>
    <row r="56" customFormat="false" ht="24" hidden="false" customHeight="true" outlineLevel="0" collapsed="false">
      <c r="C56" s="19" t="s">
        <v>91</v>
      </c>
      <c r="M56" s="18"/>
      <c r="N56" s="18"/>
      <c r="O56" s="18"/>
    </row>
    <row r="57" customFormat="false" ht="15" hidden="false" customHeight="false" outlineLevel="0" collapsed="false">
      <c r="C57" s="20" t="s">
        <v>58</v>
      </c>
      <c r="D57" s="21" t="n">
        <v>1</v>
      </c>
      <c r="H57" s="22" t="n">
        <f aca="false">IF(COUNT(D57:G57)=0,0,D57*IF(E57="",1,E57)*IF(F57="",1,F57)*IF(G57="",1,G57))</f>
        <v>1</v>
      </c>
      <c r="M57" s="18"/>
      <c r="N57" s="18"/>
      <c r="O57" s="18"/>
    </row>
    <row r="58" customFormat="false" ht="15" hidden="false" customHeight="false" outlineLevel="0" collapsed="false">
      <c r="H58" s="23"/>
      <c r="I58" s="24" t="n">
        <f aca="false">ROUND(SUM(H57:H57),2)</f>
        <v>1</v>
      </c>
      <c r="J58" s="25" t="n">
        <v>0.86</v>
      </c>
      <c r="K58" s="24" t="n">
        <f aca="false">ROUND(I58*J58,2)</f>
        <v>0.86</v>
      </c>
      <c r="L58" s="26" t="s">
        <v>48</v>
      </c>
      <c r="M58" s="18" t="s">
        <v>49</v>
      </c>
      <c r="N58" s="18" t="s">
        <v>9</v>
      </c>
      <c r="O58" s="18"/>
    </row>
    <row r="59" customFormat="false" ht="15" hidden="false" customHeight="false" outlineLevel="0" collapsed="false">
      <c r="C59" s="27" t="s">
        <v>92</v>
      </c>
      <c r="K59" s="8" t="n">
        <f aca="false">SUMIFS($K$5:$K$112,$M$5:$M$112,"P",$N$5:$N$112,"D02")</f>
        <v>9292.58</v>
      </c>
      <c r="M59" s="18"/>
      <c r="N59" s="18"/>
      <c r="O59" s="18"/>
    </row>
    <row r="60" customFormat="false" ht="15" hidden="false" customHeight="false" outlineLevel="0" collapsed="false">
      <c r="M60" s="18"/>
      <c r="N60" s="18"/>
      <c r="O60" s="18"/>
    </row>
    <row r="61" customFormat="false" ht="15" hidden="false" customHeight="false" outlineLevel="0" collapsed="false">
      <c r="A61" s="16" t="s">
        <v>11</v>
      </c>
      <c r="B61" s="17"/>
      <c r="C61" s="16" t="s">
        <v>12</v>
      </c>
      <c r="D61" s="17"/>
      <c r="E61" s="17"/>
      <c r="F61" s="17"/>
      <c r="G61" s="17"/>
      <c r="H61" s="17"/>
      <c r="I61" s="17"/>
      <c r="J61" s="17"/>
      <c r="K61" s="17"/>
      <c r="L61" s="17"/>
      <c r="M61" s="18" t="s">
        <v>41</v>
      </c>
      <c r="N61" s="18" t="s">
        <v>11</v>
      </c>
      <c r="O61" s="18"/>
    </row>
    <row r="62" customFormat="false" ht="15" hidden="false" customHeight="false" outlineLevel="0" collapsed="false">
      <c r="A62" s="2" t="s">
        <v>93</v>
      </c>
      <c r="B62" s="2" t="s">
        <v>94</v>
      </c>
      <c r="C62" s="2" t="s">
        <v>95</v>
      </c>
      <c r="M62" s="18"/>
      <c r="N62" s="18"/>
      <c r="O62" s="18"/>
    </row>
    <row r="63" customFormat="false" ht="36" hidden="false" customHeight="true" outlineLevel="0" collapsed="false">
      <c r="C63" s="19" t="s">
        <v>96</v>
      </c>
      <c r="M63" s="18"/>
      <c r="N63" s="18"/>
      <c r="O63" s="18"/>
    </row>
    <row r="64" customFormat="false" ht="15" hidden="false" customHeight="false" outlineLevel="0" collapsed="false">
      <c r="C64" s="20" t="s">
        <v>97</v>
      </c>
      <c r="D64" s="21" t="n">
        <v>1</v>
      </c>
      <c r="E64" s="21" t="n">
        <v>594.5</v>
      </c>
      <c r="H64" s="22" t="n">
        <f aca="false">IF(COUNT(D64:G64)=0,0,D64*IF(E64="",1,E64)*IF(F64="",1,F64)*IF(G64="",1,G64))</f>
        <v>594.5</v>
      </c>
      <c r="M64" s="18"/>
      <c r="N64" s="18"/>
      <c r="O64" s="18"/>
    </row>
    <row r="65" customFormat="false" ht="15" hidden="false" customHeight="false" outlineLevel="0" collapsed="false">
      <c r="H65" s="23"/>
      <c r="I65" s="24" t="n">
        <f aca="false">ROUND(SUM(H64:H64),2)</f>
        <v>594.5</v>
      </c>
      <c r="J65" s="25" t="n">
        <v>11</v>
      </c>
      <c r="K65" s="24" t="n">
        <f aca="false">ROUND(I65*J65,2)</f>
        <v>6539.5</v>
      </c>
      <c r="L65" s="26" t="s">
        <v>48</v>
      </c>
      <c r="M65" s="18" t="s">
        <v>49</v>
      </c>
      <c r="N65" s="18" t="s">
        <v>11</v>
      </c>
      <c r="O65" s="18"/>
    </row>
    <row r="66" customFormat="false" ht="15" hidden="false" customHeight="false" outlineLevel="0" collapsed="false">
      <c r="A66" s="2" t="s">
        <v>98</v>
      </c>
      <c r="B66" s="2" t="s">
        <v>94</v>
      </c>
      <c r="C66" s="2" t="s">
        <v>99</v>
      </c>
      <c r="M66" s="18"/>
      <c r="N66" s="18"/>
      <c r="O66" s="18"/>
    </row>
    <row r="67" customFormat="false" ht="36" hidden="false" customHeight="true" outlineLevel="0" collapsed="false">
      <c r="C67" s="19" t="s">
        <v>100</v>
      </c>
      <c r="M67" s="18"/>
      <c r="N67" s="18"/>
      <c r="O67" s="18"/>
    </row>
    <row r="68" customFormat="false" ht="15" hidden="false" customHeight="false" outlineLevel="0" collapsed="false">
      <c r="C68" s="20" t="s">
        <v>101</v>
      </c>
      <c r="D68" s="21" t="n">
        <v>1</v>
      </c>
      <c r="E68" s="21" t="n">
        <v>12.3</v>
      </c>
      <c r="H68" s="22" t="n">
        <f aca="false">IF(COUNT(D68:G68)=0,0,D68*IF(E68="",1,E68)*IF(F68="",1,F68)*IF(G68="",1,G68))</f>
        <v>12.3</v>
      </c>
      <c r="M68" s="18"/>
      <c r="N68" s="18"/>
      <c r="O68" s="18"/>
    </row>
    <row r="69" customFormat="false" ht="15" hidden="false" customHeight="false" outlineLevel="0" collapsed="false">
      <c r="H69" s="23"/>
      <c r="I69" s="24" t="n">
        <f aca="false">ROUND(SUM(H68:H68),2)</f>
        <v>12.3</v>
      </c>
      <c r="J69" s="25" t="n">
        <v>45</v>
      </c>
      <c r="K69" s="24" t="n">
        <f aca="false">ROUND(I69*J69,2)</f>
        <v>553.5</v>
      </c>
      <c r="L69" s="26" t="s">
        <v>48</v>
      </c>
      <c r="M69" s="18" t="s">
        <v>49</v>
      </c>
      <c r="N69" s="18" t="s">
        <v>11</v>
      </c>
      <c r="O69" s="18"/>
    </row>
    <row r="70" customFormat="false" ht="15" hidden="false" customHeight="false" outlineLevel="0" collapsed="false">
      <c r="A70" s="2" t="s">
        <v>102</v>
      </c>
      <c r="B70" s="2" t="s">
        <v>94</v>
      </c>
      <c r="C70" s="2" t="s">
        <v>103</v>
      </c>
      <c r="M70" s="18"/>
      <c r="N70" s="18"/>
      <c r="O70" s="18"/>
    </row>
    <row r="71" customFormat="false" ht="24" hidden="false" customHeight="true" outlineLevel="0" collapsed="false">
      <c r="C71" s="19" t="s">
        <v>104</v>
      </c>
      <c r="M71" s="18"/>
      <c r="N71" s="18"/>
      <c r="O71" s="18"/>
    </row>
    <row r="72" customFormat="false" ht="15" hidden="false" customHeight="false" outlineLevel="0" collapsed="false">
      <c r="C72" s="20" t="s">
        <v>105</v>
      </c>
      <c r="D72" s="21" t="n">
        <v>1</v>
      </c>
      <c r="E72" s="21" t="n">
        <v>15.5</v>
      </c>
      <c r="H72" s="22" t="n">
        <f aca="false">IF(COUNT(D72:G72)=0,0,D72*IF(E72="",1,E72)*IF(F72="",1,F72)*IF(G72="",1,G72))</f>
        <v>15.5</v>
      </c>
      <c r="M72" s="18"/>
      <c r="N72" s="18"/>
      <c r="O72" s="18"/>
    </row>
    <row r="73" customFormat="false" ht="15" hidden="false" customHeight="false" outlineLevel="0" collapsed="false">
      <c r="H73" s="23"/>
      <c r="I73" s="24" t="n">
        <f aca="false">ROUND(SUM(H72:H72),2)</f>
        <v>15.5</v>
      </c>
      <c r="J73" s="25" t="n">
        <v>70</v>
      </c>
      <c r="K73" s="24" t="n">
        <f aca="false">ROUND(I73*J73,2)</f>
        <v>1085</v>
      </c>
      <c r="L73" s="26" t="s">
        <v>48</v>
      </c>
      <c r="M73" s="18" t="s">
        <v>49</v>
      </c>
      <c r="N73" s="18" t="s">
        <v>11</v>
      </c>
      <c r="O73" s="18"/>
    </row>
    <row r="74" customFormat="false" ht="15" hidden="false" customHeight="false" outlineLevel="0" collapsed="false">
      <c r="A74" s="2" t="s">
        <v>106</v>
      </c>
      <c r="B74" s="2" t="s">
        <v>55</v>
      </c>
      <c r="C74" s="2" t="s">
        <v>107</v>
      </c>
      <c r="M74" s="18"/>
      <c r="N74" s="18"/>
      <c r="O74" s="18"/>
    </row>
    <row r="75" customFormat="false" ht="36" hidden="false" customHeight="true" outlineLevel="0" collapsed="false">
      <c r="C75" s="19" t="s">
        <v>108</v>
      </c>
      <c r="M75" s="18"/>
      <c r="N75" s="18"/>
      <c r="O75" s="18"/>
    </row>
    <row r="76" customFormat="false" ht="15" hidden="false" customHeight="false" outlineLevel="0" collapsed="false">
      <c r="C76" s="20" t="s">
        <v>109</v>
      </c>
      <c r="D76" s="21" t="n">
        <v>1</v>
      </c>
      <c r="H76" s="22" t="n">
        <f aca="false">IF(COUNT(D76:G76)=0,0,D76*IF(E76="",1,E76)*IF(F76="",1,F76)*IF(G76="",1,G76))</f>
        <v>1</v>
      </c>
      <c r="M76" s="18"/>
      <c r="N76" s="18"/>
      <c r="O76" s="18"/>
    </row>
    <row r="77" customFormat="false" ht="15" hidden="false" customHeight="false" outlineLevel="0" collapsed="false">
      <c r="H77" s="23"/>
      <c r="I77" s="24" t="n">
        <f aca="false">ROUND(SUM(H76:H76),2)</f>
        <v>1</v>
      </c>
      <c r="J77" s="25" t="n">
        <v>120</v>
      </c>
      <c r="K77" s="24" t="n">
        <f aca="false">ROUND(I77*J77,2)</f>
        <v>120</v>
      </c>
      <c r="L77" s="26" t="s">
        <v>48</v>
      </c>
      <c r="M77" s="18" t="s">
        <v>49</v>
      </c>
      <c r="N77" s="18" t="s">
        <v>11</v>
      </c>
      <c r="O77" s="18"/>
    </row>
    <row r="78" customFormat="false" ht="15" hidden="false" customHeight="false" outlineLevel="0" collapsed="false">
      <c r="A78" s="2" t="s">
        <v>110</v>
      </c>
      <c r="B78" s="2" t="s">
        <v>55</v>
      </c>
      <c r="C78" s="2" t="s">
        <v>111</v>
      </c>
      <c r="M78" s="18"/>
      <c r="N78" s="18"/>
      <c r="O78" s="18"/>
    </row>
    <row r="79" customFormat="false" ht="36" hidden="false" customHeight="true" outlineLevel="0" collapsed="false">
      <c r="C79" s="19" t="s">
        <v>112</v>
      </c>
      <c r="M79" s="18"/>
      <c r="N79" s="18"/>
      <c r="O79" s="18"/>
    </row>
    <row r="80" customFormat="false" ht="15" hidden="false" customHeight="false" outlineLevel="0" collapsed="false">
      <c r="C80" s="20" t="s">
        <v>109</v>
      </c>
      <c r="D80" s="21" t="n">
        <v>1</v>
      </c>
      <c r="H80" s="22" t="n">
        <f aca="false">IF(COUNT(D80:G80)=0,0,D80*IF(E80="",1,E80)*IF(F80="",1,F80)*IF(G80="",1,G80))</f>
        <v>1</v>
      </c>
      <c r="M80" s="18"/>
      <c r="N80" s="18"/>
      <c r="O80" s="18"/>
    </row>
    <row r="81" customFormat="false" ht="15" hidden="false" customHeight="false" outlineLevel="0" collapsed="false">
      <c r="H81" s="23"/>
      <c r="I81" s="24" t="n">
        <f aca="false">ROUND(SUM(H80:H80),2)</f>
        <v>1</v>
      </c>
      <c r="J81" s="25" t="n">
        <v>300</v>
      </c>
      <c r="K81" s="24" t="n">
        <f aca="false">ROUND(I81*J81,2)</f>
        <v>300</v>
      </c>
      <c r="L81" s="26" t="s">
        <v>48</v>
      </c>
      <c r="M81" s="18" t="s">
        <v>49</v>
      </c>
      <c r="N81" s="18" t="s">
        <v>11</v>
      </c>
      <c r="O81" s="18"/>
    </row>
    <row r="82" customFormat="false" ht="15" hidden="false" customHeight="false" outlineLevel="0" collapsed="false">
      <c r="A82" s="2" t="s">
        <v>113</v>
      </c>
      <c r="B82" s="2" t="s">
        <v>55</v>
      </c>
      <c r="C82" s="2" t="s">
        <v>114</v>
      </c>
      <c r="M82" s="18"/>
      <c r="N82" s="18"/>
      <c r="O82" s="18"/>
    </row>
    <row r="83" customFormat="false" ht="36" hidden="false" customHeight="true" outlineLevel="0" collapsed="false">
      <c r="C83" s="19" t="s">
        <v>115</v>
      </c>
      <c r="M83" s="18"/>
      <c r="N83" s="18"/>
      <c r="O83" s="18"/>
    </row>
    <row r="84" customFormat="false" ht="15" hidden="false" customHeight="false" outlineLevel="0" collapsed="false">
      <c r="C84" s="20" t="s">
        <v>109</v>
      </c>
      <c r="D84" s="21" t="n">
        <v>1</v>
      </c>
      <c r="H84" s="22" t="n">
        <f aca="false">IF(COUNT(D84:G84)=0,0,D84*IF(E84="",1,E84)*IF(F84="",1,F84)*IF(G84="",1,G84))</f>
        <v>1</v>
      </c>
      <c r="M84" s="18"/>
      <c r="N84" s="18"/>
      <c r="O84" s="18"/>
    </row>
    <row r="85" customFormat="false" ht="15" hidden="false" customHeight="false" outlineLevel="0" collapsed="false">
      <c r="H85" s="23"/>
      <c r="I85" s="24" t="n">
        <f aca="false">ROUND(SUM(H84:H84),2)</f>
        <v>1</v>
      </c>
      <c r="J85" s="25" t="n">
        <v>1045.5</v>
      </c>
      <c r="K85" s="24" t="n">
        <f aca="false">ROUND(I85*J85,2)</f>
        <v>1045.5</v>
      </c>
      <c r="L85" s="26" t="s">
        <v>48</v>
      </c>
      <c r="M85" s="18" t="s">
        <v>49</v>
      </c>
      <c r="N85" s="18" t="s">
        <v>11</v>
      </c>
      <c r="O85" s="18"/>
    </row>
    <row r="86" customFormat="false" ht="15" hidden="false" customHeight="false" outlineLevel="0" collapsed="false">
      <c r="C86" s="27" t="s">
        <v>116</v>
      </c>
      <c r="K86" s="8" t="n">
        <f aca="false">SUMIFS($K$5:$K$112,$M$5:$M$112,"P",$N$5:$N$112,"D03")</f>
        <v>9643.5</v>
      </c>
      <c r="M86" s="18"/>
      <c r="N86" s="18"/>
      <c r="O86" s="18"/>
    </row>
    <row r="87" customFormat="false" ht="15" hidden="false" customHeight="false" outlineLevel="0" collapsed="false">
      <c r="M87" s="18"/>
      <c r="N87" s="18"/>
      <c r="O87" s="18"/>
    </row>
    <row r="88" customFormat="false" ht="15" hidden="false" customHeight="false" outlineLevel="0" collapsed="false">
      <c r="A88" s="16" t="s">
        <v>13</v>
      </c>
      <c r="B88" s="17"/>
      <c r="C88" s="16" t="s">
        <v>14</v>
      </c>
      <c r="D88" s="17"/>
      <c r="E88" s="17"/>
      <c r="F88" s="17"/>
      <c r="G88" s="17"/>
      <c r="H88" s="17"/>
      <c r="I88" s="17"/>
      <c r="J88" s="17"/>
      <c r="K88" s="17"/>
      <c r="L88" s="17"/>
      <c r="M88" s="18" t="s">
        <v>41</v>
      </c>
      <c r="N88" s="18" t="s">
        <v>13</v>
      </c>
      <c r="O88" s="18"/>
    </row>
    <row r="89" customFormat="false" ht="15" hidden="false" customHeight="false" outlineLevel="0" collapsed="false">
      <c r="A89" s="2" t="s">
        <v>117</v>
      </c>
      <c r="B89" s="2" t="s">
        <v>66</v>
      </c>
      <c r="C89" s="2" t="s">
        <v>118</v>
      </c>
      <c r="M89" s="18"/>
      <c r="N89" s="18"/>
      <c r="O89" s="18"/>
    </row>
    <row r="90" customFormat="false" ht="36" hidden="false" customHeight="true" outlineLevel="0" collapsed="false">
      <c r="C90" s="19" t="s">
        <v>119</v>
      </c>
      <c r="M90" s="18"/>
      <c r="N90" s="18"/>
      <c r="O90" s="18"/>
    </row>
    <row r="91" customFormat="false" ht="15" hidden="false" customHeight="false" outlineLevel="0" collapsed="false">
      <c r="C91" s="20" t="s">
        <v>120</v>
      </c>
      <c r="D91" s="21" t="n">
        <v>1</v>
      </c>
      <c r="E91" s="21" t="n">
        <v>8</v>
      </c>
      <c r="H91" s="22" t="n">
        <f aca="false">IF(COUNT(D91:G91)=0,0,D91*IF(E91="",1,E91)*IF(F91="",1,F91)*IF(G91="",1,G91))</f>
        <v>8</v>
      </c>
      <c r="M91" s="18"/>
      <c r="N91" s="18"/>
      <c r="O91" s="18"/>
    </row>
    <row r="92" customFormat="false" ht="15" hidden="false" customHeight="false" outlineLevel="0" collapsed="false">
      <c r="C92" s="20" t="s">
        <v>121</v>
      </c>
      <c r="D92" s="21" t="n">
        <v>1</v>
      </c>
      <c r="E92" s="21" t="n">
        <v>5</v>
      </c>
      <c r="H92" s="22" t="n">
        <f aca="false">IF(COUNT(D92:G92)=0,0,D92*IF(E92="",1,E92)*IF(F92="",1,F92)*IF(G92="",1,G92))</f>
        <v>5</v>
      </c>
      <c r="M92" s="18"/>
      <c r="N92" s="18"/>
      <c r="O92" s="18"/>
    </row>
    <row r="93" customFormat="false" ht="15" hidden="false" customHeight="false" outlineLevel="0" collapsed="false">
      <c r="H93" s="23"/>
      <c r="I93" s="24" t="n">
        <f aca="false">ROUND(SUM(H91:H92),2)</f>
        <v>13</v>
      </c>
      <c r="J93" s="25" t="n">
        <v>14</v>
      </c>
      <c r="K93" s="24" t="n">
        <f aca="false">ROUND(I93*J93,2)</f>
        <v>182</v>
      </c>
      <c r="L93" s="26" t="s">
        <v>48</v>
      </c>
      <c r="M93" s="18" t="s">
        <v>49</v>
      </c>
      <c r="N93" s="18" t="s">
        <v>13</v>
      </c>
      <c r="O93" s="18"/>
    </row>
    <row r="94" customFormat="false" ht="15" hidden="false" customHeight="false" outlineLevel="0" collapsed="false">
      <c r="A94" s="2" t="s">
        <v>122</v>
      </c>
      <c r="B94" s="2" t="s">
        <v>55</v>
      </c>
      <c r="C94" s="2" t="s">
        <v>123</v>
      </c>
      <c r="M94" s="18"/>
      <c r="N94" s="18"/>
      <c r="O94" s="18"/>
    </row>
    <row r="95" customFormat="false" ht="36" hidden="false" customHeight="true" outlineLevel="0" collapsed="false">
      <c r="C95" s="19" t="s">
        <v>124</v>
      </c>
      <c r="M95" s="18"/>
      <c r="N95" s="18"/>
      <c r="O95" s="18"/>
    </row>
    <row r="96" customFormat="false" ht="15" hidden="false" customHeight="false" outlineLevel="0" collapsed="false">
      <c r="C96" s="20" t="s">
        <v>120</v>
      </c>
      <c r="D96" s="21" t="n">
        <v>1</v>
      </c>
      <c r="H96" s="22" t="n">
        <f aca="false">IF(COUNT(D96:G96)=0,0,D96*IF(E96="",1,E96)*IF(F96="",1,F96)*IF(G96="",1,G96))</f>
        <v>1</v>
      </c>
      <c r="M96" s="18"/>
      <c r="N96" s="18"/>
      <c r="O96" s="18"/>
    </row>
    <row r="97" customFormat="false" ht="15" hidden="false" customHeight="false" outlineLevel="0" collapsed="false">
      <c r="H97" s="23"/>
      <c r="I97" s="24" t="n">
        <f aca="false">ROUND(SUM(H96:H96),2)</f>
        <v>1</v>
      </c>
      <c r="J97" s="25" t="n">
        <v>640</v>
      </c>
      <c r="K97" s="24" t="n">
        <f aca="false">ROUND(I97*J97,2)</f>
        <v>640</v>
      </c>
      <c r="L97" s="26" t="s">
        <v>48</v>
      </c>
      <c r="M97" s="18" t="s">
        <v>49</v>
      </c>
      <c r="N97" s="18" t="s">
        <v>13</v>
      </c>
      <c r="O97" s="18"/>
    </row>
    <row r="98" customFormat="false" ht="15" hidden="false" customHeight="false" outlineLevel="0" collapsed="false">
      <c r="A98" s="2" t="s">
        <v>125</v>
      </c>
      <c r="B98" s="2" t="s">
        <v>55</v>
      </c>
      <c r="C98" s="2" t="s">
        <v>126</v>
      </c>
      <c r="M98" s="18"/>
      <c r="N98" s="18"/>
      <c r="O98" s="18"/>
    </row>
    <row r="99" customFormat="false" ht="24" hidden="false" customHeight="true" outlineLevel="0" collapsed="false">
      <c r="C99" s="19" t="s">
        <v>127</v>
      </c>
      <c r="M99" s="18"/>
      <c r="N99" s="18"/>
      <c r="O99" s="18"/>
    </row>
    <row r="100" customFormat="false" ht="15" hidden="false" customHeight="false" outlineLevel="0" collapsed="false">
      <c r="C100" s="20" t="s">
        <v>109</v>
      </c>
      <c r="D100" s="21" t="n">
        <v>1</v>
      </c>
      <c r="H100" s="22" t="n">
        <f aca="false">IF(COUNT(D100:G100)=0,0,D100*IF(E100="",1,E100)*IF(F100="",1,F100)*IF(G100="",1,G100))</f>
        <v>1</v>
      </c>
      <c r="M100" s="18"/>
      <c r="N100" s="18"/>
      <c r="O100" s="18"/>
    </row>
    <row r="101" customFormat="false" ht="15" hidden="false" customHeight="false" outlineLevel="0" collapsed="false">
      <c r="H101" s="23"/>
      <c r="I101" s="24" t="n">
        <f aca="false">ROUND(SUM(H100:H100),2)</f>
        <v>1</v>
      </c>
      <c r="J101" s="25" t="n">
        <v>260</v>
      </c>
      <c r="K101" s="24" t="n">
        <f aca="false">ROUND(I101*J101,2)</f>
        <v>260</v>
      </c>
      <c r="L101" s="26" t="s">
        <v>48</v>
      </c>
      <c r="M101" s="18" t="s">
        <v>49</v>
      </c>
      <c r="N101" s="18" t="s">
        <v>13</v>
      </c>
      <c r="O101" s="18"/>
    </row>
    <row r="102" customFormat="false" ht="15" hidden="false" customHeight="false" outlineLevel="0" collapsed="false">
      <c r="A102" s="2" t="s">
        <v>128</v>
      </c>
      <c r="B102" s="2" t="s">
        <v>55</v>
      </c>
      <c r="C102" s="2" t="s">
        <v>129</v>
      </c>
      <c r="M102" s="18"/>
      <c r="N102" s="18"/>
      <c r="O102" s="18"/>
    </row>
    <row r="103" customFormat="false" ht="36" hidden="false" customHeight="true" outlineLevel="0" collapsed="false">
      <c r="C103" s="19" t="s">
        <v>130</v>
      </c>
      <c r="M103" s="18"/>
      <c r="N103" s="18"/>
      <c r="O103" s="18"/>
    </row>
    <row r="104" customFormat="false" ht="15" hidden="false" customHeight="false" outlineLevel="0" collapsed="false">
      <c r="C104" s="20" t="s">
        <v>109</v>
      </c>
      <c r="D104" s="21" t="n">
        <v>1</v>
      </c>
      <c r="H104" s="22" t="n">
        <f aca="false">IF(COUNT(D104:G104)=0,0,D104*IF(E104="",1,E104)*IF(F104="",1,F104)*IF(G104="",1,G104))</f>
        <v>1</v>
      </c>
      <c r="M104" s="18"/>
      <c r="N104" s="18"/>
      <c r="O104" s="18"/>
    </row>
    <row r="105" customFormat="false" ht="15" hidden="false" customHeight="false" outlineLevel="0" collapsed="false">
      <c r="H105" s="23"/>
      <c r="I105" s="24" t="n">
        <f aca="false">ROUND(SUM(H104:H104),2)</f>
        <v>1</v>
      </c>
      <c r="J105" s="25" t="n">
        <v>190</v>
      </c>
      <c r="K105" s="24" t="n">
        <f aca="false">ROUND(I105*J105,2)</f>
        <v>190</v>
      </c>
      <c r="L105" s="26" t="s">
        <v>48</v>
      </c>
      <c r="M105" s="18" t="s">
        <v>49</v>
      </c>
      <c r="N105" s="18" t="s">
        <v>13</v>
      </c>
      <c r="O105" s="18"/>
    </row>
    <row r="106" customFormat="false" ht="15" hidden="false" customHeight="false" outlineLevel="0" collapsed="false">
      <c r="A106" s="2" t="s">
        <v>131</v>
      </c>
      <c r="B106" s="2" t="s">
        <v>55</v>
      </c>
      <c r="C106" s="2" t="s">
        <v>132</v>
      </c>
      <c r="M106" s="18"/>
      <c r="N106" s="18"/>
      <c r="O106" s="18"/>
    </row>
    <row r="107" customFormat="false" ht="36" hidden="false" customHeight="true" outlineLevel="0" collapsed="false">
      <c r="C107" s="19" t="s">
        <v>133</v>
      </c>
      <c r="M107" s="18"/>
      <c r="N107" s="18"/>
      <c r="O107" s="18"/>
    </row>
    <row r="108" customFormat="false" ht="15" hidden="false" customHeight="false" outlineLevel="0" collapsed="false">
      <c r="C108" s="20" t="s">
        <v>109</v>
      </c>
      <c r="D108" s="21" t="n">
        <v>1</v>
      </c>
      <c r="H108" s="22" t="n">
        <f aca="false">IF(COUNT(D108:G108)=0,0,D108*IF(E108="",1,E108)*IF(F108="",1,F108)*IF(G108="",1,G108))</f>
        <v>1</v>
      </c>
      <c r="M108" s="18"/>
      <c r="N108" s="18"/>
      <c r="O108" s="18"/>
    </row>
    <row r="109" customFormat="false" ht="15" hidden="false" customHeight="false" outlineLevel="0" collapsed="false">
      <c r="H109" s="23"/>
      <c r="I109" s="24" t="n">
        <f aca="false">ROUND(SUM(H108:H108),2)</f>
        <v>1</v>
      </c>
      <c r="J109" s="25" t="n">
        <v>178</v>
      </c>
      <c r="K109" s="24" t="n">
        <f aca="false">ROUND(I109*J109,2)</f>
        <v>178</v>
      </c>
      <c r="L109" s="26" t="s">
        <v>48</v>
      </c>
      <c r="M109" s="18" t="s">
        <v>49</v>
      </c>
      <c r="N109" s="18" t="s">
        <v>13</v>
      </c>
      <c r="O109" s="18"/>
    </row>
    <row r="110" customFormat="false" ht="15" hidden="false" customHeight="false" outlineLevel="0" collapsed="false">
      <c r="C110" s="27" t="s">
        <v>134</v>
      </c>
      <c r="K110" s="8" t="n">
        <f aca="false">SUMIFS($K$5:$K$112,$M$5:$M$112,"P",$N$5:$N$112,"D04")</f>
        <v>1450</v>
      </c>
      <c r="M110" s="18"/>
      <c r="N110" s="18"/>
      <c r="O110" s="18"/>
    </row>
    <row r="111" customFormat="false" ht="15" hidden="false" customHeight="false" outlineLevel="0" collapsed="false">
      <c r="M111" s="18"/>
      <c r="N111" s="18"/>
      <c r="O111" s="18"/>
    </row>
    <row r="112" customFormat="false" ht="15" hidden="false" customHeight="false" outlineLevel="0" collapsed="false">
      <c r="M112" s="18"/>
      <c r="N112" s="18"/>
      <c r="O112" s="18"/>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0"/>
  </cols>
  <sheetData>
    <row r="1" customFormat="false" ht="15" hidden="false" customHeight="false" outlineLevel="0" collapsed="false">
      <c r="A1" s="1" t="s">
        <v>135</v>
      </c>
    </row>
    <row r="3" customFormat="false" ht="27.75" hidden="false" customHeight="true" outlineLevel="0" collapsed="false">
      <c r="A3" s="28" t="s">
        <v>136</v>
      </c>
      <c r="B3" s="19" t="s">
        <v>137</v>
      </c>
    </row>
    <row r="4" customFormat="false" ht="42" hidden="false" customHeight="true" outlineLevel="0" collapsed="false">
      <c r="A4" s="28" t="s">
        <v>138</v>
      </c>
      <c r="B4" s="19" t="s">
        <v>139</v>
      </c>
    </row>
    <row r="5" customFormat="false" ht="27.75" hidden="false" customHeight="true" outlineLevel="0" collapsed="false">
      <c r="A5" s="28" t="s">
        <v>140</v>
      </c>
      <c r="B5" s="19" t="s">
        <v>141</v>
      </c>
    </row>
    <row r="6" customFormat="false" ht="27.75" hidden="false" customHeight="true" outlineLevel="0" collapsed="false">
      <c r="A6" s="28" t="s">
        <v>142</v>
      </c>
      <c r="B6" s="19" t="s">
        <v>143</v>
      </c>
    </row>
    <row r="7" customFormat="false" ht="13.5" hidden="false" customHeight="true" outlineLevel="0" collapsed="false">
      <c r="A7" s="28" t="s">
        <v>144</v>
      </c>
      <c r="B7" s="19" t="s">
        <v>145</v>
      </c>
    </row>
    <row r="8" customFormat="false" ht="27.75" hidden="false" customHeight="true" outlineLevel="0" collapsed="false">
      <c r="A8" s="28" t="s">
        <v>146</v>
      </c>
      <c r="B8" s="19" t="s">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2026-10-11T17:39:11Z</dcterms:created>
  <dc:creator>openpyxl</dc:creator>
  <dc:description/>
  <dc:language>en-US</dc:language>
  <cp:lastModifiedBy/>
  <dcterms:modified xsi:type="dcterms:W3CDTF">2026-10-11T17:39:11Z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